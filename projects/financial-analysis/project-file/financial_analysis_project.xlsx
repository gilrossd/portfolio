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d46fe23f5edf83/Desktop/Final_Project/Excel/"/>
    </mc:Choice>
  </mc:AlternateContent>
  <xr:revisionPtr revIDLastSave="768" documentId="8_{6FFCE4DE-6B58-4878-BD89-3D303B2ED86E}" xr6:coauthVersionLast="47" xr6:coauthVersionMax="47" xr10:uidLastSave="{62C9F568-4F2F-4453-8C4B-40BB3476379F}"/>
  <bookViews>
    <workbookView xWindow="-108" yWindow="-108" windowWidth="23256" windowHeight="12456" firstSheet="1" activeTab="3" xr2:uid="{B6EF4D82-075E-47AC-8F65-F7949C42377D}"/>
  </bookViews>
  <sheets>
    <sheet name="financial_analysis_raw" sheetId="1" r:id="rId1"/>
    <sheet name="financial_analysis_cleaned" sheetId="9" r:id="rId2"/>
    <sheet name="Conversion Table" sheetId="8" r:id="rId3"/>
    <sheet name="Data_Quality" sheetId="3" r:id="rId4"/>
    <sheet name="Pivot Table" sheetId="10" r:id="rId5"/>
  </sheets>
  <definedNames>
    <definedName name="_xlnm._FilterDatabase" localSheetId="1" hidden="1">financial_analysis_cleaned!$A$1:$S$1201</definedName>
  </definedNames>
  <calcPr calcId="191029"/>
  <pivotCaches>
    <pivotCache cacheId="1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3" l="1" a="1"/>
  <c r="A11" i="3" s="1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7" i="9"/>
  <c r="O38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1" i="9"/>
  <c r="O222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9" i="9"/>
  <c r="O351" i="9"/>
  <c r="O352" i="9"/>
  <c r="O353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O402" i="9"/>
  <c r="O403" i="9"/>
  <c r="O404" i="9"/>
  <c r="O405" i="9"/>
  <c r="O406" i="9"/>
  <c r="O407" i="9"/>
  <c r="O408" i="9"/>
  <c r="O409" i="9"/>
  <c r="O410" i="9"/>
  <c r="O411" i="9"/>
  <c r="O412" i="9"/>
  <c r="O413" i="9"/>
  <c r="O414" i="9"/>
  <c r="O415" i="9"/>
  <c r="O416" i="9"/>
  <c r="O417" i="9"/>
  <c r="O418" i="9"/>
  <c r="O419" i="9"/>
  <c r="O420" i="9"/>
  <c r="O421" i="9"/>
  <c r="O422" i="9"/>
  <c r="O423" i="9"/>
  <c r="O424" i="9"/>
  <c r="O425" i="9"/>
  <c r="O426" i="9"/>
  <c r="O427" i="9"/>
  <c r="O428" i="9"/>
  <c r="O429" i="9"/>
  <c r="O430" i="9"/>
  <c r="O431" i="9"/>
  <c r="O432" i="9"/>
  <c r="O433" i="9"/>
  <c r="O434" i="9"/>
  <c r="O435" i="9"/>
  <c r="O436" i="9"/>
  <c r="O437" i="9"/>
  <c r="O438" i="9"/>
  <c r="O439" i="9"/>
  <c r="O440" i="9"/>
  <c r="O441" i="9"/>
  <c r="O442" i="9"/>
  <c r="O443" i="9"/>
  <c r="O444" i="9"/>
  <c r="O445" i="9"/>
  <c r="O446" i="9"/>
  <c r="O447" i="9"/>
  <c r="O448" i="9"/>
  <c r="O449" i="9"/>
  <c r="O450" i="9"/>
  <c r="O451" i="9"/>
  <c r="O452" i="9"/>
  <c r="O453" i="9"/>
  <c r="O454" i="9"/>
  <c r="O455" i="9"/>
  <c r="O456" i="9"/>
  <c r="O457" i="9"/>
  <c r="O458" i="9"/>
  <c r="O459" i="9"/>
  <c r="O460" i="9"/>
  <c r="O461" i="9"/>
  <c r="O462" i="9"/>
  <c r="O463" i="9"/>
  <c r="O464" i="9"/>
  <c r="O465" i="9"/>
  <c r="O466" i="9"/>
  <c r="O467" i="9"/>
  <c r="O468" i="9"/>
  <c r="O469" i="9"/>
  <c r="O470" i="9"/>
  <c r="O471" i="9"/>
  <c r="O472" i="9"/>
  <c r="O473" i="9"/>
  <c r="O474" i="9"/>
  <c r="O475" i="9"/>
  <c r="O476" i="9"/>
  <c r="O477" i="9"/>
  <c r="O478" i="9"/>
  <c r="O479" i="9"/>
  <c r="O480" i="9"/>
  <c r="O481" i="9"/>
  <c r="O483" i="9"/>
  <c r="O484" i="9"/>
  <c r="O485" i="9"/>
  <c r="O486" i="9"/>
  <c r="O487" i="9"/>
  <c r="O488" i="9"/>
  <c r="O489" i="9"/>
  <c r="O490" i="9"/>
  <c r="O491" i="9"/>
  <c r="O492" i="9"/>
  <c r="O493" i="9"/>
  <c r="O494" i="9"/>
  <c r="O495" i="9"/>
  <c r="O496" i="9"/>
  <c r="O497" i="9"/>
  <c r="O499" i="9"/>
  <c r="O500" i="9"/>
  <c r="O501" i="9"/>
  <c r="O502" i="9"/>
  <c r="O503" i="9"/>
  <c r="O504" i="9"/>
  <c r="O505" i="9"/>
  <c r="O506" i="9"/>
  <c r="O507" i="9"/>
  <c r="O508" i="9"/>
  <c r="O509" i="9"/>
  <c r="O510" i="9"/>
  <c r="O511" i="9"/>
  <c r="O512" i="9"/>
  <c r="O513" i="9"/>
  <c r="O514" i="9"/>
  <c r="O515" i="9"/>
  <c r="O516" i="9"/>
  <c r="O517" i="9"/>
  <c r="O518" i="9"/>
  <c r="O519" i="9"/>
  <c r="O520" i="9"/>
  <c r="O521" i="9"/>
  <c r="O522" i="9"/>
  <c r="O523" i="9"/>
  <c r="O524" i="9"/>
  <c r="O525" i="9"/>
  <c r="O526" i="9"/>
  <c r="O527" i="9"/>
  <c r="O528" i="9"/>
  <c r="O529" i="9"/>
  <c r="O530" i="9"/>
  <c r="O531" i="9"/>
  <c r="O532" i="9"/>
  <c r="O533" i="9"/>
  <c r="O534" i="9"/>
  <c r="O535" i="9"/>
  <c r="O536" i="9"/>
  <c r="O537" i="9"/>
  <c r="O538" i="9"/>
  <c r="O539" i="9"/>
  <c r="O540" i="9"/>
  <c r="O541" i="9"/>
  <c r="O542" i="9"/>
  <c r="O543" i="9"/>
  <c r="O544" i="9"/>
  <c r="O545" i="9"/>
  <c r="O546" i="9"/>
  <c r="O547" i="9"/>
  <c r="O548" i="9"/>
  <c r="O549" i="9"/>
  <c r="O550" i="9"/>
  <c r="O551" i="9"/>
  <c r="O552" i="9"/>
  <c r="O553" i="9"/>
  <c r="O554" i="9"/>
  <c r="O555" i="9"/>
  <c r="O556" i="9"/>
  <c r="O557" i="9"/>
  <c r="O558" i="9"/>
  <c r="O559" i="9"/>
  <c r="O560" i="9"/>
  <c r="O561" i="9"/>
  <c r="O562" i="9"/>
  <c r="O563" i="9"/>
  <c r="O564" i="9"/>
  <c r="O565" i="9"/>
  <c r="O566" i="9"/>
  <c r="O567" i="9"/>
  <c r="O568" i="9"/>
  <c r="O569" i="9"/>
  <c r="O570" i="9"/>
  <c r="O571" i="9"/>
  <c r="O572" i="9"/>
  <c r="O573" i="9"/>
  <c r="O574" i="9"/>
  <c r="O575" i="9"/>
  <c r="O576" i="9"/>
  <c r="O577" i="9"/>
  <c r="O578" i="9"/>
  <c r="O579" i="9"/>
  <c r="O580" i="9"/>
  <c r="O581" i="9"/>
  <c r="O582" i="9"/>
  <c r="O583" i="9"/>
  <c r="O584" i="9"/>
  <c r="O585" i="9"/>
  <c r="O586" i="9"/>
  <c r="O587" i="9"/>
  <c r="O588" i="9"/>
  <c r="O589" i="9"/>
  <c r="O590" i="9"/>
  <c r="O591" i="9"/>
  <c r="O592" i="9"/>
  <c r="O593" i="9"/>
  <c r="O594" i="9"/>
  <c r="O595" i="9"/>
  <c r="O596" i="9"/>
  <c r="O597" i="9"/>
  <c r="O598" i="9"/>
  <c r="O599" i="9"/>
  <c r="O600" i="9"/>
  <c r="O601" i="9"/>
  <c r="O602" i="9"/>
  <c r="O603" i="9"/>
  <c r="O604" i="9"/>
  <c r="O605" i="9"/>
  <c r="O606" i="9"/>
  <c r="O607" i="9"/>
  <c r="O608" i="9"/>
  <c r="O609" i="9"/>
  <c r="O610" i="9"/>
  <c r="O611" i="9"/>
  <c r="O612" i="9"/>
  <c r="O613" i="9"/>
  <c r="O614" i="9"/>
  <c r="O615" i="9"/>
  <c r="O616" i="9"/>
  <c r="O617" i="9"/>
  <c r="O618" i="9"/>
  <c r="O619" i="9"/>
  <c r="O620" i="9"/>
  <c r="O621" i="9"/>
  <c r="O622" i="9"/>
  <c r="O623" i="9"/>
  <c r="O624" i="9"/>
  <c r="O625" i="9"/>
  <c r="O626" i="9"/>
  <c r="O627" i="9"/>
  <c r="O628" i="9"/>
  <c r="O629" i="9"/>
  <c r="O630" i="9"/>
  <c r="O631" i="9"/>
  <c r="O632" i="9"/>
  <c r="O633" i="9"/>
  <c r="O634" i="9"/>
  <c r="O635" i="9"/>
  <c r="O637" i="9"/>
  <c r="O638" i="9"/>
  <c r="O639" i="9"/>
  <c r="O640" i="9"/>
  <c r="O641" i="9"/>
  <c r="O642" i="9"/>
  <c r="O643" i="9"/>
  <c r="O644" i="9"/>
  <c r="O645" i="9"/>
  <c r="O646" i="9"/>
  <c r="O647" i="9"/>
  <c r="O649" i="9"/>
  <c r="O650" i="9"/>
  <c r="O651" i="9"/>
  <c r="O652" i="9"/>
  <c r="O653" i="9"/>
  <c r="O654" i="9"/>
  <c r="O655" i="9"/>
  <c r="O656" i="9"/>
  <c r="O657" i="9"/>
  <c r="O658" i="9"/>
  <c r="O659" i="9"/>
  <c r="O660" i="9"/>
  <c r="O661" i="9"/>
  <c r="O663" i="9"/>
  <c r="O664" i="9"/>
  <c r="O665" i="9"/>
  <c r="O666" i="9"/>
  <c r="O667" i="9"/>
  <c r="O668" i="9"/>
  <c r="O669" i="9"/>
  <c r="O670" i="9"/>
  <c r="O671" i="9"/>
  <c r="O672" i="9"/>
  <c r="O673" i="9"/>
  <c r="O674" i="9"/>
  <c r="O675" i="9"/>
  <c r="O676" i="9"/>
  <c r="O677" i="9"/>
  <c r="O679" i="9"/>
  <c r="O680" i="9"/>
  <c r="O682" i="9"/>
  <c r="O683" i="9"/>
  <c r="O684" i="9"/>
  <c r="O685" i="9"/>
  <c r="O686" i="9"/>
  <c r="O687" i="9"/>
  <c r="O688" i="9"/>
  <c r="O689" i="9"/>
  <c r="O690" i="9"/>
  <c r="O691" i="9"/>
  <c r="O692" i="9"/>
  <c r="O693" i="9"/>
  <c r="O695" i="9"/>
  <c r="O696" i="9"/>
  <c r="O697" i="9"/>
  <c r="O698" i="9"/>
  <c r="O699" i="9"/>
  <c r="O700" i="9"/>
  <c r="O701" i="9"/>
  <c r="O702" i="9"/>
  <c r="O703" i="9"/>
  <c r="O704" i="9"/>
  <c r="O705" i="9"/>
  <c r="O706" i="9"/>
  <c r="O707" i="9"/>
  <c r="O708" i="9"/>
  <c r="O709" i="9"/>
  <c r="O710" i="9"/>
  <c r="O711" i="9"/>
  <c r="O712" i="9"/>
  <c r="O713" i="9"/>
  <c r="O714" i="9"/>
  <c r="O715" i="9"/>
  <c r="O716" i="9"/>
  <c r="O717" i="9"/>
  <c r="O718" i="9"/>
  <c r="O719" i="9"/>
  <c r="O720" i="9"/>
  <c r="O721" i="9"/>
  <c r="O722" i="9"/>
  <c r="O723" i="9"/>
  <c r="O724" i="9"/>
  <c r="O725" i="9"/>
  <c r="O726" i="9"/>
  <c r="O727" i="9"/>
  <c r="O728" i="9"/>
  <c r="O729" i="9"/>
  <c r="O730" i="9"/>
  <c r="O731" i="9"/>
  <c r="O732" i="9"/>
  <c r="O733" i="9"/>
  <c r="O734" i="9"/>
  <c r="O735" i="9"/>
  <c r="O736" i="9"/>
  <c r="O737" i="9"/>
  <c r="O738" i="9"/>
  <c r="O739" i="9"/>
  <c r="O740" i="9"/>
  <c r="O741" i="9"/>
  <c r="O742" i="9"/>
  <c r="O743" i="9"/>
  <c r="O744" i="9"/>
  <c r="O745" i="9"/>
  <c r="O746" i="9"/>
  <c r="O747" i="9"/>
  <c r="O748" i="9"/>
  <c r="O749" i="9"/>
  <c r="O750" i="9"/>
  <c r="O751" i="9"/>
  <c r="O752" i="9"/>
  <c r="O753" i="9"/>
  <c r="O754" i="9"/>
  <c r="O755" i="9"/>
  <c r="O756" i="9"/>
  <c r="O757" i="9"/>
  <c r="O758" i="9"/>
  <c r="O759" i="9"/>
  <c r="O760" i="9"/>
  <c r="O761" i="9"/>
  <c r="O762" i="9"/>
  <c r="O763" i="9"/>
  <c r="O764" i="9"/>
  <c r="O765" i="9"/>
  <c r="O766" i="9"/>
  <c r="O767" i="9"/>
  <c r="O768" i="9"/>
  <c r="O769" i="9"/>
  <c r="O770" i="9"/>
  <c r="O771" i="9"/>
  <c r="O772" i="9"/>
  <c r="O773" i="9"/>
  <c r="O774" i="9"/>
  <c r="O775" i="9"/>
  <c r="O776" i="9"/>
  <c r="O777" i="9"/>
  <c r="O778" i="9"/>
  <c r="O779" i="9"/>
  <c r="O780" i="9"/>
  <c r="O781" i="9"/>
  <c r="O782" i="9"/>
  <c r="O783" i="9"/>
  <c r="O784" i="9"/>
  <c r="O785" i="9"/>
  <c r="O786" i="9"/>
  <c r="O787" i="9"/>
  <c r="O788" i="9"/>
  <c r="O789" i="9"/>
  <c r="O791" i="9"/>
  <c r="O792" i="9"/>
  <c r="O793" i="9"/>
  <c r="O794" i="9"/>
  <c r="O795" i="9"/>
  <c r="O796" i="9"/>
  <c r="O797" i="9"/>
  <c r="O798" i="9"/>
  <c r="O799" i="9"/>
  <c r="O800" i="9"/>
  <c r="O802" i="9"/>
  <c r="O803" i="9"/>
  <c r="O804" i="9"/>
  <c r="O806" i="9"/>
  <c r="O807" i="9"/>
  <c r="O808" i="9"/>
  <c r="O809" i="9"/>
  <c r="O810" i="9"/>
  <c r="O811" i="9"/>
  <c r="O812" i="9"/>
  <c r="O813" i="9"/>
  <c r="O814" i="9"/>
  <c r="O815" i="9"/>
  <c r="O816" i="9"/>
  <c r="O817" i="9"/>
  <c r="O818" i="9"/>
  <c r="O819" i="9"/>
  <c r="O820" i="9"/>
  <c r="O821" i="9"/>
  <c r="O823" i="9"/>
  <c r="O824" i="9"/>
  <c r="O825" i="9"/>
  <c r="O826" i="9"/>
  <c r="O827" i="9"/>
  <c r="O828" i="9"/>
  <c r="O830" i="9"/>
  <c r="O831" i="9"/>
  <c r="O832" i="9"/>
  <c r="O833" i="9"/>
  <c r="O835" i="9"/>
  <c r="O836" i="9"/>
  <c r="O837" i="9"/>
  <c r="O838" i="9"/>
  <c r="O839" i="9"/>
  <c r="O840" i="9"/>
  <c r="O842" i="9"/>
  <c r="O843" i="9"/>
  <c r="O844" i="9"/>
  <c r="O845" i="9"/>
  <c r="O846" i="9"/>
  <c r="O847" i="9"/>
  <c r="O848" i="9"/>
  <c r="O849" i="9"/>
  <c r="O850" i="9"/>
  <c r="O851" i="9"/>
  <c r="O852" i="9"/>
  <c r="O853" i="9"/>
  <c r="O854" i="9"/>
  <c r="O855" i="9"/>
  <c r="O856" i="9"/>
  <c r="O857" i="9"/>
  <c r="O858" i="9"/>
  <c r="O859" i="9"/>
  <c r="O860" i="9"/>
  <c r="O861" i="9"/>
  <c r="O862" i="9"/>
  <c r="O863" i="9"/>
  <c r="O864" i="9"/>
  <c r="O865" i="9"/>
  <c r="O866" i="9"/>
  <c r="O867" i="9"/>
  <c r="O868" i="9"/>
  <c r="O869" i="9"/>
  <c r="O870" i="9"/>
  <c r="O871" i="9"/>
  <c r="O872" i="9"/>
  <c r="O873" i="9"/>
  <c r="O874" i="9"/>
  <c r="O875" i="9"/>
  <c r="O876" i="9"/>
  <c r="O877" i="9"/>
  <c r="O878" i="9"/>
  <c r="O879" i="9"/>
  <c r="O880" i="9"/>
  <c r="O881" i="9"/>
  <c r="O882" i="9"/>
  <c r="O883" i="9"/>
  <c r="O884" i="9"/>
  <c r="O885" i="9"/>
  <c r="O886" i="9"/>
  <c r="O887" i="9"/>
  <c r="O888" i="9"/>
  <c r="O889" i="9"/>
  <c r="O890" i="9"/>
  <c r="O891" i="9"/>
  <c r="O892" i="9"/>
  <c r="O893" i="9"/>
  <c r="O894" i="9"/>
  <c r="O895" i="9"/>
  <c r="O896" i="9"/>
  <c r="O897" i="9"/>
  <c r="O898" i="9"/>
  <c r="O899" i="9"/>
  <c r="O900" i="9"/>
  <c r="O901" i="9"/>
  <c r="O902" i="9"/>
  <c r="O903" i="9"/>
  <c r="O904" i="9"/>
  <c r="O905" i="9"/>
  <c r="O906" i="9"/>
  <c r="O907" i="9"/>
  <c r="O908" i="9"/>
  <c r="O909" i="9"/>
  <c r="O910" i="9"/>
  <c r="O911" i="9"/>
  <c r="O912" i="9"/>
  <c r="O913" i="9"/>
  <c r="O914" i="9"/>
  <c r="O915" i="9"/>
  <c r="O916" i="9"/>
  <c r="O917" i="9"/>
  <c r="O918" i="9"/>
  <c r="O919" i="9"/>
  <c r="O920" i="9"/>
  <c r="O921" i="9"/>
  <c r="O922" i="9"/>
  <c r="O923" i="9"/>
  <c r="O924" i="9"/>
  <c r="O925" i="9"/>
  <c r="O926" i="9"/>
  <c r="O927" i="9"/>
  <c r="O928" i="9"/>
  <c r="O929" i="9"/>
  <c r="O930" i="9"/>
  <c r="O931" i="9"/>
  <c r="O932" i="9"/>
  <c r="O933" i="9"/>
  <c r="O934" i="9"/>
  <c r="O935" i="9"/>
  <c r="O936" i="9"/>
  <c r="O937" i="9"/>
  <c r="O938" i="9"/>
  <c r="O939" i="9"/>
  <c r="O940" i="9"/>
  <c r="O941" i="9"/>
  <c r="O942" i="9"/>
  <c r="O943" i="9"/>
  <c r="O944" i="9"/>
  <c r="O945" i="9"/>
  <c r="O946" i="9"/>
  <c r="O947" i="9"/>
  <c r="O948" i="9"/>
  <c r="O949" i="9"/>
  <c r="O950" i="9"/>
  <c r="O951" i="9"/>
  <c r="O952" i="9"/>
  <c r="O953" i="9"/>
  <c r="O954" i="9"/>
  <c r="O955" i="9"/>
  <c r="O956" i="9"/>
  <c r="O957" i="9"/>
  <c r="O958" i="9"/>
  <c r="O959" i="9"/>
  <c r="O960" i="9"/>
  <c r="O961" i="9"/>
  <c r="O962" i="9"/>
  <c r="O963" i="9"/>
  <c r="O964" i="9"/>
  <c r="O965" i="9"/>
  <c r="O966" i="9"/>
  <c r="O967" i="9"/>
  <c r="O968" i="9"/>
  <c r="O969" i="9"/>
  <c r="O970" i="9"/>
  <c r="O971" i="9"/>
  <c r="O972" i="9"/>
  <c r="O973" i="9"/>
  <c r="O974" i="9"/>
  <c r="O975" i="9"/>
  <c r="O976" i="9"/>
  <c r="O977" i="9"/>
  <c r="O978" i="9"/>
  <c r="O979" i="9"/>
  <c r="O980" i="9"/>
  <c r="O981" i="9"/>
  <c r="O982" i="9"/>
  <c r="O983" i="9"/>
  <c r="O985" i="9"/>
  <c r="O986" i="9"/>
  <c r="O987" i="9"/>
  <c r="O988" i="9"/>
  <c r="O989" i="9"/>
  <c r="O990" i="9"/>
  <c r="O991" i="9"/>
  <c r="O992" i="9"/>
  <c r="O993" i="9"/>
  <c r="O994" i="9"/>
  <c r="O995" i="9"/>
  <c r="O996" i="9"/>
  <c r="O997" i="9"/>
  <c r="O998" i="9"/>
  <c r="O999" i="9"/>
  <c r="O1000" i="9"/>
  <c r="O1001" i="9"/>
  <c r="O1002" i="9"/>
  <c r="O1003" i="9"/>
  <c r="O1004" i="9"/>
  <c r="O1005" i="9"/>
  <c r="O1006" i="9"/>
  <c r="O1007" i="9"/>
  <c r="O1008" i="9"/>
  <c r="O1009" i="9"/>
  <c r="O1010" i="9"/>
  <c r="O1011" i="9"/>
  <c r="O1012" i="9"/>
  <c r="O1013" i="9"/>
  <c r="O1014" i="9"/>
  <c r="O1015" i="9"/>
  <c r="O1016" i="9"/>
  <c r="O1017" i="9"/>
  <c r="O1018" i="9"/>
  <c r="O1019" i="9"/>
  <c r="O1020" i="9"/>
  <c r="O1021" i="9"/>
  <c r="O1022" i="9"/>
  <c r="O1023" i="9"/>
  <c r="O1024" i="9"/>
  <c r="O1025" i="9"/>
  <c r="O1026" i="9"/>
  <c r="O1027" i="9"/>
  <c r="O1028" i="9"/>
  <c r="O1029" i="9"/>
  <c r="O1030" i="9"/>
  <c r="O1031" i="9"/>
  <c r="O1032" i="9"/>
  <c r="O1033" i="9"/>
  <c r="O1034" i="9"/>
  <c r="O1035" i="9"/>
  <c r="O1036" i="9"/>
  <c r="O1037" i="9"/>
  <c r="O1038" i="9"/>
  <c r="O1039" i="9"/>
  <c r="O1040" i="9"/>
  <c r="O1041" i="9"/>
  <c r="O1042" i="9"/>
  <c r="O1043" i="9"/>
  <c r="O1044" i="9"/>
  <c r="O1045" i="9"/>
  <c r="O1046" i="9"/>
  <c r="O1047" i="9"/>
  <c r="O1048" i="9"/>
  <c r="O1049" i="9"/>
  <c r="O1050" i="9"/>
  <c r="O1051" i="9"/>
  <c r="O1052" i="9"/>
  <c r="O1053" i="9"/>
  <c r="O1054" i="9"/>
  <c r="O1055" i="9"/>
  <c r="O1056" i="9"/>
  <c r="O1057" i="9"/>
  <c r="O1058" i="9"/>
  <c r="O1059" i="9"/>
  <c r="O1060" i="9"/>
  <c r="O1061" i="9"/>
  <c r="O1062" i="9"/>
  <c r="O1063" i="9"/>
  <c r="O1064" i="9"/>
  <c r="O1065" i="9"/>
  <c r="O1066" i="9"/>
  <c r="O1067" i="9"/>
  <c r="O1068" i="9"/>
  <c r="O1069" i="9"/>
  <c r="O1070" i="9"/>
  <c r="O1071" i="9"/>
  <c r="O1072" i="9"/>
  <c r="O1073" i="9"/>
  <c r="O1074" i="9"/>
  <c r="O1075" i="9"/>
  <c r="O1076" i="9"/>
  <c r="O1077" i="9"/>
  <c r="O1078" i="9"/>
  <c r="O1079" i="9"/>
  <c r="O1080" i="9"/>
  <c r="O1081" i="9"/>
  <c r="O1082" i="9"/>
  <c r="O1083" i="9"/>
  <c r="O1084" i="9"/>
  <c r="O1085" i="9"/>
  <c r="O1086" i="9"/>
  <c r="O1087" i="9"/>
  <c r="O1088" i="9"/>
  <c r="O1089" i="9"/>
  <c r="O1090" i="9"/>
  <c r="O1091" i="9"/>
  <c r="O1092" i="9"/>
  <c r="O1093" i="9"/>
  <c r="O1094" i="9"/>
  <c r="O1095" i="9"/>
  <c r="O1096" i="9"/>
  <c r="O1097" i="9"/>
  <c r="O1098" i="9"/>
  <c r="O1099" i="9"/>
  <c r="O1100" i="9"/>
  <c r="O1101" i="9"/>
  <c r="O1102" i="9"/>
  <c r="O1103" i="9"/>
  <c r="O1104" i="9"/>
  <c r="O1105" i="9"/>
  <c r="O1106" i="9"/>
  <c r="O1107" i="9"/>
  <c r="O1108" i="9"/>
  <c r="O1109" i="9"/>
  <c r="O1111" i="9"/>
  <c r="O1112" i="9"/>
  <c r="O1113" i="9"/>
  <c r="O1114" i="9"/>
  <c r="O1115" i="9"/>
  <c r="O1116" i="9"/>
  <c r="O1117" i="9"/>
  <c r="O1118" i="9"/>
  <c r="O1119" i="9"/>
  <c r="O1120" i="9"/>
  <c r="O1121" i="9"/>
  <c r="O1122" i="9"/>
  <c r="O1123" i="9"/>
  <c r="O1124" i="9"/>
  <c r="O1125" i="9"/>
  <c r="O1126" i="9"/>
  <c r="O1127" i="9"/>
  <c r="O1128" i="9"/>
  <c r="O1129" i="9"/>
  <c r="O1130" i="9"/>
  <c r="O1131" i="9"/>
  <c r="O1132" i="9"/>
  <c r="O1133" i="9"/>
  <c r="O1134" i="9"/>
  <c r="O1135" i="9"/>
  <c r="O1136" i="9"/>
  <c r="O1137" i="9"/>
  <c r="O1138" i="9"/>
  <c r="O1139" i="9"/>
  <c r="O1140" i="9"/>
  <c r="O1141" i="9"/>
  <c r="O1142" i="9"/>
  <c r="O1143" i="9"/>
  <c r="O1144" i="9"/>
  <c r="O1145" i="9"/>
  <c r="O1146" i="9"/>
  <c r="O1147" i="9"/>
  <c r="O1148" i="9"/>
  <c r="O1149" i="9"/>
  <c r="O1150" i="9"/>
  <c r="O1151" i="9"/>
  <c r="O1152" i="9"/>
  <c r="O1153" i="9"/>
  <c r="O1154" i="9"/>
  <c r="O1155" i="9"/>
  <c r="O1157" i="9"/>
  <c r="O1158" i="9"/>
  <c r="O1159" i="9"/>
  <c r="O1160" i="9"/>
  <c r="O1161" i="9"/>
  <c r="O1162" i="9"/>
  <c r="O1163" i="9"/>
  <c r="O1164" i="9"/>
  <c r="O1165" i="9"/>
  <c r="O1166" i="9"/>
  <c r="O1167" i="9"/>
  <c r="O1168" i="9"/>
  <c r="O1169" i="9"/>
  <c r="O1170" i="9"/>
  <c r="O1171" i="9"/>
  <c r="O1172" i="9"/>
  <c r="O1173" i="9"/>
  <c r="O1174" i="9"/>
  <c r="O1175" i="9"/>
  <c r="O1176" i="9"/>
  <c r="O1177" i="9"/>
  <c r="O1178" i="9"/>
  <c r="O1179" i="9"/>
  <c r="O1180" i="9"/>
  <c r="O1181" i="9"/>
  <c r="O1182" i="9"/>
  <c r="O1183" i="9"/>
  <c r="O1185" i="9"/>
  <c r="O1187" i="9"/>
  <c r="O1188" i="9"/>
  <c r="O1189" i="9"/>
  <c r="O1190" i="9"/>
  <c r="O1191" i="9"/>
  <c r="O1192" i="9"/>
  <c r="O1193" i="9"/>
  <c r="O1194" i="9"/>
  <c r="O1195" i="9"/>
  <c r="O1196" i="9"/>
  <c r="O1197" i="9"/>
  <c r="O1198" i="9"/>
  <c r="O1199" i="9"/>
  <c r="O1200" i="9"/>
  <c r="O1201" i="9"/>
  <c r="O2" i="9"/>
  <c r="P2" i="9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102" i="9"/>
  <c r="P103" i="9"/>
  <c r="P104" i="9"/>
  <c r="P105" i="9"/>
  <c r="P106" i="9"/>
  <c r="P107" i="9"/>
  <c r="P108" i="9"/>
  <c r="P109" i="9"/>
  <c r="P110" i="9"/>
  <c r="P111" i="9"/>
  <c r="P112" i="9"/>
  <c r="P113" i="9"/>
  <c r="P114" i="9"/>
  <c r="P115" i="9"/>
  <c r="P116" i="9"/>
  <c r="P117" i="9"/>
  <c r="P118" i="9"/>
  <c r="P119" i="9"/>
  <c r="P120" i="9"/>
  <c r="P121" i="9"/>
  <c r="P122" i="9"/>
  <c r="P123" i="9"/>
  <c r="P124" i="9"/>
  <c r="P125" i="9"/>
  <c r="P126" i="9"/>
  <c r="P127" i="9"/>
  <c r="P128" i="9"/>
  <c r="P129" i="9"/>
  <c r="P130" i="9"/>
  <c r="P131" i="9"/>
  <c r="P132" i="9"/>
  <c r="P133" i="9"/>
  <c r="P134" i="9"/>
  <c r="P135" i="9"/>
  <c r="P136" i="9"/>
  <c r="P137" i="9"/>
  <c r="P138" i="9"/>
  <c r="P139" i="9"/>
  <c r="P140" i="9"/>
  <c r="P141" i="9"/>
  <c r="P142" i="9"/>
  <c r="P143" i="9"/>
  <c r="P144" i="9"/>
  <c r="P145" i="9"/>
  <c r="P146" i="9"/>
  <c r="P147" i="9"/>
  <c r="P148" i="9"/>
  <c r="P149" i="9"/>
  <c r="P150" i="9"/>
  <c r="P151" i="9"/>
  <c r="P152" i="9"/>
  <c r="P153" i="9"/>
  <c r="P154" i="9"/>
  <c r="P155" i="9"/>
  <c r="P156" i="9"/>
  <c r="P157" i="9"/>
  <c r="P158" i="9"/>
  <c r="P159" i="9"/>
  <c r="P160" i="9"/>
  <c r="P161" i="9"/>
  <c r="P162" i="9"/>
  <c r="P163" i="9"/>
  <c r="P164" i="9"/>
  <c r="P165" i="9"/>
  <c r="P166" i="9"/>
  <c r="P167" i="9"/>
  <c r="P168" i="9"/>
  <c r="P169" i="9"/>
  <c r="P170" i="9"/>
  <c r="P171" i="9"/>
  <c r="P172" i="9"/>
  <c r="P173" i="9"/>
  <c r="P174" i="9"/>
  <c r="P175" i="9"/>
  <c r="P176" i="9"/>
  <c r="P177" i="9"/>
  <c r="P178" i="9"/>
  <c r="P179" i="9"/>
  <c r="P180" i="9"/>
  <c r="P181" i="9"/>
  <c r="P182" i="9"/>
  <c r="P183" i="9"/>
  <c r="P184" i="9"/>
  <c r="P185" i="9"/>
  <c r="P186" i="9"/>
  <c r="P187" i="9"/>
  <c r="P188" i="9"/>
  <c r="P189" i="9"/>
  <c r="P190" i="9"/>
  <c r="P191" i="9"/>
  <c r="P192" i="9"/>
  <c r="P193" i="9"/>
  <c r="P194" i="9"/>
  <c r="P195" i="9"/>
  <c r="P196" i="9"/>
  <c r="P197" i="9"/>
  <c r="P198" i="9"/>
  <c r="P199" i="9"/>
  <c r="P200" i="9"/>
  <c r="P201" i="9"/>
  <c r="P202" i="9"/>
  <c r="P203" i="9"/>
  <c r="P204" i="9"/>
  <c r="P205" i="9"/>
  <c r="P206" i="9"/>
  <c r="P207" i="9"/>
  <c r="P208" i="9"/>
  <c r="P209" i="9"/>
  <c r="P210" i="9"/>
  <c r="P211" i="9"/>
  <c r="P212" i="9"/>
  <c r="P213" i="9"/>
  <c r="P214" i="9"/>
  <c r="P215" i="9"/>
  <c r="P216" i="9"/>
  <c r="P217" i="9"/>
  <c r="P218" i="9"/>
  <c r="P219" i="9"/>
  <c r="P220" i="9"/>
  <c r="P221" i="9"/>
  <c r="P222" i="9"/>
  <c r="P223" i="9"/>
  <c r="P224" i="9"/>
  <c r="P225" i="9"/>
  <c r="P226" i="9"/>
  <c r="P227" i="9"/>
  <c r="P228" i="9"/>
  <c r="P229" i="9"/>
  <c r="P230" i="9"/>
  <c r="P231" i="9"/>
  <c r="P232" i="9"/>
  <c r="P233" i="9"/>
  <c r="P234" i="9"/>
  <c r="P235" i="9"/>
  <c r="P236" i="9"/>
  <c r="P237" i="9"/>
  <c r="P238" i="9"/>
  <c r="P239" i="9"/>
  <c r="P240" i="9"/>
  <c r="P241" i="9"/>
  <c r="P242" i="9"/>
  <c r="P243" i="9"/>
  <c r="P244" i="9"/>
  <c r="P245" i="9"/>
  <c r="P246" i="9"/>
  <c r="P247" i="9"/>
  <c r="P248" i="9"/>
  <c r="P249" i="9"/>
  <c r="P250" i="9"/>
  <c r="P251" i="9"/>
  <c r="P252" i="9"/>
  <c r="P253" i="9"/>
  <c r="P254" i="9"/>
  <c r="P255" i="9"/>
  <c r="P256" i="9"/>
  <c r="P257" i="9"/>
  <c r="P258" i="9"/>
  <c r="P259" i="9"/>
  <c r="P260" i="9"/>
  <c r="P261" i="9"/>
  <c r="P262" i="9"/>
  <c r="P263" i="9"/>
  <c r="P264" i="9"/>
  <c r="P265" i="9"/>
  <c r="P266" i="9"/>
  <c r="P267" i="9"/>
  <c r="P268" i="9"/>
  <c r="P269" i="9"/>
  <c r="P270" i="9"/>
  <c r="P271" i="9"/>
  <c r="P272" i="9"/>
  <c r="P273" i="9"/>
  <c r="P274" i="9"/>
  <c r="P275" i="9"/>
  <c r="P276" i="9"/>
  <c r="P277" i="9"/>
  <c r="P278" i="9"/>
  <c r="P279" i="9"/>
  <c r="P280" i="9"/>
  <c r="P281" i="9"/>
  <c r="P282" i="9"/>
  <c r="P283" i="9"/>
  <c r="P284" i="9"/>
  <c r="P285" i="9"/>
  <c r="P286" i="9"/>
  <c r="P287" i="9"/>
  <c r="P288" i="9"/>
  <c r="P289" i="9"/>
  <c r="P290" i="9"/>
  <c r="P291" i="9"/>
  <c r="P292" i="9"/>
  <c r="P293" i="9"/>
  <c r="P294" i="9"/>
  <c r="P295" i="9"/>
  <c r="P296" i="9"/>
  <c r="P297" i="9"/>
  <c r="P298" i="9"/>
  <c r="P299" i="9"/>
  <c r="P300" i="9"/>
  <c r="P301" i="9"/>
  <c r="P302" i="9"/>
  <c r="P303" i="9"/>
  <c r="P304" i="9"/>
  <c r="P305" i="9"/>
  <c r="P306" i="9"/>
  <c r="P307" i="9"/>
  <c r="P308" i="9"/>
  <c r="P309" i="9"/>
  <c r="P310" i="9"/>
  <c r="P311" i="9"/>
  <c r="P312" i="9"/>
  <c r="P313" i="9"/>
  <c r="P314" i="9"/>
  <c r="P315" i="9"/>
  <c r="P316" i="9"/>
  <c r="P317" i="9"/>
  <c r="P318" i="9"/>
  <c r="P319" i="9"/>
  <c r="P320" i="9"/>
  <c r="P321" i="9"/>
  <c r="P322" i="9"/>
  <c r="P323" i="9"/>
  <c r="P324" i="9"/>
  <c r="P325" i="9"/>
  <c r="P326" i="9"/>
  <c r="P327" i="9"/>
  <c r="P328" i="9"/>
  <c r="P329" i="9"/>
  <c r="P330" i="9"/>
  <c r="P331" i="9"/>
  <c r="P332" i="9"/>
  <c r="P333" i="9"/>
  <c r="P334" i="9"/>
  <c r="P335" i="9"/>
  <c r="P336" i="9"/>
  <c r="P337" i="9"/>
  <c r="P338" i="9"/>
  <c r="P339" i="9"/>
  <c r="P340" i="9"/>
  <c r="P341" i="9"/>
  <c r="P342" i="9"/>
  <c r="P343" i="9"/>
  <c r="P344" i="9"/>
  <c r="P345" i="9"/>
  <c r="P346" i="9"/>
  <c r="P347" i="9"/>
  <c r="P348" i="9"/>
  <c r="P349" i="9"/>
  <c r="P350" i="9"/>
  <c r="P351" i="9"/>
  <c r="P352" i="9"/>
  <c r="P353" i="9"/>
  <c r="P354" i="9"/>
  <c r="P355" i="9"/>
  <c r="P356" i="9"/>
  <c r="P357" i="9"/>
  <c r="P358" i="9"/>
  <c r="P359" i="9"/>
  <c r="P360" i="9"/>
  <c r="P361" i="9"/>
  <c r="P362" i="9"/>
  <c r="P363" i="9"/>
  <c r="P364" i="9"/>
  <c r="P365" i="9"/>
  <c r="P366" i="9"/>
  <c r="P367" i="9"/>
  <c r="P368" i="9"/>
  <c r="P369" i="9"/>
  <c r="P370" i="9"/>
  <c r="P371" i="9"/>
  <c r="P372" i="9"/>
  <c r="P373" i="9"/>
  <c r="P374" i="9"/>
  <c r="P375" i="9"/>
  <c r="P376" i="9"/>
  <c r="P377" i="9"/>
  <c r="P378" i="9"/>
  <c r="P379" i="9"/>
  <c r="P380" i="9"/>
  <c r="P381" i="9"/>
  <c r="P382" i="9"/>
  <c r="P383" i="9"/>
  <c r="P384" i="9"/>
  <c r="P385" i="9"/>
  <c r="P386" i="9"/>
  <c r="P387" i="9"/>
  <c r="P388" i="9"/>
  <c r="P389" i="9"/>
  <c r="P390" i="9"/>
  <c r="P391" i="9"/>
  <c r="P392" i="9"/>
  <c r="P393" i="9"/>
  <c r="P394" i="9"/>
  <c r="P395" i="9"/>
  <c r="P396" i="9"/>
  <c r="P397" i="9"/>
  <c r="P398" i="9"/>
  <c r="P399" i="9"/>
  <c r="P400" i="9"/>
  <c r="P401" i="9"/>
  <c r="P402" i="9"/>
  <c r="P403" i="9"/>
  <c r="P404" i="9"/>
  <c r="P405" i="9"/>
  <c r="P406" i="9"/>
  <c r="P407" i="9"/>
  <c r="P408" i="9"/>
  <c r="P409" i="9"/>
  <c r="P410" i="9"/>
  <c r="P411" i="9"/>
  <c r="P412" i="9"/>
  <c r="P413" i="9"/>
  <c r="P414" i="9"/>
  <c r="P415" i="9"/>
  <c r="P416" i="9"/>
  <c r="P417" i="9"/>
  <c r="P418" i="9"/>
  <c r="P419" i="9"/>
  <c r="P420" i="9"/>
  <c r="P421" i="9"/>
  <c r="P422" i="9"/>
  <c r="P423" i="9"/>
  <c r="P424" i="9"/>
  <c r="P425" i="9"/>
  <c r="P426" i="9"/>
  <c r="P427" i="9"/>
  <c r="P428" i="9"/>
  <c r="P429" i="9"/>
  <c r="P430" i="9"/>
  <c r="P431" i="9"/>
  <c r="P432" i="9"/>
  <c r="P433" i="9"/>
  <c r="P434" i="9"/>
  <c r="P435" i="9"/>
  <c r="P436" i="9"/>
  <c r="P437" i="9"/>
  <c r="P438" i="9"/>
  <c r="P439" i="9"/>
  <c r="P440" i="9"/>
  <c r="P441" i="9"/>
  <c r="P442" i="9"/>
  <c r="P443" i="9"/>
  <c r="P444" i="9"/>
  <c r="P445" i="9"/>
  <c r="P446" i="9"/>
  <c r="P447" i="9"/>
  <c r="P448" i="9"/>
  <c r="P449" i="9"/>
  <c r="P450" i="9"/>
  <c r="P451" i="9"/>
  <c r="P452" i="9"/>
  <c r="P453" i="9"/>
  <c r="P454" i="9"/>
  <c r="P455" i="9"/>
  <c r="P456" i="9"/>
  <c r="P457" i="9"/>
  <c r="P458" i="9"/>
  <c r="P459" i="9"/>
  <c r="P460" i="9"/>
  <c r="P461" i="9"/>
  <c r="P462" i="9"/>
  <c r="P463" i="9"/>
  <c r="P464" i="9"/>
  <c r="P465" i="9"/>
  <c r="P466" i="9"/>
  <c r="P467" i="9"/>
  <c r="P468" i="9"/>
  <c r="P469" i="9"/>
  <c r="P470" i="9"/>
  <c r="P471" i="9"/>
  <c r="P472" i="9"/>
  <c r="P473" i="9"/>
  <c r="P474" i="9"/>
  <c r="P475" i="9"/>
  <c r="P476" i="9"/>
  <c r="P477" i="9"/>
  <c r="P478" i="9"/>
  <c r="P479" i="9"/>
  <c r="P480" i="9"/>
  <c r="P481" i="9"/>
  <c r="P482" i="9"/>
  <c r="P483" i="9"/>
  <c r="P484" i="9"/>
  <c r="P485" i="9"/>
  <c r="P486" i="9"/>
  <c r="P487" i="9"/>
  <c r="P488" i="9"/>
  <c r="P489" i="9"/>
  <c r="P490" i="9"/>
  <c r="P491" i="9"/>
  <c r="P492" i="9"/>
  <c r="P493" i="9"/>
  <c r="P494" i="9"/>
  <c r="P495" i="9"/>
  <c r="P496" i="9"/>
  <c r="P497" i="9"/>
  <c r="P498" i="9"/>
  <c r="P499" i="9"/>
  <c r="P500" i="9"/>
  <c r="P501" i="9"/>
  <c r="P502" i="9"/>
  <c r="P503" i="9"/>
  <c r="P504" i="9"/>
  <c r="P505" i="9"/>
  <c r="P506" i="9"/>
  <c r="P507" i="9"/>
  <c r="P508" i="9"/>
  <c r="P509" i="9"/>
  <c r="P510" i="9"/>
  <c r="P511" i="9"/>
  <c r="P512" i="9"/>
  <c r="P513" i="9"/>
  <c r="P514" i="9"/>
  <c r="P515" i="9"/>
  <c r="P516" i="9"/>
  <c r="P517" i="9"/>
  <c r="P518" i="9"/>
  <c r="P519" i="9"/>
  <c r="P520" i="9"/>
  <c r="P521" i="9"/>
  <c r="P522" i="9"/>
  <c r="P523" i="9"/>
  <c r="P524" i="9"/>
  <c r="P525" i="9"/>
  <c r="P526" i="9"/>
  <c r="P527" i="9"/>
  <c r="P528" i="9"/>
  <c r="P529" i="9"/>
  <c r="P530" i="9"/>
  <c r="P531" i="9"/>
  <c r="P532" i="9"/>
  <c r="P533" i="9"/>
  <c r="P534" i="9"/>
  <c r="P535" i="9"/>
  <c r="P536" i="9"/>
  <c r="P537" i="9"/>
  <c r="P538" i="9"/>
  <c r="P539" i="9"/>
  <c r="P540" i="9"/>
  <c r="P541" i="9"/>
  <c r="P542" i="9"/>
  <c r="P543" i="9"/>
  <c r="P544" i="9"/>
  <c r="P545" i="9"/>
  <c r="P546" i="9"/>
  <c r="P547" i="9"/>
  <c r="P548" i="9"/>
  <c r="P549" i="9"/>
  <c r="P550" i="9"/>
  <c r="P551" i="9"/>
  <c r="P552" i="9"/>
  <c r="P553" i="9"/>
  <c r="P554" i="9"/>
  <c r="P555" i="9"/>
  <c r="P556" i="9"/>
  <c r="P557" i="9"/>
  <c r="P558" i="9"/>
  <c r="P559" i="9"/>
  <c r="P560" i="9"/>
  <c r="P561" i="9"/>
  <c r="P562" i="9"/>
  <c r="P563" i="9"/>
  <c r="P564" i="9"/>
  <c r="P565" i="9"/>
  <c r="P566" i="9"/>
  <c r="P567" i="9"/>
  <c r="P568" i="9"/>
  <c r="P569" i="9"/>
  <c r="P570" i="9"/>
  <c r="P571" i="9"/>
  <c r="P572" i="9"/>
  <c r="P573" i="9"/>
  <c r="P574" i="9"/>
  <c r="P575" i="9"/>
  <c r="P576" i="9"/>
  <c r="P577" i="9"/>
  <c r="P578" i="9"/>
  <c r="P579" i="9"/>
  <c r="P580" i="9"/>
  <c r="P581" i="9"/>
  <c r="P582" i="9"/>
  <c r="P583" i="9"/>
  <c r="P584" i="9"/>
  <c r="P585" i="9"/>
  <c r="P586" i="9"/>
  <c r="P587" i="9"/>
  <c r="P588" i="9"/>
  <c r="P589" i="9"/>
  <c r="P590" i="9"/>
  <c r="P591" i="9"/>
  <c r="P592" i="9"/>
  <c r="P593" i="9"/>
  <c r="P594" i="9"/>
  <c r="P595" i="9"/>
  <c r="P596" i="9"/>
  <c r="P597" i="9"/>
  <c r="P598" i="9"/>
  <c r="P599" i="9"/>
  <c r="P600" i="9"/>
  <c r="P601" i="9"/>
  <c r="P602" i="9"/>
  <c r="P603" i="9"/>
  <c r="P604" i="9"/>
  <c r="P605" i="9"/>
  <c r="P606" i="9"/>
  <c r="P607" i="9"/>
  <c r="P608" i="9"/>
  <c r="P609" i="9"/>
  <c r="P610" i="9"/>
  <c r="P611" i="9"/>
  <c r="P612" i="9"/>
  <c r="P613" i="9"/>
  <c r="P614" i="9"/>
  <c r="P615" i="9"/>
  <c r="P616" i="9"/>
  <c r="P617" i="9"/>
  <c r="P618" i="9"/>
  <c r="P619" i="9"/>
  <c r="P620" i="9"/>
  <c r="P621" i="9"/>
  <c r="P622" i="9"/>
  <c r="P623" i="9"/>
  <c r="P624" i="9"/>
  <c r="P625" i="9"/>
  <c r="P626" i="9"/>
  <c r="P627" i="9"/>
  <c r="P628" i="9"/>
  <c r="P629" i="9"/>
  <c r="P630" i="9"/>
  <c r="P631" i="9"/>
  <c r="P632" i="9"/>
  <c r="P633" i="9"/>
  <c r="P634" i="9"/>
  <c r="P635" i="9"/>
  <c r="P636" i="9"/>
  <c r="P637" i="9"/>
  <c r="P638" i="9"/>
  <c r="P639" i="9"/>
  <c r="P640" i="9"/>
  <c r="P641" i="9"/>
  <c r="P642" i="9"/>
  <c r="P643" i="9"/>
  <c r="P644" i="9"/>
  <c r="P645" i="9"/>
  <c r="P646" i="9"/>
  <c r="P647" i="9"/>
  <c r="P648" i="9"/>
  <c r="P649" i="9"/>
  <c r="P650" i="9"/>
  <c r="P651" i="9"/>
  <c r="P652" i="9"/>
  <c r="P653" i="9"/>
  <c r="P654" i="9"/>
  <c r="P655" i="9"/>
  <c r="P656" i="9"/>
  <c r="P657" i="9"/>
  <c r="P658" i="9"/>
  <c r="P659" i="9"/>
  <c r="P660" i="9"/>
  <c r="P661" i="9"/>
  <c r="P662" i="9"/>
  <c r="P663" i="9"/>
  <c r="P664" i="9"/>
  <c r="P665" i="9"/>
  <c r="P666" i="9"/>
  <c r="P667" i="9"/>
  <c r="P668" i="9"/>
  <c r="P669" i="9"/>
  <c r="P670" i="9"/>
  <c r="P671" i="9"/>
  <c r="P672" i="9"/>
  <c r="P673" i="9"/>
  <c r="P674" i="9"/>
  <c r="P675" i="9"/>
  <c r="P676" i="9"/>
  <c r="P677" i="9"/>
  <c r="P678" i="9"/>
  <c r="P679" i="9"/>
  <c r="P680" i="9"/>
  <c r="P681" i="9"/>
  <c r="P682" i="9"/>
  <c r="P683" i="9"/>
  <c r="P684" i="9"/>
  <c r="P685" i="9"/>
  <c r="P686" i="9"/>
  <c r="P687" i="9"/>
  <c r="P688" i="9"/>
  <c r="P689" i="9"/>
  <c r="P690" i="9"/>
  <c r="P691" i="9"/>
  <c r="P692" i="9"/>
  <c r="P693" i="9"/>
  <c r="P694" i="9"/>
  <c r="P695" i="9"/>
  <c r="P696" i="9"/>
  <c r="P697" i="9"/>
  <c r="P698" i="9"/>
  <c r="P699" i="9"/>
  <c r="P700" i="9"/>
  <c r="P701" i="9"/>
  <c r="P702" i="9"/>
  <c r="P703" i="9"/>
  <c r="P704" i="9"/>
  <c r="P705" i="9"/>
  <c r="P706" i="9"/>
  <c r="P707" i="9"/>
  <c r="P708" i="9"/>
  <c r="P709" i="9"/>
  <c r="P710" i="9"/>
  <c r="P711" i="9"/>
  <c r="P712" i="9"/>
  <c r="P713" i="9"/>
  <c r="P714" i="9"/>
  <c r="P715" i="9"/>
  <c r="P716" i="9"/>
  <c r="P717" i="9"/>
  <c r="P718" i="9"/>
  <c r="P719" i="9"/>
  <c r="P720" i="9"/>
  <c r="P721" i="9"/>
  <c r="P722" i="9"/>
  <c r="P723" i="9"/>
  <c r="P724" i="9"/>
  <c r="P725" i="9"/>
  <c r="P726" i="9"/>
  <c r="P727" i="9"/>
  <c r="P728" i="9"/>
  <c r="P729" i="9"/>
  <c r="P730" i="9"/>
  <c r="P731" i="9"/>
  <c r="P732" i="9"/>
  <c r="P733" i="9"/>
  <c r="P734" i="9"/>
  <c r="P735" i="9"/>
  <c r="P736" i="9"/>
  <c r="P737" i="9"/>
  <c r="P738" i="9"/>
  <c r="P739" i="9"/>
  <c r="P740" i="9"/>
  <c r="P741" i="9"/>
  <c r="P742" i="9"/>
  <c r="P743" i="9"/>
  <c r="P744" i="9"/>
  <c r="P745" i="9"/>
  <c r="P746" i="9"/>
  <c r="P747" i="9"/>
  <c r="P748" i="9"/>
  <c r="P749" i="9"/>
  <c r="P750" i="9"/>
  <c r="P751" i="9"/>
  <c r="P752" i="9"/>
  <c r="P753" i="9"/>
  <c r="P754" i="9"/>
  <c r="P755" i="9"/>
  <c r="P756" i="9"/>
  <c r="P757" i="9"/>
  <c r="P758" i="9"/>
  <c r="P759" i="9"/>
  <c r="P760" i="9"/>
  <c r="P761" i="9"/>
  <c r="P762" i="9"/>
  <c r="P763" i="9"/>
  <c r="P764" i="9"/>
  <c r="P765" i="9"/>
  <c r="P766" i="9"/>
  <c r="P767" i="9"/>
  <c r="P768" i="9"/>
  <c r="P769" i="9"/>
  <c r="P770" i="9"/>
  <c r="P771" i="9"/>
  <c r="P772" i="9"/>
  <c r="P773" i="9"/>
  <c r="P774" i="9"/>
  <c r="P775" i="9"/>
  <c r="P776" i="9"/>
  <c r="P777" i="9"/>
  <c r="P778" i="9"/>
  <c r="P779" i="9"/>
  <c r="P780" i="9"/>
  <c r="P781" i="9"/>
  <c r="P782" i="9"/>
  <c r="P783" i="9"/>
  <c r="P784" i="9"/>
  <c r="P785" i="9"/>
  <c r="P786" i="9"/>
  <c r="P787" i="9"/>
  <c r="P788" i="9"/>
  <c r="P789" i="9"/>
  <c r="P790" i="9"/>
  <c r="P791" i="9"/>
  <c r="P792" i="9"/>
  <c r="P793" i="9"/>
  <c r="P794" i="9"/>
  <c r="P795" i="9"/>
  <c r="P796" i="9"/>
  <c r="P797" i="9"/>
  <c r="P798" i="9"/>
  <c r="P799" i="9"/>
  <c r="P800" i="9"/>
  <c r="P801" i="9"/>
  <c r="P802" i="9"/>
  <c r="P803" i="9"/>
  <c r="P804" i="9"/>
  <c r="P805" i="9"/>
  <c r="P806" i="9"/>
  <c r="P807" i="9"/>
  <c r="P808" i="9"/>
  <c r="P809" i="9"/>
  <c r="P810" i="9"/>
  <c r="P811" i="9"/>
  <c r="P812" i="9"/>
  <c r="P813" i="9"/>
  <c r="P814" i="9"/>
  <c r="P815" i="9"/>
  <c r="P816" i="9"/>
  <c r="P817" i="9"/>
  <c r="P818" i="9"/>
  <c r="P819" i="9"/>
  <c r="P820" i="9"/>
  <c r="P821" i="9"/>
  <c r="P822" i="9"/>
  <c r="P823" i="9"/>
  <c r="P824" i="9"/>
  <c r="P825" i="9"/>
  <c r="P826" i="9"/>
  <c r="P827" i="9"/>
  <c r="P828" i="9"/>
  <c r="P829" i="9"/>
  <c r="P830" i="9"/>
  <c r="P831" i="9"/>
  <c r="P832" i="9"/>
  <c r="P833" i="9"/>
  <c r="P834" i="9"/>
  <c r="P835" i="9"/>
  <c r="P836" i="9"/>
  <c r="P837" i="9"/>
  <c r="P838" i="9"/>
  <c r="P839" i="9"/>
  <c r="P840" i="9"/>
  <c r="P841" i="9"/>
  <c r="P842" i="9"/>
  <c r="P843" i="9"/>
  <c r="P844" i="9"/>
  <c r="P845" i="9"/>
  <c r="P846" i="9"/>
  <c r="P847" i="9"/>
  <c r="P848" i="9"/>
  <c r="P849" i="9"/>
  <c r="P850" i="9"/>
  <c r="P851" i="9"/>
  <c r="P852" i="9"/>
  <c r="P853" i="9"/>
  <c r="P854" i="9"/>
  <c r="P855" i="9"/>
  <c r="P856" i="9"/>
  <c r="P857" i="9"/>
  <c r="P858" i="9"/>
  <c r="P859" i="9"/>
  <c r="P860" i="9"/>
  <c r="P861" i="9"/>
  <c r="P862" i="9"/>
  <c r="P863" i="9"/>
  <c r="P864" i="9"/>
  <c r="P865" i="9"/>
  <c r="P866" i="9"/>
  <c r="P867" i="9"/>
  <c r="P868" i="9"/>
  <c r="P869" i="9"/>
  <c r="P870" i="9"/>
  <c r="P871" i="9"/>
  <c r="P872" i="9"/>
  <c r="P873" i="9"/>
  <c r="P874" i="9"/>
  <c r="P875" i="9"/>
  <c r="P876" i="9"/>
  <c r="P877" i="9"/>
  <c r="P878" i="9"/>
  <c r="P879" i="9"/>
  <c r="P880" i="9"/>
  <c r="P881" i="9"/>
  <c r="P882" i="9"/>
  <c r="P883" i="9"/>
  <c r="P884" i="9"/>
  <c r="P885" i="9"/>
  <c r="P886" i="9"/>
  <c r="P887" i="9"/>
  <c r="P888" i="9"/>
  <c r="P889" i="9"/>
  <c r="P890" i="9"/>
  <c r="P891" i="9"/>
  <c r="P892" i="9"/>
  <c r="P893" i="9"/>
  <c r="P894" i="9"/>
  <c r="P895" i="9"/>
  <c r="P896" i="9"/>
  <c r="P897" i="9"/>
  <c r="P898" i="9"/>
  <c r="P899" i="9"/>
  <c r="P900" i="9"/>
  <c r="P901" i="9"/>
  <c r="P902" i="9"/>
  <c r="P903" i="9"/>
  <c r="P904" i="9"/>
  <c r="P905" i="9"/>
  <c r="P906" i="9"/>
  <c r="P907" i="9"/>
  <c r="P908" i="9"/>
  <c r="P909" i="9"/>
  <c r="P910" i="9"/>
  <c r="P911" i="9"/>
  <c r="P912" i="9"/>
  <c r="P913" i="9"/>
  <c r="P914" i="9"/>
  <c r="P915" i="9"/>
  <c r="P916" i="9"/>
  <c r="P917" i="9"/>
  <c r="P918" i="9"/>
  <c r="P919" i="9"/>
  <c r="P920" i="9"/>
  <c r="P921" i="9"/>
  <c r="P922" i="9"/>
  <c r="P923" i="9"/>
  <c r="P924" i="9"/>
  <c r="P925" i="9"/>
  <c r="P926" i="9"/>
  <c r="P927" i="9"/>
  <c r="P928" i="9"/>
  <c r="P929" i="9"/>
  <c r="P930" i="9"/>
  <c r="P931" i="9"/>
  <c r="P932" i="9"/>
  <c r="P933" i="9"/>
  <c r="P934" i="9"/>
  <c r="P935" i="9"/>
  <c r="P936" i="9"/>
  <c r="P937" i="9"/>
  <c r="P938" i="9"/>
  <c r="P939" i="9"/>
  <c r="P940" i="9"/>
  <c r="P941" i="9"/>
  <c r="P942" i="9"/>
  <c r="P943" i="9"/>
  <c r="P944" i="9"/>
  <c r="P945" i="9"/>
  <c r="P946" i="9"/>
  <c r="P947" i="9"/>
  <c r="P948" i="9"/>
  <c r="P949" i="9"/>
  <c r="P950" i="9"/>
  <c r="P951" i="9"/>
  <c r="P952" i="9"/>
  <c r="P953" i="9"/>
  <c r="P954" i="9"/>
  <c r="P955" i="9"/>
  <c r="P956" i="9"/>
  <c r="P957" i="9"/>
  <c r="P958" i="9"/>
  <c r="P959" i="9"/>
  <c r="P960" i="9"/>
  <c r="P961" i="9"/>
  <c r="P962" i="9"/>
  <c r="P963" i="9"/>
  <c r="P964" i="9"/>
  <c r="P965" i="9"/>
  <c r="P966" i="9"/>
  <c r="P967" i="9"/>
  <c r="P968" i="9"/>
  <c r="P969" i="9"/>
  <c r="P970" i="9"/>
  <c r="P971" i="9"/>
  <c r="P972" i="9"/>
  <c r="P973" i="9"/>
  <c r="P974" i="9"/>
  <c r="P975" i="9"/>
  <c r="P976" i="9"/>
  <c r="P977" i="9"/>
  <c r="P978" i="9"/>
  <c r="P979" i="9"/>
  <c r="P980" i="9"/>
  <c r="P981" i="9"/>
  <c r="P982" i="9"/>
  <c r="P983" i="9"/>
  <c r="P984" i="9"/>
  <c r="P985" i="9"/>
  <c r="P986" i="9"/>
  <c r="P987" i="9"/>
  <c r="P988" i="9"/>
  <c r="P989" i="9"/>
  <c r="P990" i="9"/>
  <c r="P991" i="9"/>
  <c r="P992" i="9"/>
  <c r="P993" i="9"/>
  <c r="P994" i="9"/>
  <c r="P995" i="9"/>
  <c r="P996" i="9"/>
  <c r="P997" i="9"/>
  <c r="P998" i="9"/>
  <c r="P999" i="9"/>
  <c r="P1000" i="9"/>
  <c r="P1001" i="9"/>
  <c r="P1002" i="9"/>
  <c r="P1003" i="9"/>
  <c r="P1004" i="9"/>
  <c r="P1005" i="9"/>
  <c r="P1006" i="9"/>
  <c r="P1007" i="9"/>
  <c r="P1008" i="9"/>
  <c r="P1009" i="9"/>
  <c r="P1010" i="9"/>
  <c r="P1011" i="9"/>
  <c r="P1012" i="9"/>
  <c r="P1013" i="9"/>
  <c r="P1014" i="9"/>
  <c r="P1015" i="9"/>
  <c r="P1016" i="9"/>
  <c r="P1017" i="9"/>
  <c r="P1018" i="9"/>
  <c r="P1019" i="9"/>
  <c r="P1020" i="9"/>
  <c r="P1021" i="9"/>
  <c r="P1022" i="9"/>
  <c r="P1023" i="9"/>
  <c r="P1024" i="9"/>
  <c r="P1025" i="9"/>
  <c r="P1026" i="9"/>
  <c r="P1027" i="9"/>
  <c r="P1028" i="9"/>
  <c r="P1029" i="9"/>
  <c r="P1030" i="9"/>
  <c r="P1031" i="9"/>
  <c r="P1032" i="9"/>
  <c r="P1033" i="9"/>
  <c r="P1034" i="9"/>
  <c r="P1035" i="9"/>
  <c r="P1036" i="9"/>
  <c r="P1037" i="9"/>
  <c r="P1038" i="9"/>
  <c r="P1039" i="9"/>
  <c r="P1040" i="9"/>
  <c r="P1041" i="9"/>
  <c r="P1042" i="9"/>
  <c r="P1043" i="9"/>
  <c r="P1044" i="9"/>
  <c r="P1045" i="9"/>
  <c r="P1046" i="9"/>
  <c r="P1047" i="9"/>
  <c r="P1048" i="9"/>
  <c r="P1049" i="9"/>
  <c r="P1050" i="9"/>
  <c r="P1051" i="9"/>
  <c r="P1052" i="9"/>
  <c r="P1053" i="9"/>
  <c r="P1054" i="9"/>
  <c r="P1055" i="9"/>
  <c r="P1056" i="9"/>
  <c r="P1057" i="9"/>
  <c r="P1058" i="9"/>
  <c r="P1059" i="9"/>
  <c r="P1060" i="9"/>
  <c r="P1061" i="9"/>
  <c r="P1062" i="9"/>
  <c r="P1063" i="9"/>
  <c r="P1064" i="9"/>
  <c r="P1065" i="9"/>
  <c r="P1066" i="9"/>
  <c r="P1067" i="9"/>
  <c r="P1068" i="9"/>
  <c r="P1069" i="9"/>
  <c r="P1070" i="9"/>
  <c r="P1071" i="9"/>
  <c r="P1072" i="9"/>
  <c r="P1073" i="9"/>
  <c r="P1074" i="9"/>
  <c r="P1075" i="9"/>
  <c r="P1076" i="9"/>
  <c r="P1077" i="9"/>
  <c r="P1078" i="9"/>
  <c r="P1079" i="9"/>
  <c r="P1080" i="9"/>
  <c r="P1081" i="9"/>
  <c r="P1082" i="9"/>
  <c r="P1083" i="9"/>
  <c r="P1084" i="9"/>
  <c r="P1085" i="9"/>
  <c r="P1086" i="9"/>
  <c r="P1087" i="9"/>
  <c r="P1088" i="9"/>
  <c r="P1089" i="9"/>
  <c r="P1090" i="9"/>
  <c r="P1091" i="9"/>
  <c r="P1092" i="9"/>
  <c r="P1093" i="9"/>
  <c r="P1094" i="9"/>
  <c r="P1095" i="9"/>
  <c r="P1096" i="9"/>
  <c r="P1097" i="9"/>
  <c r="P1098" i="9"/>
  <c r="P1099" i="9"/>
  <c r="P1100" i="9"/>
  <c r="P1101" i="9"/>
  <c r="P1102" i="9"/>
  <c r="P1103" i="9"/>
  <c r="P1104" i="9"/>
  <c r="P1105" i="9"/>
  <c r="P1106" i="9"/>
  <c r="P1107" i="9"/>
  <c r="P1108" i="9"/>
  <c r="P1109" i="9"/>
  <c r="P1110" i="9"/>
  <c r="P1111" i="9"/>
  <c r="P1112" i="9"/>
  <c r="P1113" i="9"/>
  <c r="P1114" i="9"/>
  <c r="P1115" i="9"/>
  <c r="P1116" i="9"/>
  <c r="P1117" i="9"/>
  <c r="P1118" i="9"/>
  <c r="P1119" i="9"/>
  <c r="P1120" i="9"/>
  <c r="P1121" i="9"/>
  <c r="P1122" i="9"/>
  <c r="P1123" i="9"/>
  <c r="P1124" i="9"/>
  <c r="P1125" i="9"/>
  <c r="P1126" i="9"/>
  <c r="P1127" i="9"/>
  <c r="P1128" i="9"/>
  <c r="P1129" i="9"/>
  <c r="P1130" i="9"/>
  <c r="P1131" i="9"/>
  <c r="P1132" i="9"/>
  <c r="P1133" i="9"/>
  <c r="P1134" i="9"/>
  <c r="P1135" i="9"/>
  <c r="P1136" i="9"/>
  <c r="P1137" i="9"/>
  <c r="P1138" i="9"/>
  <c r="P1139" i="9"/>
  <c r="P1140" i="9"/>
  <c r="P1141" i="9"/>
  <c r="P1142" i="9"/>
  <c r="P1143" i="9"/>
  <c r="P1144" i="9"/>
  <c r="P1145" i="9"/>
  <c r="P1146" i="9"/>
  <c r="P1147" i="9"/>
  <c r="P1148" i="9"/>
  <c r="P1149" i="9"/>
  <c r="P1150" i="9"/>
  <c r="P1151" i="9"/>
  <c r="P1152" i="9"/>
  <c r="P1153" i="9"/>
  <c r="P1154" i="9"/>
  <c r="P1155" i="9"/>
  <c r="P1156" i="9"/>
  <c r="P1157" i="9"/>
  <c r="P1158" i="9"/>
  <c r="P1159" i="9"/>
  <c r="P1160" i="9"/>
  <c r="P1161" i="9"/>
  <c r="P1162" i="9"/>
  <c r="P1163" i="9"/>
  <c r="P1164" i="9"/>
  <c r="P1165" i="9"/>
  <c r="P1166" i="9"/>
  <c r="P1167" i="9"/>
  <c r="P1168" i="9"/>
  <c r="P1169" i="9"/>
  <c r="P1170" i="9"/>
  <c r="P1171" i="9"/>
  <c r="P1172" i="9"/>
  <c r="P1173" i="9"/>
  <c r="P1174" i="9"/>
  <c r="P1175" i="9"/>
  <c r="P1176" i="9"/>
  <c r="P1177" i="9"/>
  <c r="P1178" i="9"/>
  <c r="P1179" i="9"/>
  <c r="P1180" i="9"/>
  <c r="P1181" i="9"/>
  <c r="P1182" i="9"/>
  <c r="P1183" i="9"/>
  <c r="P1184" i="9"/>
  <c r="P1185" i="9"/>
  <c r="P1186" i="9"/>
  <c r="P1187" i="9"/>
  <c r="P1188" i="9"/>
  <c r="P1189" i="9"/>
  <c r="P1190" i="9"/>
  <c r="P1191" i="9"/>
  <c r="P1192" i="9"/>
  <c r="P1193" i="9"/>
  <c r="P1194" i="9"/>
  <c r="P1195" i="9"/>
  <c r="P1196" i="9"/>
  <c r="P1197" i="9"/>
  <c r="P1198" i="9"/>
  <c r="P1199" i="9"/>
  <c r="P1200" i="9"/>
  <c r="P1201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<sst xmlns="http://schemas.openxmlformats.org/spreadsheetml/2006/main" count="17165" uniqueCount="1302">
  <si>
    <t>Transaction_ID</t>
  </si>
  <si>
    <t>Date</t>
  </si>
  <si>
    <t>Company</t>
  </si>
  <si>
    <t>Industry</t>
  </si>
  <si>
    <t>Region</t>
  </si>
  <si>
    <t>Currency</t>
  </si>
  <si>
    <t>Revenue</t>
  </si>
  <si>
    <t>Operating_Expenses</t>
  </si>
  <si>
    <t>Operating_Income</t>
  </si>
  <si>
    <t>Cash</t>
  </si>
  <si>
    <t>Debt</t>
  </si>
  <si>
    <t>Total_Assets</t>
  </si>
  <si>
    <t>Employees</t>
  </si>
  <si>
    <t>Stock_Return</t>
  </si>
  <si>
    <t>Profit_Margin</t>
  </si>
  <si>
    <t>Debt_to_Assets</t>
  </si>
  <si>
    <t>Quarter</t>
  </si>
  <si>
    <t>Year</t>
  </si>
  <si>
    <t>Risk_Level</t>
  </si>
  <si>
    <t>TXN-100001</t>
  </si>
  <si>
    <t>Golden Homes</t>
  </si>
  <si>
    <t>Real Estate</t>
  </si>
  <si>
    <t>Asia-Pacific</t>
  </si>
  <si>
    <t>USD</t>
  </si>
  <si>
    <t>2025Q3</t>
  </si>
  <si>
    <t>Low</t>
  </si>
  <si>
    <t>TXN-100002</t>
  </si>
  <si>
    <t>Evergreen Foods</t>
  </si>
  <si>
    <t>Food &amp; Beverage</t>
  </si>
  <si>
    <t>TXN-100003</t>
  </si>
  <si>
    <t>Cedar Health</t>
  </si>
  <si>
    <t>Healthcare</t>
  </si>
  <si>
    <t>Europe</t>
  </si>
  <si>
    <t>EUR</t>
  </si>
  <si>
    <t>2025Q2</t>
  </si>
  <si>
    <t>TXN-100004</t>
  </si>
  <si>
    <t>Lumen Telecom</t>
  </si>
  <si>
    <t>Telecommunications</t>
  </si>
  <si>
    <t>North America</t>
  </si>
  <si>
    <t>2023Q2</t>
  </si>
  <si>
    <t>Medium</t>
  </si>
  <si>
    <t>TXN-100005</t>
  </si>
  <si>
    <t>Delta Energy</t>
  </si>
  <si>
    <t>Energy</t>
  </si>
  <si>
    <t>2023Q4</t>
  </si>
  <si>
    <t>TXN-100006</t>
  </si>
  <si>
    <t>2022Q4</t>
  </si>
  <si>
    <t>TXN-100007</t>
  </si>
  <si>
    <t>Apex Retail</t>
  </si>
  <si>
    <t>Retail</t>
  </si>
  <si>
    <t>TXN-100008</t>
  </si>
  <si>
    <t>Latin America</t>
  </si>
  <si>
    <t>2024Q4</t>
  </si>
  <si>
    <t>TXN-100009</t>
  </si>
  <si>
    <t>Kite Travel</t>
  </si>
  <si>
    <t>Travel</t>
  </si>
  <si>
    <t>2023Q3</t>
  </si>
  <si>
    <t>TXN-100010</t>
  </si>
  <si>
    <t>2022Q2</t>
  </si>
  <si>
    <t>TXN-100011</t>
  </si>
  <si>
    <t>TXN-100012</t>
  </si>
  <si>
    <t>Jupiter Manufacturing</t>
  </si>
  <si>
    <t xml:space="preserve">Technology </t>
  </si>
  <si>
    <t>TXN-100013</t>
  </si>
  <si>
    <t>TXN-100014</t>
  </si>
  <si>
    <t xml:space="preserve">Europe </t>
  </si>
  <si>
    <t>2025Q4</t>
  </si>
  <si>
    <t>TXN-100015</t>
  </si>
  <si>
    <t>BluePeak Logistics</t>
  </si>
  <si>
    <t>Logistics</t>
  </si>
  <si>
    <t>TXN-100016</t>
  </si>
  <si>
    <t>TXN-100017</t>
  </si>
  <si>
    <t>2024Q3</t>
  </si>
  <si>
    <t>TXN-100018</t>
  </si>
  <si>
    <t>Manufacturing</t>
  </si>
  <si>
    <t>TXN-100019</t>
  </si>
  <si>
    <t>2022Q3</t>
  </si>
  <si>
    <t>TXN-100020</t>
  </si>
  <si>
    <t>Insight Media</t>
  </si>
  <si>
    <t>Media</t>
  </si>
  <si>
    <t>2024Q1</t>
  </si>
  <si>
    <t>TXN-100021</t>
  </si>
  <si>
    <t>High</t>
  </si>
  <si>
    <t>TXN-100022</t>
  </si>
  <si>
    <t>TXN-100023</t>
  </si>
  <si>
    <t>Fusion Tech</t>
  </si>
  <si>
    <t>Technology</t>
  </si>
  <si>
    <t>TXN-100024</t>
  </si>
  <si>
    <t>TXN-100025</t>
  </si>
  <si>
    <t>TXN-100026</t>
  </si>
  <si>
    <t>2022Q1</t>
  </si>
  <si>
    <t>TXN-100027</t>
  </si>
  <si>
    <t>TXN-100028</t>
  </si>
  <si>
    <t>TXN-100029</t>
  </si>
  <si>
    <t>TXN-100030</t>
  </si>
  <si>
    <t>TXN-100031</t>
  </si>
  <si>
    <t>TXN-100032</t>
  </si>
  <si>
    <t>TXN-100033</t>
  </si>
  <si>
    <t>TXN-100034</t>
  </si>
  <si>
    <t>TXN-100035</t>
  </si>
  <si>
    <t>TXN-100036</t>
  </si>
  <si>
    <t>TXN-100037</t>
  </si>
  <si>
    <t>Harbor Finance</t>
  </si>
  <si>
    <t>Financial Services</t>
  </si>
  <si>
    <t>TXN-100038</t>
  </si>
  <si>
    <t>TXN-100039</t>
  </si>
  <si>
    <t>2025Q1</t>
  </si>
  <si>
    <t>TXN-100040</t>
  </si>
  <si>
    <t>TXN-100041</t>
  </si>
  <si>
    <t>Latin america</t>
  </si>
  <si>
    <t>TXN-100042</t>
  </si>
  <si>
    <t>2024Q2</t>
  </si>
  <si>
    <t>TXN-100043</t>
  </si>
  <si>
    <t>TXN-100044</t>
  </si>
  <si>
    <t>TXN-100045</t>
  </si>
  <si>
    <t>TXN-100046</t>
  </si>
  <si>
    <t>north america</t>
  </si>
  <si>
    <t>TXN-100047</t>
  </si>
  <si>
    <t>2023Q1</t>
  </si>
  <si>
    <t>TXN-100048</t>
  </si>
  <si>
    <t>TXN-100049</t>
  </si>
  <si>
    <t>TXN-100050</t>
  </si>
  <si>
    <t>TXN-100051</t>
  </si>
  <si>
    <t>TXN-100052</t>
  </si>
  <si>
    <t>TXN-100053</t>
  </si>
  <si>
    <t>TXN-100054</t>
  </si>
  <si>
    <t>TXN-100055</t>
  </si>
  <si>
    <t>TXN-100056</t>
  </si>
  <si>
    <t>TXN-100057</t>
  </si>
  <si>
    <t>TXN-100058</t>
  </si>
  <si>
    <t>TXN-100059</t>
  </si>
  <si>
    <t>TXN-100060</t>
  </si>
  <si>
    <t>TXN-100061</t>
  </si>
  <si>
    <t>TXN-100062</t>
  </si>
  <si>
    <t>TXN-100063</t>
  </si>
  <si>
    <t>TXN-100064</t>
  </si>
  <si>
    <t>TXN-100065</t>
  </si>
  <si>
    <t>TXN-100066</t>
  </si>
  <si>
    <t>TXN-100067</t>
  </si>
  <si>
    <t>TXN-100068</t>
  </si>
  <si>
    <t>TXN-100069</t>
  </si>
  <si>
    <t>TXN-100070</t>
  </si>
  <si>
    <t>TXN-100071</t>
  </si>
  <si>
    <t>TXN-100072</t>
  </si>
  <si>
    <t>ASIA-PACIFIC</t>
  </si>
  <si>
    <t>TXN-100073</t>
  </si>
  <si>
    <t>TXN-100074</t>
  </si>
  <si>
    <t>TXN-100075</t>
  </si>
  <si>
    <t>TXN-100076</t>
  </si>
  <si>
    <t>TXN-100077</t>
  </si>
  <si>
    <t>TXN-100078</t>
  </si>
  <si>
    <t>TXN-100079</t>
  </si>
  <si>
    <t>TXN-100080</t>
  </si>
  <si>
    <t>TXN-100081</t>
  </si>
  <si>
    <t>TXN-100082</t>
  </si>
  <si>
    <t>TXN-100083</t>
  </si>
  <si>
    <t>TXN-100084</t>
  </si>
  <si>
    <t>TXN-100085</t>
  </si>
  <si>
    <t>TXN-100086</t>
  </si>
  <si>
    <t>TXN-100087</t>
  </si>
  <si>
    <t>TXN-100088</t>
  </si>
  <si>
    <t>TXN-100089</t>
  </si>
  <si>
    <t>TXN-100090</t>
  </si>
  <si>
    <t>TXN-100091</t>
  </si>
  <si>
    <t>TXN-100092</t>
  </si>
  <si>
    <t>TXN-100093</t>
  </si>
  <si>
    <t>TXN-100094</t>
  </si>
  <si>
    <t>TXN-100095</t>
  </si>
  <si>
    <t>TXN-100096</t>
  </si>
  <si>
    <t>TXN-100097</t>
  </si>
  <si>
    <t>TXN-100098</t>
  </si>
  <si>
    <t>TXN-100099</t>
  </si>
  <si>
    <t>TXN-100100</t>
  </si>
  <si>
    <t>TXN-100101</t>
  </si>
  <si>
    <t>TXN-100102</t>
  </si>
  <si>
    <t>TXN-100103</t>
  </si>
  <si>
    <t>TXN-100104</t>
  </si>
  <si>
    <t>TXN-100105</t>
  </si>
  <si>
    <t>TXN-100106</t>
  </si>
  <si>
    <t>TXN-100107</t>
  </si>
  <si>
    <t>TXN-100108</t>
  </si>
  <si>
    <t>TXN-100109</t>
  </si>
  <si>
    <t>TXN-100110</t>
  </si>
  <si>
    <t>TXN-100111</t>
  </si>
  <si>
    <t>TXN-100112</t>
  </si>
  <si>
    <t>TXN-100113</t>
  </si>
  <si>
    <t>TXN-100114</t>
  </si>
  <si>
    <t>TXN-100115</t>
  </si>
  <si>
    <t>TXN-100116</t>
  </si>
  <si>
    <t>TXN-100117</t>
  </si>
  <si>
    <t>TXN-100118</t>
  </si>
  <si>
    <t>TXN-100119</t>
  </si>
  <si>
    <t>TXN-100120</t>
  </si>
  <si>
    <t>TXN-100121</t>
  </si>
  <si>
    <t>TXN-100122</t>
  </si>
  <si>
    <t>TXN-100123</t>
  </si>
  <si>
    <t>TXN-100124</t>
  </si>
  <si>
    <t>TXN-100125</t>
  </si>
  <si>
    <t>TXN-100126</t>
  </si>
  <si>
    <t>TXN-100127</t>
  </si>
  <si>
    <t>TXN-100128</t>
  </si>
  <si>
    <t>TXN-100129</t>
  </si>
  <si>
    <t>TXN-100130</t>
  </si>
  <si>
    <t>TXN-100131</t>
  </si>
  <si>
    <t>TXN-100132</t>
  </si>
  <si>
    <t>TXN-100133</t>
  </si>
  <si>
    <t>TXN-100134</t>
  </si>
  <si>
    <t>TXN-100135</t>
  </si>
  <si>
    <t>TXN-100136</t>
  </si>
  <si>
    <t>TXN-100137</t>
  </si>
  <si>
    <t>TXN-100138</t>
  </si>
  <si>
    <t>TXN-100139</t>
  </si>
  <si>
    <t>TXN-100140</t>
  </si>
  <si>
    <t>TXN-100141</t>
  </si>
  <si>
    <t>TXN-100142</t>
  </si>
  <si>
    <t>TXN-100143</t>
  </si>
  <si>
    <t>TXN-100144</t>
  </si>
  <si>
    <t>TXN-100145</t>
  </si>
  <si>
    <t>TXN-100146</t>
  </si>
  <si>
    <t>TXN-100147</t>
  </si>
  <si>
    <t>TXN-100148</t>
  </si>
  <si>
    <t>TXN-100149</t>
  </si>
  <si>
    <t>TXN-100150</t>
  </si>
  <si>
    <t>TXN-100151</t>
  </si>
  <si>
    <t>TXN-100152</t>
  </si>
  <si>
    <t>TXN-100153</t>
  </si>
  <si>
    <t>TXN-100154</t>
  </si>
  <si>
    <t>FINANCIAL SERVICES</t>
  </si>
  <si>
    <t>TXN-100155</t>
  </si>
  <si>
    <t>TXN-100156</t>
  </si>
  <si>
    <t>TXN-100157</t>
  </si>
  <si>
    <t>TXN-100158</t>
  </si>
  <si>
    <t>TXN-100159</t>
  </si>
  <si>
    <t>TXN-100160</t>
  </si>
  <si>
    <t>TXN-100161</t>
  </si>
  <si>
    <t>TXN-100162</t>
  </si>
  <si>
    <t>TXN-100163</t>
  </si>
  <si>
    <t>TXN-100164</t>
  </si>
  <si>
    <t>TXN-100165</t>
  </si>
  <si>
    <t>TXN-100166</t>
  </si>
  <si>
    <t>TXN-100167</t>
  </si>
  <si>
    <t>TXN-100168</t>
  </si>
  <si>
    <t>TXN-100169</t>
  </si>
  <si>
    <t>TXN-100170</t>
  </si>
  <si>
    <t>TXN-100171</t>
  </si>
  <si>
    <t>TXN-100172</t>
  </si>
  <si>
    <t>TXN-100173</t>
  </si>
  <si>
    <t>TXN-100174</t>
  </si>
  <si>
    <t>TXN-100175</t>
  </si>
  <si>
    <t>TXN-100176</t>
  </si>
  <si>
    <t>TXN-100177</t>
  </si>
  <si>
    <t>TXN-100178</t>
  </si>
  <si>
    <t>TXN-100179</t>
  </si>
  <si>
    <t>TXN-100180</t>
  </si>
  <si>
    <t>TXN-100181</t>
  </si>
  <si>
    <t>TXN-100182</t>
  </si>
  <si>
    <t>TXN-100183</t>
  </si>
  <si>
    <t>TXN-100184</t>
  </si>
  <si>
    <t>TXN-100185</t>
  </si>
  <si>
    <t>TXN-100186</t>
  </si>
  <si>
    <t>TXN-100187</t>
  </si>
  <si>
    <t>TXN-100188</t>
  </si>
  <si>
    <t>TXN-100189</t>
  </si>
  <si>
    <t>TXN-100190</t>
  </si>
  <si>
    <t>TXN-100191</t>
  </si>
  <si>
    <t>TXN-100192</t>
  </si>
  <si>
    <t>TXN-100193</t>
  </si>
  <si>
    <t>TXN-100194</t>
  </si>
  <si>
    <t>TXN-100195</t>
  </si>
  <si>
    <t>TXN-100196</t>
  </si>
  <si>
    <t>TXN-100197</t>
  </si>
  <si>
    <t>TXN-100198</t>
  </si>
  <si>
    <t>TXN-100199</t>
  </si>
  <si>
    <t>TXN-100200</t>
  </si>
  <si>
    <t>TXN-100201</t>
  </si>
  <si>
    <t>technology</t>
  </si>
  <si>
    <t>TXN-100202</t>
  </si>
  <si>
    <t>TXN-100203</t>
  </si>
  <si>
    <t>TXN-100204</t>
  </si>
  <si>
    <t>TXN-100205</t>
  </si>
  <si>
    <t>TXN-100206</t>
  </si>
  <si>
    <t>TXN-100207</t>
  </si>
  <si>
    <t>TXN-100208</t>
  </si>
  <si>
    <t>TXN-100209</t>
  </si>
  <si>
    <t>TXN-100210</t>
  </si>
  <si>
    <t>TXN-100211</t>
  </si>
  <si>
    <t>TXN-100212</t>
  </si>
  <si>
    <t>TXN-100213</t>
  </si>
  <si>
    <t>TXN-100214</t>
  </si>
  <si>
    <t>TXN-100215</t>
  </si>
  <si>
    <t>TXN-100216</t>
  </si>
  <si>
    <t>TXN-100217</t>
  </si>
  <si>
    <t>TXN-100218</t>
  </si>
  <si>
    <t>TXN-100219</t>
  </si>
  <si>
    <t>TXN-100220</t>
  </si>
  <si>
    <t>TXN-100221</t>
  </si>
  <si>
    <t>TXN-100222</t>
  </si>
  <si>
    <t>TXN-100223</t>
  </si>
  <si>
    <t>TXN-100224</t>
  </si>
  <si>
    <t>TXN-100225</t>
  </si>
  <si>
    <t>TXN-100226</t>
  </si>
  <si>
    <t>TXN-100227</t>
  </si>
  <si>
    <t>TXN-100228</t>
  </si>
  <si>
    <t>TXN-100229</t>
  </si>
  <si>
    <t>TXN-100230</t>
  </si>
  <si>
    <t>TXN-100231</t>
  </si>
  <si>
    <t>TXN-100232</t>
  </si>
  <si>
    <t>TXN-100233</t>
  </si>
  <si>
    <t>TXN-100234</t>
  </si>
  <si>
    <t>TXN-100235</t>
  </si>
  <si>
    <t>TXN-100236</t>
  </si>
  <si>
    <t>TXN-100237</t>
  </si>
  <si>
    <t>TXN-100238</t>
  </si>
  <si>
    <t>TXN-100239</t>
  </si>
  <si>
    <t>TXN-100240</t>
  </si>
  <si>
    <t>TXN-100241</t>
  </si>
  <si>
    <t>TXN-100242</t>
  </si>
  <si>
    <t>TXN-100243</t>
  </si>
  <si>
    <t>TXN-100244</t>
  </si>
  <si>
    <t>TXN-100245</t>
  </si>
  <si>
    <t>TXN-100246</t>
  </si>
  <si>
    <t>TXN-100247</t>
  </si>
  <si>
    <t>TXN-100248</t>
  </si>
  <si>
    <t>TXN-100249</t>
  </si>
  <si>
    <t>TXN-100250</t>
  </si>
  <si>
    <t>TXN-100251</t>
  </si>
  <si>
    <t>TXN-100252</t>
  </si>
  <si>
    <t>TXN-100253</t>
  </si>
  <si>
    <t>TXN-100254</t>
  </si>
  <si>
    <t>TXN-100255</t>
  </si>
  <si>
    <t>TXN-100256</t>
  </si>
  <si>
    <t>TXN-100257</t>
  </si>
  <si>
    <t>TXN-100258</t>
  </si>
  <si>
    <t>TXN-100259</t>
  </si>
  <si>
    <t>TXN-100260</t>
  </si>
  <si>
    <t>TXN-100261</t>
  </si>
  <si>
    <t>TXN-100262</t>
  </si>
  <si>
    <t>TXN-100263</t>
  </si>
  <si>
    <t>TXN-100264</t>
  </si>
  <si>
    <t>TXN-100265</t>
  </si>
  <si>
    <t>TXN-100266</t>
  </si>
  <si>
    <t>TXN-100267</t>
  </si>
  <si>
    <t>TXN-100268</t>
  </si>
  <si>
    <t>TXN-100269</t>
  </si>
  <si>
    <t>TXN-100270</t>
  </si>
  <si>
    <t>TXN-100271</t>
  </si>
  <si>
    <t>TXN-100272</t>
  </si>
  <si>
    <t>TXN-100273</t>
  </si>
  <si>
    <t>TXN-100274</t>
  </si>
  <si>
    <t>TXN-100275</t>
  </si>
  <si>
    <t>TXN-100276</t>
  </si>
  <si>
    <t>TXN-100277</t>
  </si>
  <si>
    <t>TXN-100278</t>
  </si>
  <si>
    <t>TXN-100279</t>
  </si>
  <si>
    <t>TXN-100280</t>
  </si>
  <si>
    <t>TXN-100281</t>
  </si>
  <si>
    <t>TXN-100282</t>
  </si>
  <si>
    <t>TXN-100283</t>
  </si>
  <si>
    <t>TXN-100284</t>
  </si>
  <si>
    <t>TXN-100285</t>
  </si>
  <si>
    <t>TXN-100286</t>
  </si>
  <si>
    <t>TXN-100287</t>
  </si>
  <si>
    <t>TXN-100288</t>
  </si>
  <si>
    <t>TXN-100289</t>
  </si>
  <si>
    <t>TXN-100290</t>
  </si>
  <si>
    <t>TXN-100291</t>
  </si>
  <si>
    <t>TXN-100292</t>
  </si>
  <si>
    <t>TXN-100293</t>
  </si>
  <si>
    <t>TXN-100294</t>
  </si>
  <si>
    <t>TXN-100295</t>
  </si>
  <si>
    <t>TXN-100296</t>
  </si>
  <si>
    <t>TXN-100297</t>
  </si>
  <si>
    <t>TXN-100298</t>
  </si>
  <si>
    <t>TXN-100299</t>
  </si>
  <si>
    <t>TXN-100300</t>
  </si>
  <si>
    <t>TXN-100301</t>
  </si>
  <si>
    <t>TXN-100302</t>
  </si>
  <si>
    <t>TXN-100303</t>
  </si>
  <si>
    <t>TXN-100304</t>
  </si>
  <si>
    <t>TXN-100305</t>
  </si>
  <si>
    <t>TXN-100306</t>
  </si>
  <si>
    <t>TXN-100307</t>
  </si>
  <si>
    <t>TXN-100308</t>
  </si>
  <si>
    <t>TXN-100309</t>
  </si>
  <si>
    <t>TXN-100310</t>
  </si>
  <si>
    <t>TXN-100311</t>
  </si>
  <si>
    <t>TXN-100312</t>
  </si>
  <si>
    <t>TXN-100313</t>
  </si>
  <si>
    <t>TXN-100314</t>
  </si>
  <si>
    <t>TXN-100315</t>
  </si>
  <si>
    <t>TXN-100316</t>
  </si>
  <si>
    <t>TXN-100317</t>
  </si>
  <si>
    <t>TXN-100318</t>
  </si>
  <si>
    <t>TXN-100319</t>
  </si>
  <si>
    <t>TXN-100320</t>
  </si>
  <si>
    <t>TXN-100321</t>
  </si>
  <si>
    <t>TXN-100322</t>
  </si>
  <si>
    <t>TXN-100323</t>
  </si>
  <si>
    <t>TXN-100324</t>
  </si>
  <si>
    <t>TXN-100325</t>
  </si>
  <si>
    <t>TXN-100326</t>
  </si>
  <si>
    <t>TXN-100327</t>
  </si>
  <si>
    <t>TXN-100328</t>
  </si>
  <si>
    <t>TXN-100329</t>
  </si>
  <si>
    <t>TXN-100330</t>
  </si>
  <si>
    <t>TXN-100331</t>
  </si>
  <si>
    <t>TXN-100332</t>
  </si>
  <si>
    <t>TXN-100333</t>
  </si>
  <si>
    <t>TXN-100334</t>
  </si>
  <si>
    <t>TXN-100335</t>
  </si>
  <si>
    <t>TXN-100336</t>
  </si>
  <si>
    <t>TXN-100337</t>
  </si>
  <si>
    <t>TXN-100338</t>
  </si>
  <si>
    <t>TXN-100339</t>
  </si>
  <si>
    <t>TXN-100340</t>
  </si>
  <si>
    <t>TXN-100341</t>
  </si>
  <si>
    <t>TXN-100342</t>
  </si>
  <si>
    <t>TXN-100343</t>
  </si>
  <si>
    <t>TXN-100344</t>
  </si>
  <si>
    <t>TXN-100345</t>
  </si>
  <si>
    <t>TXN-100346</t>
  </si>
  <si>
    <t>TXN-100347</t>
  </si>
  <si>
    <t>TXN-100348</t>
  </si>
  <si>
    <t>TXN-100349</t>
  </si>
  <si>
    <t>TXN-100350</t>
  </si>
  <si>
    <t>TXN-100351</t>
  </si>
  <si>
    <t>TXN-100352</t>
  </si>
  <si>
    <t>TXN-100353</t>
  </si>
  <si>
    <t>TXN-100354</t>
  </si>
  <si>
    <t>TXN-100355</t>
  </si>
  <si>
    <t>TXN-100356</t>
  </si>
  <si>
    <t>TXN-100357</t>
  </si>
  <si>
    <t>TXN-100358</t>
  </si>
  <si>
    <t>TXN-100359</t>
  </si>
  <si>
    <t>TXN-100360</t>
  </si>
  <si>
    <t>TXN-100361</t>
  </si>
  <si>
    <t>TXN-100362</t>
  </si>
  <si>
    <t>TXN-100363</t>
  </si>
  <si>
    <t>TXN-100364</t>
  </si>
  <si>
    <t>TXN-100365</t>
  </si>
  <si>
    <t>TXN-100366</t>
  </si>
  <si>
    <t>TXN-100367</t>
  </si>
  <si>
    <t>TXN-100368</t>
  </si>
  <si>
    <t>TXN-100369</t>
  </si>
  <si>
    <t>TXN-100370</t>
  </si>
  <si>
    <t>TXN-100371</t>
  </si>
  <si>
    <t>TXN-100372</t>
  </si>
  <si>
    <t>TXN-100373</t>
  </si>
  <si>
    <t>TXN-100374</t>
  </si>
  <si>
    <t>TXN-100375</t>
  </si>
  <si>
    <t>TXN-100376</t>
  </si>
  <si>
    <t>TXN-100377</t>
  </si>
  <si>
    <t>TXN-100378</t>
  </si>
  <si>
    <t>TXN-100379</t>
  </si>
  <si>
    <t>TXN-100380</t>
  </si>
  <si>
    <t>TXN-100381</t>
  </si>
  <si>
    <t>TXN-100382</t>
  </si>
  <si>
    <t>TXN-100383</t>
  </si>
  <si>
    <t>TXN-100384</t>
  </si>
  <si>
    <t>TXN-100385</t>
  </si>
  <si>
    <t>TXN-100386</t>
  </si>
  <si>
    <t>TXN-100387</t>
  </si>
  <si>
    <t>TXN-100388</t>
  </si>
  <si>
    <t>TXN-100389</t>
  </si>
  <si>
    <t>TXN-100390</t>
  </si>
  <si>
    <t>TXN-100391</t>
  </si>
  <si>
    <t>TXN-100392</t>
  </si>
  <si>
    <t>TXN-100393</t>
  </si>
  <si>
    <t>TXN-100394</t>
  </si>
  <si>
    <t>TXN-100395</t>
  </si>
  <si>
    <t>TXN-100396</t>
  </si>
  <si>
    <t>TXN-100397</t>
  </si>
  <si>
    <t>TXN-100398</t>
  </si>
  <si>
    <t>TXN-100399</t>
  </si>
  <si>
    <t>TXN-100400</t>
  </si>
  <si>
    <t>TXN-100401</t>
  </si>
  <si>
    <t>TXN-100402</t>
  </si>
  <si>
    <t>TXN-100403</t>
  </si>
  <si>
    <t>TXN-100404</t>
  </si>
  <si>
    <t>TXN-100405</t>
  </si>
  <si>
    <t>retail</t>
  </si>
  <si>
    <t>TXN-100406</t>
  </si>
  <si>
    <t>TXN-100407</t>
  </si>
  <si>
    <t>TXN-100408</t>
  </si>
  <si>
    <t>TXN-100409</t>
  </si>
  <si>
    <t>TXN-100410</t>
  </si>
  <si>
    <t>TXN-100411</t>
  </si>
  <si>
    <t>TXN-100412</t>
  </si>
  <si>
    <t>TXN-100413</t>
  </si>
  <si>
    <t>TXN-100414</t>
  </si>
  <si>
    <t>TXN-100415</t>
  </si>
  <si>
    <t>TXN-100416</t>
  </si>
  <si>
    <t>TXN-100417</t>
  </si>
  <si>
    <t>TXN-100418</t>
  </si>
  <si>
    <t>TXN-100419</t>
  </si>
  <si>
    <t>TXN-100420</t>
  </si>
  <si>
    <t>TXN-100421</t>
  </si>
  <si>
    <t>TXN-100422</t>
  </si>
  <si>
    <t>TXN-100423</t>
  </si>
  <si>
    <t>TXN-100424</t>
  </si>
  <si>
    <t>TXN-100425</t>
  </si>
  <si>
    <t>TXN-100426</t>
  </si>
  <si>
    <t>TXN-100427</t>
  </si>
  <si>
    <t>TXN-100428</t>
  </si>
  <si>
    <t>TXN-100429</t>
  </si>
  <si>
    <t>TXN-100430</t>
  </si>
  <si>
    <t>TXN-100431</t>
  </si>
  <si>
    <t>TXN-100432</t>
  </si>
  <si>
    <t>TXN-100433</t>
  </si>
  <si>
    <t>TXN-100434</t>
  </si>
  <si>
    <t>TXN-100435</t>
  </si>
  <si>
    <t>TXN-100436</t>
  </si>
  <si>
    <t>TXN-100437</t>
  </si>
  <si>
    <t>TXN-100438</t>
  </si>
  <si>
    <t>TXN-100439</t>
  </si>
  <si>
    <t>TXN-100440</t>
  </si>
  <si>
    <t>TXN-100441</t>
  </si>
  <si>
    <t>TXN-100442</t>
  </si>
  <si>
    <t>TXN-100443</t>
  </si>
  <si>
    <t>TXN-100444</t>
  </si>
  <si>
    <t>TXN-100445</t>
  </si>
  <si>
    <t>TXN-100446</t>
  </si>
  <si>
    <t>TXN-100447</t>
  </si>
  <si>
    <t>TXN-100448</t>
  </si>
  <si>
    <t>TXN-100449</t>
  </si>
  <si>
    <t>TXN-100450</t>
  </si>
  <si>
    <t>TXN-100451</t>
  </si>
  <si>
    <t>TXN-100452</t>
  </si>
  <si>
    <t>TXN-100453</t>
  </si>
  <si>
    <t>TXN-100454</t>
  </si>
  <si>
    <t>TXN-100455</t>
  </si>
  <si>
    <t>TXN-100456</t>
  </si>
  <si>
    <t>TXN-100457</t>
  </si>
  <si>
    <t>TXN-100458</t>
  </si>
  <si>
    <t>TXN-100459</t>
  </si>
  <si>
    <t>TXN-100460</t>
  </si>
  <si>
    <t>TXN-100461</t>
  </si>
  <si>
    <t>TXN-100462</t>
  </si>
  <si>
    <t>TXN-100463</t>
  </si>
  <si>
    <t>TXN-100464</t>
  </si>
  <si>
    <t>TXN-100465</t>
  </si>
  <si>
    <t>TXN-100466</t>
  </si>
  <si>
    <t>TXN-100467</t>
  </si>
  <si>
    <t>TXN-100468</t>
  </si>
  <si>
    <t>TXN-100469</t>
  </si>
  <si>
    <t>TXN-100470</t>
  </si>
  <si>
    <t>TXN-100471</t>
  </si>
  <si>
    <t>TXN-100472</t>
  </si>
  <si>
    <t>TXN-100473</t>
  </si>
  <si>
    <t>TXN-100474</t>
  </si>
  <si>
    <t>TXN-100475</t>
  </si>
  <si>
    <t>TXN-100476</t>
  </si>
  <si>
    <t>TXN-100477</t>
  </si>
  <si>
    <t>TXN-100478</t>
  </si>
  <si>
    <t>TXN-100479</t>
  </si>
  <si>
    <t>TXN-100480</t>
  </si>
  <si>
    <t>TXN-100481</t>
  </si>
  <si>
    <t>TXN-100482</t>
  </si>
  <si>
    <t>TXN-100483</t>
  </si>
  <si>
    <t>TXN-100484</t>
  </si>
  <si>
    <t>TXN-100485</t>
  </si>
  <si>
    <t>TXN-100486</t>
  </si>
  <si>
    <t>TXN-100487</t>
  </si>
  <si>
    <t>TXN-100488</t>
  </si>
  <si>
    <t>TXN-100489</t>
  </si>
  <si>
    <t>TXN-100490</t>
  </si>
  <si>
    <t>TXN-100491</t>
  </si>
  <si>
    <t>TXN-100492</t>
  </si>
  <si>
    <t>TXN-100493</t>
  </si>
  <si>
    <t>TXN-100494</t>
  </si>
  <si>
    <t>TXN-100495</t>
  </si>
  <si>
    <t>TXN-100496</t>
  </si>
  <si>
    <t>TXN-100497</t>
  </si>
  <si>
    <t>TXN-100498</t>
  </si>
  <si>
    <t>TXN-100499</t>
  </si>
  <si>
    <t>TXN-100500</t>
  </si>
  <si>
    <t>TXN-100501</t>
  </si>
  <si>
    <t>TXN-100502</t>
  </si>
  <si>
    <t>TXN-100503</t>
  </si>
  <si>
    <t>TXN-100504</t>
  </si>
  <si>
    <t>TXN-100505</t>
  </si>
  <si>
    <t>TXN-100506</t>
  </si>
  <si>
    <t>TXN-100507</t>
  </si>
  <si>
    <t>TXN-100508</t>
  </si>
  <si>
    <t>TXN-100509</t>
  </si>
  <si>
    <t>TXN-100510</t>
  </si>
  <si>
    <t>TXN-100511</t>
  </si>
  <si>
    <t>TXN-100512</t>
  </si>
  <si>
    <t>TXN-100513</t>
  </si>
  <si>
    <t>TXN-100514</t>
  </si>
  <si>
    <t>TXN-100515</t>
  </si>
  <si>
    <t>TXN-100516</t>
  </si>
  <si>
    <t>TXN-100517</t>
  </si>
  <si>
    <t>TXN-100518</t>
  </si>
  <si>
    <t>TXN-100519</t>
  </si>
  <si>
    <t>TXN-100520</t>
  </si>
  <si>
    <t>TXN-100521</t>
  </si>
  <si>
    <t>TXN-100522</t>
  </si>
  <si>
    <t>TXN-100523</t>
  </si>
  <si>
    <t>TXN-100524</t>
  </si>
  <si>
    <t>TXN-100525</t>
  </si>
  <si>
    <t>TXN-100526</t>
  </si>
  <si>
    <t>TXN-100527</t>
  </si>
  <si>
    <t>TXN-100528</t>
  </si>
  <si>
    <t>TXN-100529</t>
  </si>
  <si>
    <t>TXN-100530</t>
  </si>
  <si>
    <t>TXN-100531</t>
  </si>
  <si>
    <t>TXN-100532</t>
  </si>
  <si>
    <t>TXN-100533</t>
  </si>
  <si>
    <t>TXN-100534</t>
  </si>
  <si>
    <t>TXN-100535</t>
  </si>
  <si>
    <t>TXN-100536</t>
  </si>
  <si>
    <t>TXN-100537</t>
  </si>
  <si>
    <t>TXN-100538</t>
  </si>
  <si>
    <t>TXN-100539</t>
  </si>
  <si>
    <t>TXN-100540</t>
  </si>
  <si>
    <t>TXN-100541</t>
  </si>
  <si>
    <t>TXN-100542</t>
  </si>
  <si>
    <t>TXN-100543</t>
  </si>
  <si>
    <t>TXN-100544</t>
  </si>
  <si>
    <t>TXN-100545</t>
  </si>
  <si>
    <t>TXN-100546</t>
  </si>
  <si>
    <t>TXN-100547</t>
  </si>
  <si>
    <t>TXN-100548</t>
  </si>
  <si>
    <t>TXN-100549</t>
  </si>
  <si>
    <t>TXN-100550</t>
  </si>
  <si>
    <t>TXN-100551</t>
  </si>
  <si>
    <t>TXN-100552</t>
  </si>
  <si>
    <t>TXN-100553</t>
  </si>
  <si>
    <t>TXN-100554</t>
  </si>
  <si>
    <t>TXN-100555</t>
  </si>
  <si>
    <t>TXN-100556</t>
  </si>
  <si>
    <t>TXN-100557</t>
  </si>
  <si>
    <t>TXN-100558</t>
  </si>
  <si>
    <t>TXN-100559</t>
  </si>
  <si>
    <t>TXN-100560</t>
  </si>
  <si>
    <t>TXN-100561</t>
  </si>
  <si>
    <t>TXN-100562</t>
  </si>
  <si>
    <t>TXN-100563</t>
  </si>
  <si>
    <t>TXN-100564</t>
  </si>
  <si>
    <t>TXN-100565</t>
  </si>
  <si>
    <t>TXN-100566</t>
  </si>
  <si>
    <t>TXN-100567</t>
  </si>
  <si>
    <t>TXN-100568</t>
  </si>
  <si>
    <t>TXN-100569</t>
  </si>
  <si>
    <t>TXN-100570</t>
  </si>
  <si>
    <t>TXN-100571</t>
  </si>
  <si>
    <t>TXN-100572</t>
  </si>
  <si>
    <t>TXN-100573</t>
  </si>
  <si>
    <t>TXN-100574</t>
  </si>
  <si>
    <t>TXN-100575</t>
  </si>
  <si>
    <t>TXN-100576</t>
  </si>
  <si>
    <t>TXN-100577</t>
  </si>
  <si>
    <t>TXN-100578</t>
  </si>
  <si>
    <t>TXN-100579</t>
  </si>
  <si>
    <t>TXN-100580</t>
  </si>
  <si>
    <t>TXN-100581</t>
  </si>
  <si>
    <t>TXN-100582</t>
  </si>
  <si>
    <t>TXN-100583</t>
  </si>
  <si>
    <t>TXN-100584</t>
  </si>
  <si>
    <t>TXN-100585</t>
  </si>
  <si>
    <t>TXN-100586</t>
  </si>
  <si>
    <t>TXN-100587</t>
  </si>
  <si>
    <t>TXN-100588</t>
  </si>
  <si>
    <t>TXN-100589</t>
  </si>
  <si>
    <t>TXN-100590</t>
  </si>
  <si>
    <t>TXN-100591</t>
  </si>
  <si>
    <t>TXN-100592</t>
  </si>
  <si>
    <t>TXN-100593</t>
  </si>
  <si>
    <t>TXN-100594</t>
  </si>
  <si>
    <t>TXN-100595</t>
  </si>
  <si>
    <t>TXN-100596</t>
  </si>
  <si>
    <t>TXN-100597</t>
  </si>
  <si>
    <t>TXN-100598</t>
  </si>
  <si>
    <t>TXN-100599</t>
  </si>
  <si>
    <t>TXN-100600</t>
  </si>
  <si>
    <t>TXN-100601</t>
  </si>
  <si>
    <t>TXN-100602</t>
  </si>
  <si>
    <t>TXN-100603</t>
  </si>
  <si>
    <t>TXN-100604</t>
  </si>
  <si>
    <t>TXN-100605</t>
  </si>
  <si>
    <t>TXN-100606</t>
  </si>
  <si>
    <t>TXN-100607</t>
  </si>
  <si>
    <t>TXN-100608</t>
  </si>
  <si>
    <t>TXN-100609</t>
  </si>
  <si>
    <t>TXN-100610</t>
  </si>
  <si>
    <t>TXN-100611</t>
  </si>
  <si>
    <t>TXN-100612</t>
  </si>
  <si>
    <t>TXN-100613</t>
  </si>
  <si>
    <t>TXN-100614</t>
  </si>
  <si>
    <t>TXN-100615</t>
  </si>
  <si>
    <t>TXN-100616</t>
  </si>
  <si>
    <t>TXN-100617</t>
  </si>
  <si>
    <t>TXN-100618</t>
  </si>
  <si>
    <t>TXN-100619</t>
  </si>
  <si>
    <t>TXN-100620</t>
  </si>
  <si>
    <t>TXN-100621</t>
  </si>
  <si>
    <t>TXN-100622</t>
  </si>
  <si>
    <t>TXN-100623</t>
  </si>
  <si>
    <t>TXN-100624</t>
  </si>
  <si>
    <t>TXN-100625</t>
  </si>
  <si>
    <t>TXN-100626</t>
  </si>
  <si>
    <t>TXN-100627</t>
  </si>
  <si>
    <t>TXN-100628</t>
  </si>
  <si>
    <t>TXN-100629</t>
  </si>
  <si>
    <t>TXN-100630</t>
  </si>
  <si>
    <t>TXN-100631</t>
  </si>
  <si>
    <t>TXN-100632</t>
  </si>
  <si>
    <t>TXN-100633</t>
  </si>
  <si>
    <t>TXN-100634</t>
  </si>
  <si>
    <t>TXN-100635</t>
  </si>
  <si>
    <t>TXN-100636</t>
  </si>
  <si>
    <t>TXN-100637</t>
  </si>
  <si>
    <t>TXN-100638</t>
  </si>
  <si>
    <t>TXN-100639</t>
  </si>
  <si>
    <t>TXN-100640</t>
  </si>
  <si>
    <t>TXN-100641</t>
  </si>
  <si>
    <t>TXN-100642</t>
  </si>
  <si>
    <t>TXN-100643</t>
  </si>
  <si>
    <t>TXN-100644</t>
  </si>
  <si>
    <t>TXN-100645</t>
  </si>
  <si>
    <t>TXN-100646</t>
  </si>
  <si>
    <t>TXN-100647</t>
  </si>
  <si>
    <t>TXN-100648</t>
  </si>
  <si>
    <t>TXN-100649</t>
  </si>
  <si>
    <t>TXN-100650</t>
  </si>
  <si>
    <t>TXN-100651</t>
  </si>
  <si>
    <t>TXN-100652</t>
  </si>
  <si>
    <t>TXN-100653</t>
  </si>
  <si>
    <t>TXN-100654</t>
  </si>
  <si>
    <t>TXN-100655</t>
  </si>
  <si>
    <t>TXN-100656</t>
  </si>
  <si>
    <t>TXN-100657</t>
  </si>
  <si>
    <t>TXN-100658</t>
  </si>
  <si>
    <t>TXN-100659</t>
  </si>
  <si>
    <t>TXN-100660</t>
  </si>
  <si>
    <t>TXN-100661</t>
  </si>
  <si>
    <t>TXN-100662</t>
  </si>
  <si>
    <t>TXN-100663</t>
  </si>
  <si>
    <t>TXN-100664</t>
  </si>
  <si>
    <t>TXN-100665</t>
  </si>
  <si>
    <t>TXN-100666</t>
  </si>
  <si>
    <t>TXN-100667</t>
  </si>
  <si>
    <t>TXN-100668</t>
  </si>
  <si>
    <t>TXN-100669</t>
  </si>
  <si>
    <t>TXN-100670</t>
  </si>
  <si>
    <t>TXN-100671</t>
  </si>
  <si>
    <t>TXN-100672</t>
  </si>
  <si>
    <t>TXN-100673</t>
  </si>
  <si>
    <t>TXN-100674</t>
  </si>
  <si>
    <t>TXN-100675</t>
  </si>
  <si>
    <t>TXN-100676</t>
  </si>
  <si>
    <t>TXN-100677</t>
  </si>
  <si>
    <t>TXN-100678</t>
  </si>
  <si>
    <t>TXN-100679</t>
  </si>
  <si>
    <t>TXN-100680</t>
  </si>
  <si>
    <t>TXN-100681</t>
  </si>
  <si>
    <t>TXN-100682</t>
  </si>
  <si>
    <t>TXN-100683</t>
  </si>
  <si>
    <t>TXN-100684</t>
  </si>
  <si>
    <t>TXN-100685</t>
  </si>
  <si>
    <t>TXN-100686</t>
  </si>
  <si>
    <t>TXN-100687</t>
  </si>
  <si>
    <t>TXN-100688</t>
  </si>
  <si>
    <t>TXN-100689</t>
  </si>
  <si>
    <t>TXN-100690</t>
  </si>
  <si>
    <t>TXN-100691</t>
  </si>
  <si>
    <t>TXN-100692</t>
  </si>
  <si>
    <t>TXN-100693</t>
  </si>
  <si>
    <t>TXN-100694</t>
  </si>
  <si>
    <t>TXN-100695</t>
  </si>
  <si>
    <t>TXN-100696</t>
  </si>
  <si>
    <t>TXN-100697</t>
  </si>
  <si>
    <t>TXN-100698</t>
  </si>
  <si>
    <t>TXN-100699</t>
  </si>
  <si>
    <t>TXN-100700</t>
  </si>
  <si>
    <t>TXN-100701</t>
  </si>
  <si>
    <t>TXN-100702</t>
  </si>
  <si>
    <t>TXN-100703</t>
  </si>
  <si>
    <t>TXN-100704</t>
  </si>
  <si>
    <t>TXN-100705</t>
  </si>
  <si>
    <t>TXN-100706</t>
  </si>
  <si>
    <t>TXN-100707</t>
  </si>
  <si>
    <t>TXN-100708</t>
  </si>
  <si>
    <t>TXN-100709</t>
  </si>
  <si>
    <t>TXN-100710</t>
  </si>
  <si>
    <t>TXN-100711</t>
  </si>
  <si>
    <t>TXN-100712</t>
  </si>
  <si>
    <t>TXN-100713</t>
  </si>
  <si>
    <t>TXN-100714</t>
  </si>
  <si>
    <t>TXN-100715</t>
  </si>
  <si>
    <t>TXN-100716</t>
  </si>
  <si>
    <t>TXN-100717</t>
  </si>
  <si>
    <t>TXN-100718</t>
  </si>
  <si>
    <t>TXN-100719</t>
  </si>
  <si>
    <t>TXN-100720</t>
  </si>
  <si>
    <t>TXN-100721</t>
  </si>
  <si>
    <t>TXN-100722</t>
  </si>
  <si>
    <t>TXN-100723</t>
  </si>
  <si>
    <t>TXN-100724</t>
  </si>
  <si>
    <t>TXN-100725</t>
  </si>
  <si>
    <t>TXN-100726</t>
  </si>
  <si>
    <t>TXN-100727</t>
  </si>
  <si>
    <t>TXN-100728</t>
  </si>
  <si>
    <t>TXN-100729</t>
  </si>
  <si>
    <t>TXN-100730</t>
  </si>
  <si>
    <t>TXN-100731</t>
  </si>
  <si>
    <t>TXN-100732</t>
  </si>
  <si>
    <t>TXN-100733</t>
  </si>
  <si>
    <t>TXN-100734</t>
  </si>
  <si>
    <t>TXN-100735</t>
  </si>
  <si>
    <t>TXN-100736</t>
  </si>
  <si>
    <t>TXN-100737</t>
  </si>
  <si>
    <t>TXN-100738</t>
  </si>
  <si>
    <t>TXN-100739</t>
  </si>
  <si>
    <t>TXN-100740</t>
  </si>
  <si>
    <t>TXN-100741</t>
  </si>
  <si>
    <t>TXN-100742</t>
  </si>
  <si>
    <t>TXN-100743</t>
  </si>
  <si>
    <t>TXN-100744</t>
  </si>
  <si>
    <t>TXN-100745</t>
  </si>
  <si>
    <t>TXN-100746</t>
  </si>
  <si>
    <t>TXN-100747</t>
  </si>
  <si>
    <t>TXN-100748</t>
  </si>
  <si>
    <t>TXN-100749</t>
  </si>
  <si>
    <t>TXN-100750</t>
  </si>
  <si>
    <t>TXN-100751</t>
  </si>
  <si>
    <t>TXN-100752</t>
  </si>
  <si>
    <t>TXN-100753</t>
  </si>
  <si>
    <t>TXN-100754</t>
  </si>
  <si>
    <t>TXN-100755</t>
  </si>
  <si>
    <t>TXN-100756</t>
  </si>
  <si>
    <t>TXN-100757</t>
  </si>
  <si>
    <t>TXN-100758</t>
  </si>
  <si>
    <t>TXN-100759</t>
  </si>
  <si>
    <t>TXN-100760</t>
  </si>
  <si>
    <t>TXN-100761</t>
  </si>
  <si>
    <t>TXN-100762</t>
  </si>
  <si>
    <t>TXN-100763</t>
  </si>
  <si>
    <t>TXN-100764</t>
  </si>
  <si>
    <t>TXN-100765</t>
  </si>
  <si>
    <t>TXN-100766</t>
  </si>
  <si>
    <t>TXN-100767</t>
  </si>
  <si>
    <t>TXN-100768</t>
  </si>
  <si>
    <t>TXN-100769</t>
  </si>
  <si>
    <t>TXN-100770</t>
  </si>
  <si>
    <t>TXN-100771</t>
  </si>
  <si>
    <t>TXN-100772</t>
  </si>
  <si>
    <t>TXN-100773</t>
  </si>
  <si>
    <t>TXN-100774</t>
  </si>
  <si>
    <t>TXN-100775</t>
  </si>
  <si>
    <t>TXN-100776</t>
  </si>
  <si>
    <t>TXN-100777</t>
  </si>
  <si>
    <t>TXN-100778</t>
  </si>
  <si>
    <t>TXN-100779</t>
  </si>
  <si>
    <t>TXN-100780</t>
  </si>
  <si>
    <t>TXN-100781</t>
  </si>
  <si>
    <t>TXN-100782</t>
  </si>
  <si>
    <t>TXN-100783</t>
  </si>
  <si>
    <t>TXN-100784</t>
  </si>
  <si>
    <t>TXN-100785</t>
  </si>
  <si>
    <t>TXN-100786</t>
  </si>
  <si>
    <t>TXN-100787</t>
  </si>
  <si>
    <t>TXN-100788</t>
  </si>
  <si>
    <t>TXN-100789</t>
  </si>
  <si>
    <t>TXN-100790</t>
  </si>
  <si>
    <t>TXN-100791</t>
  </si>
  <si>
    <t>TXN-100792</t>
  </si>
  <si>
    <t>TXN-100793</t>
  </si>
  <si>
    <t>TXN-100794</t>
  </si>
  <si>
    <t>TXN-100795</t>
  </si>
  <si>
    <t>TXN-100796</t>
  </si>
  <si>
    <t>TXN-100797</t>
  </si>
  <si>
    <t>TXN-100798</t>
  </si>
  <si>
    <t>TXN-100799</t>
  </si>
  <si>
    <t>TXN-100800</t>
  </si>
  <si>
    <t>TXN-100801</t>
  </si>
  <si>
    <t>TXN-100802</t>
  </si>
  <si>
    <t>TXN-100803</t>
  </si>
  <si>
    <t>TXN-100804</t>
  </si>
  <si>
    <t>TXN-100805</t>
  </si>
  <si>
    <t>TXN-100806</t>
  </si>
  <si>
    <t>TXN-100807</t>
  </si>
  <si>
    <t>TXN-100808</t>
  </si>
  <si>
    <t>TXN-100809</t>
  </si>
  <si>
    <t>TXN-100810</t>
  </si>
  <si>
    <t>TXN-100811</t>
  </si>
  <si>
    <t>TXN-100812</t>
  </si>
  <si>
    <t>TXN-100813</t>
  </si>
  <si>
    <t>TXN-100814</t>
  </si>
  <si>
    <t>TXN-100815</t>
  </si>
  <si>
    <t>TXN-100816</t>
  </si>
  <si>
    <t>TXN-100817</t>
  </si>
  <si>
    <t>TXN-100818</t>
  </si>
  <si>
    <t>TXN-100819</t>
  </si>
  <si>
    <t>TXN-100820</t>
  </si>
  <si>
    <t>26-02-2022</t>
  </si>
  <si>
    <t>TXN-100821</t>
  </si>
  <si>
    <t>TXN-100822</t>
  </si>
  <si>
    <t>TXN-100823</t>
  </si>
  <si>
    <t>TXN-100824</t>
  </si>
  <si>
    <t>TXN-100825</t>
  </si>
  <si>
    <t>TXN-100826</t>
  </si>
  <si>
    <t>TXN-100827</t>
  </si>
  <si>
    <t>TXN-100828</t>
  </si>
  <si>
    <t>TXN-100829</t>
  </si>
  <si>
    <t>TXN-100830</t>
  </si>
  <si>
    <t>TXN-100831</t>
  </si>
  <si>
    <t>TXN-100832</t>
  </si>
  <si>
    <t>TXN-100833</t>
  </si>
  <si>
    <t>TXN-100834</t>
  </si>
  <si>
    <t>TXN-100835</t>
  </si>
  <si>
    <t>TXN-100836</t>
  </si>
  <si>
    <t>TXN-100837</t>
  </si>
  <si>
    <t>TXN-100838</t>
  </si>
  <si>
    <t>TXN-100839</t>
  </si>
  <si>
    <t>TXN-100840</t>
  </si>
  <si>
    <t>TXN-100841</t>
  </si>
  <si>
    <t>TXN-100842</t>
  </si>
  <si>
    <t>TXN-100843</t>
  </si>
  <si>
    <t>TXN-100844</t>
  </si>
  <si>
    <t>TXN-100845</t>
  </si>
  <si>
    <t>TXN-100846</t>
  </si>
  <si>
    <t>TXN-100847</t>
  </si>
  <si>
    <t>TXN-100848</t>
  </si>
  <si>
    <t>TXN-100849</t>
  </si>
  <si>
    <t>TXN-100850</t>
  </si>
  <si>
    <t>TXN-100851</t>
  </si>
  <si>
    <t>TXN-100852</t>
  </si>
  <si>
    <t>TXN-100853</t>
  </si>
  <si>
    <t>TXN-100854</t>
  </si>
  <si>
    <t>TXN-100855</t>
  </si>
  <si>
    <t>TXN-100856</t>
  </si>
  <si>
    <t>TXN-100857</t>
  </si>
  <si>
    <t>TXN-100858</t>
  </si>
  <si>
    <t>TXN-100859</t>
  </si>
  <si>
    <t>TXN-100860</t>
  </si>
  <si>
    <t>TXN-100861</t>
  </si>
  <si>
    <t>TXN-100862</t>
  </si>
  <si>
    <t>TXN-100863</t>
  </si>
  <si>
    <t>TXN-100864</t>
  </si>
  <si>
    <t>TXN-100865</t>
  </si>
  <si>
    <t>TXN-100866</t>
  </si>
  <si>
    <t>TXN-100867</t>
  </si>
  <si>
    <t>TXN-100868</t>
  </si>
  <si>
    <t>TXN-100869</t>
  </si>
  <si>
    <t>TXN-100870</t>
  </si>
  <si>
    <t>TXN-100871</t>
  </si>
  <si>
    <t>TXN-100872</t>
  </si>
  <si>
    <t>TXN-100873</t>
  </si>
  <si>
    <t>TXN-100874</t>
  </si>
  <si>
    <t>TXN-100875</t>
  </si>
  <si>
    <t>TXN-100876</t>
  </si>
  <si>
    <t>TXN-100877</t>
  </si>
  <si>
    <t>TXN-100878</t>
  </si>
  <si>
    <t>TXN-100879</t>
  </si>
  <si>
    <t>TXN-100880</t>
  </si>
  <si>
    <t>TXN-100881</t>
  </si>
  <si>
    <t>TXN-100882</t>
  </si>
  <si>
    <t>TXN-100883</t>
  </si>
  <si>
    <t>TXN-100884</t>
  </si>
  <si>
    <t>TXN-100885</t>
  </si>
  <si>
    <t>TXN-100886</t>
  </si>
  <si>
    <t>TXN-100887</t>
  </si>
  <si>
    <t>TXN-100888</t>
  </si>
  <si>
    <t>TXN-100889</t>
  </si>
  <si>
    <t>TXN-100890</t>
  </si>
  <si>
    <t>TXN-100891</t>
  </si>
  <si>
    <t>TXN-100892</t>
  </si>
  <si>
    <t>TXN-100893</t>
  </si>
  <si>
    <t>TXN-100894</t>
  </si>
  <si>
    <t>TXN-100895</t>
  </si>
  <si>
    <t>TXN-100896</t>
  </si>
  <si>
    <t>TXN-100897</t>
  </si>
  <si>
    <t>TXN-100898</t>
  </si>
  <si>
    <t>TXN-100899</t>
  </si>
  <si>
    <t>TXN-100900</t>
  </si>
  <si>
    <t>TXN-100901</t>
  </si>
  <si>
    <t>TXN-100902</t>
  </si>
  <si>
    <t>TXN-100903</t>
  </si>
  <si>
    <t>TXN-100904</t>
  </si>
  <si>
    <t>TXN-100905</t>
  </si>
  <si>
    <t>TXN-100906</t>
  </si>
  <si>
    <t>TXN-100907</t>
  </si>
  <si>
    <t>TXN-100908</t>
  </si>
  <si>
    <t>TXN-100909</t>
  </si>
  <si>
    <t>TXN-100910</t>
  </si>
  <si>
    <t>TXN-100911</t>
  </si>
  <si>
    <t>TXN-100912</t>
  </si>
  <si>
    <t>TXN-100913</t>
  </si>
  <si>
    <t>TXN-100914</t>
  </si>
  <si>
    <t>TXN-100915</t>
  </si>
  <si>
    <t>TXN-100916</t>
  </si>
  <si>
    <t>TXN-100917</t>
  </si>
  <si>
    <t>TXN-100918</t>
  </si>
  <si>
    <t>TXN-100919</t>
  </si>
  <si>
    <t>TXN-100920</t>
  </si>
  <si>
    <t>TXN-100921</t>
  </si>
  <si>
    <t>TXN-100922</t>
  </si>
  <si>
    <t>TXN-100923</t>
  </si>
  <si>
    <t>TXN-100924</t>
  </si>
  <si>
    <t>TXN-100925</t>
  </si>
  <si>
    <t>TXN-100926</t>
  </si>
  <si>
    <t>TXN-100927</t>
  </si>
  <si>
    <t>TXN-100928</t>
  </si>
  <si>
    <t>TXN-100929</t>
  </si>
  <si>
    <t>TXN-100930</t>
  </si>
  <si>
    <t>TXN-100931</t>
  </si>
  <si>
    <t>TXN-100932</t>
  </si>
  <si>
    <t>TXN-100933</t>
  </si>
  <si>
    <t>TXN-100934</t>
  </si>
  <si>
    <t>TXN-100935</t>
  </si>
  <si>
    <t>TXN-100936</t>
  </si>
  <si>
    <t>TXN-100937</t>
  </si>
  <si>
    <t>TXN-100938</t>
  </si>
  <si>
    <t>TXN-100939</t>
  </si>
  <si>
    <t>TXN-100940</t>
  </si>
  <si>
    <t>TXN-100941</t>
  </si>
  <si>
    <t>TXN-100942</t>
  </si>
  <si>
    <t>TXN-100943</t>
  </si>
  <si>
    <t>TXN-100944</t>
  </si>
  <si>
    <t>TXN-100945</t>
  </si>
  <si>
    <t>TXN-100946</t>
  </si>
  <si>
    <t>TXN-100947</t>
  </si>
  <si>
    <t>TXN-100948</t>
  </si>
  <si>
    <t>TXN-100949</t>
  </si>
  <si>
    <t>TXN-100950</t>
  </si>
  <si>
    <t>TXN-100951</t>
  </si>
  <si>
    <t>TXN-100952</t>
  </si>
  <si>
    <t>TXN-100953</t>
  </si>
  <si>
    <t>TXN-100954</t>
  </si>
  <si>
    <t>TXN-100955</t>
  </si>
  <si>
    <t>TXN-100956</t>
  </si>
  <si>
    <t>TXN-100957</t>
  </si>
  <si>
    <t>TXN-100958</t>
  </si>
  <si>
    <t>TXN-100959</t>
  </si>
  <si>
    <t>TXN-100960</t>
  </si>
  <si>
    <t>TXN-100961</t>
  </si>
  <si>
    <t>TXN-100962</t>
  </si>
  <si>
    <t>TXN-100963</t>
  </si>
  <si>
    <t>TXN-100964</t>
  </si>
  <si>
    <t>TXN-100965</t>
  </si>
  <si>
    <t>TXN-100966</t>
  </si>
  <si>
    <t>TXN-100967</t>
  </si>
  <si>
    <t>TXN-100968</t>
  </si>
  <si>
    <t>TXN-100969</t>
  </si>
  <si>
    <t>TXN-100970</t>
  </si>
  <si>
    <t>TXN-100971</t>
  </si>
  <si>
    <t>TXN-100972</t>
  </si>
  <si>
    <t>TXN-100973</t>
  </si>
  <si>
    <t>TXN-100974</t>
  </si>
  <si>
    <t>TXN-100975</t>
  </si>
  <si>
    <t>TXN-100976</t>
  </si>
  <si>
    <t>TXN-100977</t>
  </si>
  <si>
    <t>TXN-100978</t>
  </si>
  <si>
    <t>TXN-100979</t>
  </si>
  <si>
    <t>TXN-100980</t>
  </si>
  <si>
    <t>TXN-100981</t>
  </si>
  <si>
    <t>TXN-100982</t>
  </si>
  <si>
    <t>TXN-100983</t>
  </si>
  <si>
    <t>TXN-100984</t>
  </si>
  <si>
    <t>TXN-100985</t>
  </si>
  <si>
    <t>TXN-100986</t>
  </si>
  <si>
    <t>TXN-100987</t>
  </si>
  <si>
    <t>TXN-100988</t>
  </si>
  <si>
    <t>TXN-100989</t>
  </si>
  <si>
    <t>TXN-100990</t>
  </si>
  <si>
    <t>TXN-100991</t>
  </si>
  <si>
    <t>TXN-100992</t>
  </si>
  <si>
    <t>TXN-100993</t>
  </si>
  <si>
    <t>TXN-100994</t>
  </si>
  <si>
    <t>TXN-100995</t>
  </si>
  <si>
    <t>TXN-100996</t>
  </si>
  <si>
    <t>TXN-100997</t>
  </si>
  <si>
    <t>TXN-100998</t>
  </si>
  <si>
    <t>19-02-2025</t>
  </si>
  <si>
    <t>TXN-100999</t>
  </si>
  <si>
    <t>TXN-101000</t>
  </si>
  <si>
    <t>TXN-101001</t>
  </si>
  <si>
    <t>TXN-101002</t>
  </si>
  <si>
    <t>TXN-101003</t>
  </si>
  <si>
    <t>TXN-101004</t>
  </si>
  <si>
    <t>TXN-101005</t>
  </si>
  <si>
    <t>TXN-101006</t>
  </si>
  <si>
    <t>TXN-101007</t>
  </si>
  <si>
    <t>TXN-101008</t>
  </si>
  <si>
    <t>TXN-101009</t>
  </si>
  <si>
    <t>TXN-101010</t>
  </si>
  <si>
    <t>TXN-101011</t>
  </si>
  <si>
    <t>TXN-101012</t>
  </si>
  <si>
    <t>TXN-101013</t>
  </si>
  <si>
    <t>TXN-101014</t>
  </si>
  <si>
    <t>TXN-101015</t>
  </si>
  <si>
    <t>TXN-101016</t>
  </si>
  <si>
    <t>TXN-101017</t>
  </si>
  <si>
    <t>TXN-101018</t>
  </si>
  <si>
    <t>TXN-101019</t>
  </si>
  <si>
    <t>TXN-101020</t>
  </si>
  <si>
    <t>TXN-101021</t>
  </si>
  <si>
    <t>TXN-101022</t>
  </si>
  <si>
    <t>TXN-101023</t>
  </si>
  <si>
    <t>TXN-101024</t>
  </si>
  <si>
    <t>TXN-101025</t>
  </si>
  <si>
    <t>TXN-101026</t>
  </si>
  <si>
    <t>TXN-101027</t>
  </si>
  <si>
    <t>TXN-101028</t>
  </si>
  <si>
    <t>TXN-101029</t>
  </si>
  <si>
    <t>TXN-101030</t>
  </si>
  <si>
    <t>TXN-101031</t>
  </si>
  <si>
    <t>TXN-101032</t>
  </si>
  <si>
    <t>TXN-101033</t>
  </si>
  <si>
    <t>TXN-101034</t>
  </si>
  <si>
    <t>TXN-101035</t>
  </si>
  <si>
    <t>TXN-101036</t>
  </si>
  <si>
    <t>TXN-101037</t>
  </si>
  <si>
    <t>TXN-101038</t>
  </si>
  <si>
    <t>TXN-101039</t>
  </si>
  <si>
    <t>TXN-101040</t>
  </si>
  <si>
    <t>TXN-101041</t>
  </si>
  <si>
    <t>TXN-101042</t>
  </si>
  <si>
    <t>TXN-101043</t>
  </si>
  <si>
    <t>TXN-101044</t>
  </si>
  <si>
    <t>TXN-101045</t>
  </si>
  <si>
    <t>TXN-101046</t>
  </si>
  <si>
    <t>TXN-101047</t>
  </si>
  <si>
    <t>TXN-101048</t>
  </si>
  <si>
    <t>TXN-101049</t>
  </si>
  <si>
    <t>TXN-101050</t>
  </si>
  <si>
    <t>TXN-101051</t>
  </si>
  <si>
    <t>TXN-101052</t>
  </si>
  <si>
    <t>TXN-101053</t>
  </si>
  <si>
    <t>TXN-101054</t>
  </si>
  <si>
    <t>TXN-101055</t>
  </si>
  <si>
    <t>TXN-101056</t>
  </si>
  <si>
    <t>TXN-101057</t>
  </si>
  <si>
    <t>TXN-101058</t>
  </si>
  <si>
    <t>TXN-101059</t>
  </si>
  <si>
    <t>TXN-101060</t>
  </si>
  <si>
    <t>TXN-101061</t>
  </si>
  <si>
    <t>TXN-101062</t>
  </si>
  <si>
    <t>TXN-101063</t>
  </si>
  <si>
    <t>TXN-101064</t>
  </si>
  <si>
    <t>TXN-101065</t>
  </si>
  <si>
    <t>TXN-101066</t>
  </si>
  <si>
    <t>TXN-101067</t>
  </si>
  <si>
    <t>TXN-101068</t>
  </si>
  <si>
    <t>TXN-101069</t>
  </si>
  <si>
    <t>TXN-101070</t>
  </si>
  <si>
    <t>TXN-101071</t>
  </si>
  <si>
    <t>TXN-101072</t>
  </si>
  <si>
    <t>TXN-101073</t>
  </si>
  <si>
    <t>TXN-101074</t>
  </si>
  <si>
    <t>TXN-101075</t>
  </si>
  <si>
    <t>TXN-101076</t>
  </si>
  <si>
    <t>TXN-101077</t>
  </si>
  <si>
    <t>TXN-101078</t>
  </si>
  <si>
    <t>TXN-101079</t>
  </si>
  <si>
    <t>TXN-101080</t>
  </si>
  <si>
    <t>TXN-101081</t>
  </si>
  <si>
    <t>TXN-101082</t>
  </si>
  <si>
    <t>TXN-101083</t>
  </si>
  <si>
    <t>TXN-101084</t>
  </si>
  <si>
    <t>TXN-101085</t>
  </si>
  <si>
    <t>TXN-101086</t>
  </si>
  <si>
    <t>TXN-101087</t>
  </si>
  <si>
    <t>TXN-101088</t>
  </si>
  <si>
    <t>TXN-101089</t>
  </si>
  <si>
    <t>TXN-101090</t>
  </si>
  <si>
    <t>TXN-101091</t>
  </si>
  <si>
    <t>TXN-101092</t>
  </si>
  <si>
    <t>TXN-101093</t>
  </si>
  <si>
    <t>TXN-101094</t>
  </si>
  <si>
    <t>TXN-101095</t>
  </si>
  <si>
    <t>TXN-101096</t>
  </si>
  <si>
    <t>TXN-101097</t>
  </si>
  <si>
    <t>TXN-101098</t>
  </si>
  <si>
    <t>TXN-101099</t>
  </si>
  <si>
    <t>TXN-101100</t>
  </si>
  <si>
    <t>TXN-101101</t>
  </si>
  <si>
    <t>TXN-101102</t>
  </si>
  <si>
    <t>TXN-101103</t>
  </si>
  <si>
    <t>TXN-101104</t>
  </si>
  <si>
    <t>TXN-101105</t>
  </si>
  <si>
    <t>TXN-101106</t>
  </si>
  <si>
    <t>TXN-101107</t>
  </si>
  <si>
    <t>TXN-101108</t>
  </si>
  <si>
    <t>TXN-101109</t>
  </si>
  <si>
    <t>TXN-101110</t>
  </si>
  <si>
    <t>TXN-101111</t>
  </si>
  <si>
    <t>TXN-101112</t>
  </si>
  <si>
    <t>TXN-101113</t>
  </si>
  <si>
    <t>TXN-101114</t>
  </si>
  <si>
    <t>TXN-101115</t>
  </si>
  <si>
    <t>TXN-101116</t>
  </si>
  <si>
    <t>TXN-101117</t>
  </si>
  <si>
    <t>TXN-101118</t>
  </si>
  <si>
    <t>TXN-101119</t>
  </si>
  <si>
    <t>TXN-101120</t>
  </si>
  <si>
    <t>TXN-101121</t>
  </si>
  <si>
    <t>TXN-101122</t>
  </si>
  <si>
    <t>TXN-101123</t>
  </si>
  <si>
    <t>TXN-101124</t>
  </si>
  <si>
    <t>TXN-101125</t>
  </si>
  <si>
    <t>TXN-101126</t>
  </si>
  <si>
    <t>TXN-101127</t>
  </si>
  <si>
    <t>TXN-101128</t>
  </si>
  <si>
    <t>TXN-101129</t>
  </si>
  <si>
    <t>TXN-101130</t>
  </si>
  <si>
    <t>TXN-101131</t>
  </si>
  <si>
    <t>TXN-101132</t>
  </si>
  <si>
    <t>TXN-101133</t>
  </si>
  <si>
    <t>TXN-101134</t>
  </si>
  <si>
    <t>TXN-101135</t>
  </si>
  <si>
    <t>TXN-101136</t>
  </si>
  <si>
    <t>TXN-101137</t>
  </si>
  <si>
    <t>TXN-101138</t>
  </si>
  <si>
    <t>TXN-101139</t>
  </si>
  <si>
    <t>TXN-101140</t>
  </si>
  <si>
    <t>TXN-101141</t>
  </si>
  <si>
    <t>TXN-101142</t>
  </si>
  <si>
    <t>TXN-101143</t>
  </si>
  <si>
    <t>29-02-2024</t>
  </si>
  <si>
    <t>TXN-101144</t>
  </si>
  <si>
    <t>TXN-101145</t>
  </si>
  <si>
    <t>TXN-101146</t>
  </si>
  <si>
    <t>TXN-101147</t>
  </si>
  <si>
    <t>TXN-101148</t>
  </si>
  <si>
    <t>TXN-101149</t>
  </si>
  <si>
    <t>TXN-101150</t>
  </si>
  <si>
    <t>TXN-101151</t>
  </si>
  <si>
    <t>TXN-101152</t>
  </si>
  <si>
    <t>TXN-101153</t>
  </si>
  <si>
    <t>TXN-101154</t>
  </si>
  <si>
    <t>TXN-101155</t>
  </si>
  <si>
    <t>TXN-101156</t>
  </si>
  <si>
    <t>TXN-101157</t>
  </si>
  <si>
    <t>TXN-101158</t>
  </si>
  <si>
    <t>TXN-101159</t>
  </si>
  <si>
    <t>TXN-101160</t>
  </si>
  <si>
    <t>TXN-101161</t>
  </si>
  <si>
    <t>TXN-101162</t>
  </si>
  <si>
    <t>TXN-101163</t>
  </si>
  <si>
    <t>TXN-101164</t>
  </si>
  <si>
    <t>TXN-101165</t>
  </si>
  <si>
    <t>TXN-101166</t>
  </si>
  <si>
    <t>TXN-101167</t>
  </si>
  <si>
    <t>TXN-101168</t>
  </si>
  <si>
    <t>TXN-101169</t>
  </si>
  <si>
    <t>TXN-101170</t>
  </si>
  <si>
    <t>TXN-101171</t>
  </si>
  <si>
    <t>TXN-101172</t>
  </si>
  <si>
    <t>TXN-101173</t>
  </si>
  <si>
    <t>TXN-101174</t>
  </si>
  <si>
    <t>TXN-101175</t>
  </si>
  <si>
    <t>TXN-101176</t>
  </si>
  <si>
    <t>TXN-101177</t>
  </si>
  <si>
    <t>TXN-101178</t>
  </si>
  <si>
    <t>TXN-101179</t>
  </si>
  <si>
    <t>TXN-101180</t>
  </si>
  <si>
    <t>TXN-101181</t>
  </si>
  <si>
    <t>TXN-101182</t>
  </si>
  <si>
    <t>TXN-101183</t>
  </si>
  <si>
    <t>TXN-101184</t>
  </si>
  <si>
    <t>TXN-101185</t>
  </si>
  <si>
    <t>TXN-101186</t>
  </si>
  <si>
    <t>TXN-101187</t>
  </si>
  <si>
    <t>TXN-101188</t>
  </si>
  <si>
    <t>TXN-101189</t>
  </si>
  <si>
    <t>TXN-101190</t>
  </si>
  <si>
    <t>TXN-101191</t>
  </si>
  <si>
    <t>TXN-101192</t>
  </si>
  <si>
    <t>TXN-101193</t>
  </si>
  <si>
    <t>TXN-101194</t>
  </si>
  <si>
    <t>TXN-101195</t>
  </si>
  <si>
    <t>TXN-101196</t>
  </si>
  <si>
    <t>TXN-101197</t>
  </si>
  <si>
    <t>TXN-101198</t>
  </si>
  <si>
    <t>TXN-101199</t>
  </si>
  <si>
    <t>TXN-101200</t>
  </si>
  <si>
    <t>1215 Transactions</t>
  </si>
  <si>
    <t>Blank Cells</t>
  </si>
  <si>
    <t>null</t>
  </si>
  <si>
    <t>Bluepeak Logistics</t>
  </si>
  <si>
    <t>15 duplicates</t>
  </si>
  <si>
    <t>Column</t>
  </si>
  <si>
    <t>Action</t>
  </si>
  <si>
    <t>Filled based on company</t>
  </si>
  <si>
    <t>recalculated values</t>
  </si>
  <si>
    <t>Proper and Trimmed</t>
  </si>
  <si>
    <t>company name unstandard</t>
  </si>
  <si>
    <t>industry some values were misinput</t>
  </si>
  <si>
    <t>Remove duplicates</t>
  </si>
  <si>
    <t>Standardized to USD</t>
  </si>
  <si>
    <t>recalculated values /blank cells  to null</t>
  </si>
  <si>
    <t>Grand Total</t>
  </si>
  <si>
    <t>Risk Level by Region</t>
  </si>
  <si>
    <t>Risk Level</t>
  </si>
  <si>
    <t>Average of Profit_Margin</t>
  </si>
  <si>
    <t>Region Contribution</t>
  </si>
  <si>
    <t>Revenue Contribution</t>
  </si>
  <si>
    <t>Total Revenue</t>
  </si>
  <si>
    <t>YoY Revenue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</si>
</sst>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/mm/dd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22" fontId="0" fillId="0" borderId="0" xfId="0" applyNumberFormat="1"/>
    <xf numFmtId="14" fontId="0" fillId="0" borderId="0" xfId="0" applyNumberFormat="1"/>
    <xf numFmtId="15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43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5">
    <dxf>
      <alignment horizontal="center"/>
    </dxf>
    <dxf>
      <numFmt numFmtId="14" formatCode="0.00%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center"/>
    </dxf>
    <dxf>
      <numFmt numFmtId="35" formatCode="_(* #,##0.00_);_(* \(#,##0.00\);_(* &quot;-&quot;??_);_(@_)"/>
    </dxf>
    <dxf>
      <numFmt numFmtId="14" formatCode="0.00%"/>
    </dxf>
    <dxf>
      <numFmt numFmtId="35" formatCode="_(* #,##0.00_);_(* \(#,##0.00\);_(* &quot;-&quot;??_);_(@_)"/>
    </dxf>
    <dxf>
      <numFmt numFmtId="14" formatCode="0.00%"/>
    </dxf>
    <dxf>
      <numFmt numFmtId="35" formatCode="_(* #,##0.00_);_(* \(#,##0.00\);_(* &quot;-&quot;??_);_(@_)"/>
    </dxf>
    <dxf>
      <numFmt numFmtId="14" formatCode="0.00%"/>
    </dxf>
    <dxf>
      <numFmt numFmtId="35" formatCode="_(* #,##0.00_);_(* \(#,##0.00\);_(* &quot;-&quot;??_);_(@_)"/>
    </dxf>
    <dxf>
      <numFmt numFmtId="14" formatCode="0.00%"/>
    </dxf>
    <dxf>
      <numFmt numFmtId="14" formatCode="0.00%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lross" refreshedDate="46289.667250810184" createdVersion="8" refreshedVersion="8" minRefreshableVersion="3" recordCount="1200" xr:uid="{C7E2D94F-FEC3-4B19-AE5C-A317E91E6FCE}">
  <cacheSource type="worksheet">
    <worksheetSource name="Table1"/>
  </cacheSource>
  <cacheFields count="19">
    <cacheField name="Transaction_ID" numFmtId="0">
      <sharedItems/>
    </cacheField>
    <cacheField name="Date" numFmtId="0">
      <sharedItems containsSemiMixedTypes="0" containsDate="1" containsString="0" containsMixedTypes="1" minDate="1900-01-08T05:50:04" maxDate="1900-01-04T21:51:04"/>
    </cacheField>
    <cacheField name="Company" numFmtId="0">
      <sharedItems count="12">
        <s v="Golden Homes"/>
        <s v="Evergreen Foods"/>
        <s v="Cedar Health"/>
        <s v="Lumen Telecom"/>
        <s v="Delta Energy"/>
        <s v="Apex Retail"/>
        <s v="Kite Travel"/>
        <s v="Jupiter Manufacturing"/>
        <s v="Bluepeak Logistics"/>
        <s v="Insight Media"/>
        <s v="Fusion Tech"/>
        <s v="Harbor Finance"/>
      </sharedItems>
    </cacheField>
    <cacheField name="Industry" numFmtId="0">
      <sharedItems/>
    </cacheField>
    <cacheField name="Region" numFmtId="0">
      <sharedItems count="4">
        <s v="Asia-Pacific"/>
        <s v="Europe"/>
        <s v="North America"/>
        <s v="Latin America"/>
      </sharedItems>
    </cacheField>
    <cacheField name="Currency" numFmtId="0">
      <sharedItems/>
    </cacheField>
    <cacheField name="Revenue" numFmtId="0">
      <sharedItems containsMixedTypes="1" containsNumber="1" minValue="1.145" maxValue="898701.38580000005"/>
    </cacheField>
    <cacheField name="Operating_Expenses" numFmtId="0">
      <sharedItems containsMixedTypes="1" containsNumber="1" minValue="1.1499999999999999" maxValue="521707.03"/>
    </cacheField>
    <cacheField name="Operating_Income" numFmtId="0">
      <sharedItems containsMixedTypes="1" containsNumber="1" minValue="1.1499999999999999" maxValue="835737.73"/>
    </cacheField>
    <cacheField name="Cash" numFmtId="0">
      <sharedItems containsSemiMixedTypes="0" containsString="0" containsNumber="1" minValue="0" maxValue="218429.93"/>
    </cacheField>
    <cacheField name="Debt" numFmtId="0">
      <sharedItems containsSemiMixedTypes="0" containsString="0" containsNumber="1" minValue="2425.75" maxValue="334274.71000000002"/>
    </cacheField>
    <cacheField name="Total_Assets" numFmtId="0">
      <sharedItems containsSemiMixedTypes="0" containsString="0" containsNumber="1" minValue="20155.080000000002" maxValue="1176251.45"/>
    </cacheField>
    <cacheField name="Employees" numFmtId="0">
      <sharedItems containsMixedTypes="1" containsNumber="1" containsInteger="1" minValue="159" maxValue="3610"/>
    </cacheField>
    <cacheField name="Stock_Return" numFmtId="0">
      <sharedItems containsSemiMixedTypes="0" containsString="0" containsNumber="1" minValue="-0.24690000000000001" maxValue="0.2661"/>
    </cacheField>
    <cacheField name="Profit_Margin" numFmtId="0">
      <sharedItems containsMixedTypes="1" containsNumber="1" minValue="0" maxValue="1.0044"/>
    </cacheField>
    <cacheField name="Debt_to_Assets" numFmtId="0">
      <sharedItems containsSemiMixedTypes="0" containsString="0" containsNumber="1" minValue="9.9000000000000008E-3" maxValue="7.5277000000000003"/>
    </cacheField>
    <cacheField name="Quarter" numFmtId="0">
      <sharedItems/>
    </cacheField>
    <cacheField name="Year" numFmtId="0">
      <sharedItems containsSemiMixedTypes="0" containsString="0" containsNumber="1" containsInteger="1" minValue="2022" maxValue="2025" count="4">
        <n v="2025"/>
        <n v="2023"/>
        <n v="2022"/>
        <n v="2024"/>
      </sharedItems>
    </cacheField>
    <cacheField name="Risk_Level" numFmtId="0">
      <sharedItems count="3">
        <s v="Low"/>
        <s v="Medium"/>
        <s v="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TXN-100001"/>
    <n v="45856"/>
    <x v="0"/>
    <s v="Real Estate"/>
    <x v="0"/>
    <s v="USD"/>
    <n v="111412.81"/>
    <n v="67708.56"/>
    <n v="43704.25"/>
    <n v="95427.39"/>
    <n v="33631.99"/>
    <n v="223184.54"/>
    <n v="691"/>
    <n v="-2.9399999999999999E-2"/>
    <n v="0.39229999999999998"/>
    <n v="0.1507"/>
    <s v="2025Q3"/>
    <x v="0"/>
    <x v="0"/>
  </r>
  <r>
    <s v="TXN-100002"/>
    <n v="45899"/>
    <x v="1"/>
    <s v="Food &amp; Beverage"/>
    <x v="0"/>
    <s v="USD"/>
    <n v="13384.37"/>
    <n v="8803.64"/>
    <n v="4580.7299999999996"/>
    <n v="63911.77"/>
    <n v="11964.93"/>
    <n v="139699.03"/>
    <n v="596"/>
    <n v="-9.5899999999999999E-2"/>
    <n v="0.3422"/>
    <n v="8.5599999999999996E-2"/>
    <s v="2025Q3"/>
    <x v="0"/>
    <x v="0"/>
  </r>
  <r>
    <s v="TXN-100003"/>
    <n v="45829"/>
    <x v="2"/>
    <s v="Healthcare"/>
    <x v="1"/>
    <s v="USD"/>
    <n v="58779.937550000002"/>
    <n v="45542.2"/>
    <n v="13237.73"/>
    <n v="40662.050000000003"/>
    <n v="19057.22"/>
    <n v="180185.01"/>
    <n v="1023"/>
    <n v="-3.7699999999999997E-2"/>
    <n v="0.22520000000000001"/>
    <n v="0.10580000000000001"/>
    <s v="2025Q2"/>
    <x v="0"/>
    <x v="0"/>
  </r>
  <r>
    <s v="TXN-100004"/>
    <n v="45070"/>
    <x v="3"/>
    <s v="Telecommunications"/>
    <x v="2"/>
    <s v="USD"/>
    <n v="57566.09"/>
    <n v="39990.720000000001"/>
    <n v="17575.37"/>
    <n v="42740.2"/>
    <n v="42314.720000000001"/>
    <n v="78040.97"/>
    <n v="482"/>
    <n v="-1.6500000000000001E-2"/>
    <n v="0.30530000000000002"/>
    <n v="0.54220000000000002"/>
    <s v="2023Q2"/>
    <x v="1"/>
    <x v="1"/>
  </r>
  <r>
    <s v="TXN-100005"/>
    <n v="45264"/>
    <x v="4"/>
    <s v="Energy"/>
    <x v="2"/>
    <s v="USD"/>
    <n v="65213.01"/>
    <n v="45401.66"/>
    <n v="19811.349999999999"/>
    <n v="76162.53"/>
    <n v="30888.99"/>
    <n v="152517.56"/>
    <n v="1255"/>
    <n v="-0.12770000000000001"/>
    <n v="0.30380000000000001"/>
    <n v="0.20250000000000001"/>
    <s v="2023Q4"/>
    <x v="1"/>
    <x v="0"/>
  </r>
  <r>
    <s v="TXN-100006"/>
    <n v="44857"/>
    <x v="3"/>
    <s v="Telecommunications"/>
    <x v="2"/>
    <s v="USD"/>
    <n v="99466.44"/>
    <n v="74568.61"/>
    <n v="24897.83"/>
    <n v="52126.74"/>
    <n v="38896.25"/>
    <n v="115986.37"/>
    <n v="455"/>
    <n v="6.4100000000000004E-2"/>
    <n v="0.25030000000000002"/>
    <n v="0.33539999999999998"/>
    <s v="2022Q4"/>
    <x v="2"/>
    <x v="1"/>
  </r>
  <r>
    <s v="TXN-100007"/>
    <n v="45082"/>
    <x v="5"/>
    <s v="Retail"/>
    <x v="2"/>
    <s v="USD"/>
    <n v="47098.7"/>
    <n v="26000.52"/>
    <n v="21098.18"/>
    <n v="50421.52"/>
    <n v="42860.17"/>
    <n v="166940.72"/>
    <n v="1342"/>
    <n v="6.6600000000000006E-2"/>
    <n v="0.44800000000000001"/>
    <n v="0.25669999999999998"/>
    <s v="2023Q2"/>
    <x v="1"/>
    <x v="0"/>
  </r>
  <r>
    <s v="TXN-100008"/>
    <n v="45579"/>
    <x v="1"/>
    <s v="Food &amp; Beverage"/>
    <x v="3"/>
    <s v="USD"/>
    <n v="27438.44"/>
    <n v="15736.4"/>
    <n v="11702.04"/>
    <n v="70951.58"/>
    <n v="11102.57"/>
    <n v="95363.94"/>
    <n v="1294"/>
    <n v="0.11169999999999999"/>
    <n v="0.42649999999999999"/>
    <n v="0.1164"/>
    <s v="2024Q4"/>
    <x v="3"/>
    <x v="0"/>
  </r>
  <r>
    <s v="TXN-100009"/>
    <n v="45174"/>
    <x v="6"/>
    <s v="Travel"/>
    <x v="1"/>
    <s v="USD"/>
    <n v="45636.299350000001"/>
    <n v="29423.79"/>
    <n v="16212.51"/>
    <n v="65143.66"/>
    <n v="27309.17"/>
    <n v="98374.6"/>
    <n v="960"/>
    <n v="1.5E-3"/>
    <n v="0.3553"/>
    <n v="0.27760000000000001"/>
    <s v="2023Q3"/>
    <x v="1"/>
    <x v="0"/>
  </r>
  <r>
    <s v="TXN-100010"/>
    <n v="44657"/>
    <x v="5"/>
    <s v="Retail"/>
    <x v="2"/>
    <s v="USD"/>
    <n v="43987.86"/>
    <n v="34030.519999999997"/>
    <n v="9957.34"/>
    <n v="44212.38"/>
    <n v="8648.34"/>
    <n v="113273.88"/>
    <n v="954"/>
    <n v="5.5599999999999997E-2"/>
    <n v="0.22639999999999999"/>
    <n v="7.6300000000000007E-2"/>
    <s v="2022Q2"/>
    <x v="2"/>
    <x v="0"/>
  </r>
  <r>
    <s v="TXN-100011"/>
    <n v="45139"/>
    <x v="2"/>
    <s v="Healthcare"/>
    <x v="2"/>
    <s v="USD"/>
    <n v="28182.91"/>
    <n v="16600.66"/>
    <n v="11582.25"/>
    <n v="61380.08"/>
    <n v="8217.82"/>
    <n v="111811.23"/>
    <n v="1384"/>
    <n v="-5.7000000000000002E-3"/>
    <n v="0.41099999999999998"/>
    <n v="7.3499999999999996E-2"/>
    <s v="2023Q3"/>
    <x v="1"/>
    <x v="0"/>
  </r>
  <r>
    <s v="TXN-100012"/>
    <n v="45816"/>
    <x v="7"/>
    <s v="Manufacturing"/>
    <x v="2"/>
    <s v="USD"/>
    <n v="61832.22"/>
    <n v="48825.53"/>
    <n v="13006.69"/>
    <n v="45372.84"/>
    <n v="13410"/>
    <n v="86319.17"/>
    <n v="497"/>
    <n v="0.23080000000000001"/>
    <n v="0.2104"/>
    <n v="0.15540000000000001"/>
    <s v="2025Q2"/>
    <x v="0"/>
    <x v="0"/>
  </r>
  <r>
    <s v="TXN-100013"/>
    <n v="45245"/>
    <x v="5"/>
    <s v="Retail"/>
    <x v="2"/>
    <s v="USD"/>
    <n v="47432.39"/>
    <n v="29927.119999999999"/>
    <n v="17505.27"/>
    <n v="22933.38"/>
    <n v="5047.8599999999997"/>
    <n v="177411.14"/>
    <n v="891"/>
    <n v="7.9000000000000008E-3"/>
    <n v="0.36909999999999998"/>
    <n v="2.8500000000000001E-2"/>
    <s v="2023Q4"/>
    <x v="1"/>
    <x v="0"/>
  </r>
  <r>
    <s v="TXN-100014"/>
    <n v="45971"/>
    <x v="3"/>
    <s v="Telecommunications"/>
    <x v="1"/>
    <s v="USD"/>
    <n v="44671.34"/>
    <n v="41060.29"/>
    <n v="3611.05"/>
    <n v="45260.54"/>
    <n v="18893.759999999998"/>
    <n v="101472.02"/>
    <n v="1566"/>
    <n v="-9.7000000000000003E-2"/>
    <n v="8.0799999999999997E-2"/>
    <n v="0.1862"/>
    <s v="2025Q4"/>
    <x v="0"/>
    <x v="0"/>
  </r>
  <r>
    <s v="TXN-100015"/>
    <n v="45291"/>
    <x v="8"/>
    <s v="Logistics"/>
    <x v="1"/>
    <s v="USD"/>
    <n v="176000.03390000001"/>
    <n v="112274.98"/>
    <n v="63725.06"/>
    <n v="63688.4"/>
    <n v="16219.06"/>
    <n v="257262.65"/>
    <n v="1689"/>
    <n v="0.1144"/>
    <n v="0.36209999999999998"/>
    <n v="6.3E-2"/>
    <s v="2023Q4"/>
    <x v="1"/>
    <x v="0"/>
  </r>
  <r>
    <s v="TXN-100016"/>
    <n v="44705"/>
    <x v="6"/>
    <s v="Travel"/>
    <x v="0"/>
    <s v="USD"/>
    <n v="53064.79"/>
    <n v="32847.730000000003"/>
    <n v="20217.060000000001"/>
    <n v="62706.09"/>
    <n v="29135.75"/>
    <n v="103749.81"/>
    <n v="446"/>
    <n v="1.5100000000000001E-2"/>
    <n v="0.38100000000000001"/>
    <n v="0.28079999999999999"/>
    <s v="2022Q2"/>
    <x v="2"/>
    <x v="0"/>
  </r>
  <r>
    <s v="TXN-100017"/>
    <n v="45490"/>
    <x v="0"/>
    <s v="Real Estate"/>
    <x v="2"/>
    <s v="USD"/>
    <n v="96587.86"/>
    <n v="83061"/>
    <n v="13526.86"/>
    <n v="5832.56"/>
    <n v="68553.25"/>
    <n v="121097.4"/>
    <n v="984"/>
    <n v="-9.8299999999999998E-2"/>
    <n v="0.14000000000000001"/>
    <n v="0.56610000000000005"/>
    <s v="2024Q3"/>
    <x v="3"/>
    <x v="1"/>
  </r>
  <r>
    <s v="TXN-100018"/>
    <n v="44705"/>
    <x v="7"/>
    <s v="Manufacturing"/>
    <x v="2"/>
    <s v="USD"/>
    <n v="84782.88"/>
    <n v="63245.55"/>
    <n v="21537.33"/>
    <n v="82043.09"/>
    <n v="20752.189999999999"/>
    <n v="133350.99"/>
    <n v="469"/>
    <n v="9.9299999999999999E-2"/>
    <n v="0.254"/>
    <n v="0.15559999999999999"/>
    <s v="2022Q2"/>
    <x v="2"/>
    <x v="0"/>
  </r>
  <r>
    <s v="TXN-100019"/>
    <n v="44769"/>
    <x v="2"/>
    <s v="Healthcare"/>
    <x v="0"/>
    <s v="USD"/>
    <n v="109257.91"/>
    <n v="63493.25"/>
    <n v="45764.66"/>
    <n v="77029.95"/>
    <n v="34011.64"/>
    <n v="112069.63"/>
    <n v="2078"/>
    <n v="4.5499999999999999E-2"/>
    <n v="0.41889999999999999"/>
    <n v="0.30349999999999999"/>
    <s v="2022Q3"/>
    <x v="2"/>
    <x v="1"/>
  </r>
  <r>
    <s v="TXN-100020"/>
    <n v="45362"/>
    <x v="9"/>
    <s v="Media"/>
    <x v="2"/>
    <s v="USD"/>
    <n v="30805.599999999999"/>
    <n v="21120.12"/>
    <n v="9685.48"/>
    <n v="32283.08"/>
    <n v="53840.63"/>
    <n v="155144.26"/>
    <n v="1083"/>
    <n v="-0.13150000000000001"/>
    <n v="0.31440000000000001"/>
    <n v="0.34699999999999998"/>
    <s v="2024Q1"/>
    <x v="3"/>
    <x v="1"/>
  </r>
  <r>
    <s v="TXN-100021"/>
    <n v="45960"/>
    <x v="6"/>
    <s v="Travel"/>
    <x v="1"/>
    <s v="USD"/>
    <n v="118913.3796"/>
    <n v="108471.64"/>
    <n v="10441.74"/>
    <n v="13181.87"/>
    <n v="63819.519999999997"/>
    <n v="80226.289999999994"/>
    <n v="375"/>
    <n v="-5.3600000000000002E-2"/>
    <n v="8.7800000000000003E-2"/>
    <n v="0.79549999999999998"/>
    <s v="2025Q4"/>
    <x v="0"/>
    <x v="2"/>
  </r>
  <r>
    <s v="TXN-100022"/>
    <n v="45521"/>
    <x v="5"/>
    <s v="Retail"/>
    <x v="1"/>
    <s v="USD"/>
    <n v="65701.508350000004"/>
    <n v="48271"/>
    <n v="17430.509999999998"/>
    <n v="53525.99"/>
    <n v="100637.84"/>
    <n v="145843.15"/>
    <n v="402"/>
    <n v="-8.2000000000000007E-3"/>
    <n v="0.26529999999999998"/>
    <n v="0.69"/>
    <s v="2024Q3"/>
    <x v="3"/>
    <x v="2"/>
  </r>
  <r>
    <s v="TXN-100023"/>
    <n v="45622"/>
    <x v="10"/>
    <s v="Technology"/>
    <x v="1"/>
    <s v="USD"/>
    <n v="77243.543449999997"/>
    <n v="70111.05"/>
    <n v="7132.49"/>
    <n v="63173.69"/>
    <n v="15645.99"/>
    <n v="85184.06"/>
    <n v="734"/>
    <n v="7.4200000000000002E-2"/>
    <n v="9.2299999999999993E-2"/>
    <n v="0.1837"/>
    <s v="2024Q4"/>
    <x v="3"/>
    <x v="0"/>
  </r>
  <r>
    <s v="TXN-100024"/>
    <n v="45127"/>
    <x v="8"/>
    <s v="Logistics"/>
    <x v="1"/>
    <s v="USD"/>
    <n v="126115.48685"/>
    <n v="73898.039999999994"/>
    <n v="52217.45"/>
    <n v="129244.45"/>
    <n v="32272.52"/>
    <n v="158335.24"/>
    <n v="1054"/>
    <n v="5.21E-2"/>
    <n v="0.41399999999999998"/>
    <n v="0.20380000000000001"/>
    <s v="2023Q3"/>
    <x v="1"/>
    <x v="0"/>
  </r>
  <r>
    <s v="TXN-100025"/>
    <n v="44807"/>
    <x v="5"/>
    <s v="Retail"/>
    <x v="2"/>
    <s v="USD"/>
    <n v="29867.16"/>
    <n v="25371.07"/>
    <n v="4496.09"/>
    <n v="17043.47"/>
    <n v="34322.6"/>
    <n v="89656.93"/>
    <n v="907"/>
    <n v="7.5399999999999995E-2"/>
    <n v="0.15049999999999999"/>
    <n v="0.38279999999999997"/>
    <s v="2022Q3"/>
    <x v="2"/>
    <x v="1"/>
  </r>
  <r>
    <s v="TXN-100026"/>
    <n v="44581"/>
    <x v="9"/>
    <s v="Media"/>
    <x v="0"/>
    <s v="USD"/>
    <n v="173697.9"/>
    <n v="146678.03"/>
    <n v="27019.87"/>
    <n v="65626.960000000006"/>
    <n v="20905.86"/>
    <n v="171418.61"/>
    <n v="634"/>
    <n v="-7.7999999999999996E-3"/>
    <n v="0.15559999999999999"/>
    <n v="0.122"/>
    <s v="2022Q1"/>
    <x v="2"/>
    <x v="0"/>
  </r>
  <r>
    <s v="TXN-100027"/>
    <n v="44612"/>
    <x v="0"/>
    <s v="Real Estate"/>
    <x v="0"/>
    <s v="USD"/>
    <n v="329235.33"/>
    <n v="215985.05"/>
    <n v="113250.28"/>
    <n v="8892.06"/>
    <n v="19309.93"/>
    <n v="72478.09"/>
    <n v="600"/>
    <n v="-1.5100000000000001E-2"/>
    <n v="0.34399999999999997"/>
    <n v="0.26640000000000003"/>
    <s v="2022Q1"/>
    <x v="2"/>
    <x v="0"/>
  </r>
  <r>
    <s v="TXN-100028"/>
    <d v="2024-09-30T00:00:00"/>
    <x v="5"/>
    <s v="Retail"/>
    <x v="0"/>
    <s v="USD"/>
    <n v="70900.42"/>
    <n v="61084.15"/>
    <n v="9816.27"/>
    <n v="47244.24"/>
    <n v="19938"/>
    <n v="69977.59"/>
    <n v="636"/>
    <n v="4.1700000000000001E-2"/>
    <n v="0.13850000000000001"/>
    <n v="0.28489999999999999"/>
    <s v="2024Q3"/>
    <x v="3"/>
    <x v="0"/>
  </r>
  <r>
    <s v="TXN-100029"/>
    <n v="45218"/>
    <x v="8"/>
    <s v="Logistics"/>
    <x v="1"/>
    <s v="USD"/>
    <n v="35784.146849999997"/>
    <n v="29532.5"/>
    <n v="6251.64"/>
    <n v="9339.2800000000007"/>
    <n v="17141.38"/>
    <n v="53770.47"/>
    <n v="844"/>
    <n v="-4.9500000000000002E-2"/>
    <n v="0.17469999999999999"/>
    <n v="0.31879999999999997"/>
    <s v="2023Q4"/>
    <x v="1"/>
    <x v="1"/>
  </r>
  <r>
    <s v="TXN-100030"/>
    <n v="45643"/>
    <x v="3"/>
    <s v="Telecommunications"/>
    <x v="1"/>
    <s v="USD"/>
    <n v="77679.525100000013"/>
    <n v="49615.56"/>
    <n v="28063.96"/>
    <n v="67346.13"/>
    <n v="35685.120000000003"/>
    <n v="173095.54"/>
    <n v="2346"/>
    <n v="2.7E-2"/>
    <n v="0.36130000000000001"/>
    <n v="0.20619999999999999"/>
    <s v="2024Q4"/>
    <x v="3"/>
    <x v="0"/>
  </r>
  <r>
    <s v="TXN-100031"/>
    <n v="44808"/>
    <x v="1"/>
    <s v="Food &amp; Beverage"/>
    <x v="0"/>
    <s v="USD"/>
    <n v="77363.3"/>
    <n v="47090.98"/>
    <n v="30272.32"/>
    <n v="21698.15"/>
    <n v="20506.37"/>
    <n v="54183.57"/>
    <n v="1229"/>
    <n v="5.5E-2"/>
    <n v="0.39129999999999998"/>
    <n v="0.3785"/>
    <s v="2022Q3"/>
    <x v="2"/>
    <x v="1"/>
  </r>
  <r>
    <s v="TXN-100032"/>
    <n v="44918"/>
    <x v="4"/>
    <s v="Energy"/>
    <x v="2"/>
    <s v="USD"/>
    <n v="211307"/>
    <n v="165872.75"/>
    <n v="45434.25"/>
    <n v="0"/>
    <n v="24276.65"/>
    <n v="54299.41"/>
    <n v="921"/>
    <n v="0.18609999999999999"/>
    <n v="0.215"/>
    <n v="0.4471"/>
    <s v="2022Q4"/>
    <x v="2"/>
    <x v="1"/>
  </r>
  <r>
    <s v="TXN-100033"/>
    <n v="45077"/>
    <x v="5"/>
    <s v="Retail"/>
    <x v="1"/>
    <s v="USD"/>
    <n v="121109.94760000001"/>
    <n v="108923.03"/>
    <n v="12186.92"/>
    <n v="41736.519999999997"/>
    <n v="40564.93"/>
    <n v="179057.87"/>
    <n v="1180"/>
    <n v="8.7400000000000005E-2"/>
    <n v="0.10059999999999999"/>
    <n v="0.22650000000000001"/>
    <s v="2023Q2"/>
    <x v="1"/>
    <x v="0"/>
  </r>
  <r>
    <s v="TXN-100034"/>
    <n v="45518"/>
    <x v="2"/>
    <s v="Healthcare"/>
    <x v="0"/>
    <s v="USD"/>
    <n v="114285.11"/>
    <n v="79183.350000000006"/>
    <n v="35101.760000000002"/>
    <n v="34533.35"/>
    <n v="33684.51"/>
    <n v="72066.33"/>
    <n v="817"/>
    <n v="-2.7E-2"/>
    <n v="0.30709999999999998"/>
    <n v="0.46739999999999998"/>
    <s v="2024Q3"/>
    <x v="3"/>
    <x v="1"/>
  </r>
  <r>
    <s v="TXN-100035"/>
    <n v="45583"/>
    <x v="7"/>
    <s v="Manufacturing"/>
    <x v="0"/>
    <s v="USD"/>
    <s v="null"/>
    <n v="29601.11"/>
    <s v="null"/>
    <n v="59558.93"/>
    <n v="57619.07"/>
    <n v="237536.47"/>
    <n v="1056"/>
    <n v="5.3600000000000002E-2"/>
    <s v="null"/>
    <n v="0.24260000000000001"/>
    <s v="2024Q4"/>
    <x v="3"/>
    <x v="0"/>
  </r>
  <r>
    <s v="TXN-100036"/>
    <n v="45237"/>
    <x v="1"/>
    <s v="Food &amp; Beverage"/>
    <x v="3"/>
    <s v="USD"/>
    <n v="104676.41"/>
    <n v="88820.95"/>
    <n v="15855.46"/>
    <n v="19988.46"/>
    <n v="26457.07"/>
    <n v="85370.02"/>
    <n v="1595"/>
    <n v="-3.44E-2"/>
    <n v="0.1515"/>
    <n v="0.30990000000000001"/>
    <s v="2023Q4"/>
    <x v="1"/>
    <x v="1"/>
  </r>
  <r>
    <s v="TXN-100037"/>
    <n v="44598"/>
    <x v="11"/>
    <s v="Financial Services"/>
    <x v="0"/>
    <s v="USD"/>
    <n v="120199.83"/>
    <n v="99016.56"/>
    <n v="21183.27"/>
    <n v="15096"/>
    <n v="16293.37"/>
    <n v="36979.64"/>
    <s v="null"/>
    <n v="0.254"/>
    <n v="0.1762"/>
    <n v="0.44059999999999999"/>
    <s v="2022Q1"/>
    <x v="2"/>
    <x v="1"/>
  </r>
  <r>
    <s v="TXN-100038"/>
    <n v="45260"/>
    <x v="9"/>
    <s v="Media"/>
    <x v="2"/>
    <s v="USD"/>
    <n v="94355.73"/>
    <s v="null"/>
    <s v="null"/>
    <n v="30116.62"/>
    <n v="9192.56"/>
    <n v="34919.29"/>
    <n v="1488"/>
    <n v="0.17069999999999999"/>
    <s v="null"/>
    <n v="0.26329999999999998"/>
    <s v="2023Q4"/>
    <x v="1"/>
    <x v="0"/>
  </r>
  <r>
    <s v="TXN-100039"/>
    <n v="45736"/>
    <x v="1"/>
    <s v="Food &amp; Beverage"/>
    <x v="0"/>
    <s v="USD"/>
    <n v="58531.32"/>
    <n v="52352.97"/>
    <n v="6178.35"/>
    <n v="39125.129999999997"/>
    <n v="114798.45"/>
    <n v="120225.04"/>
    <n v="934"/>
    <n v="1.6199999999999999E-2"/>
    <n v="0.1056"/>
    <n v="0.95489999999999997"/>
    <s v="2025Q1"/>
    <x v="0"/>
    <x v="2"/>
  </r>
  <r>
    <s v="TXN-100040"/>
    <n v="45753"/>
    <x v="10"/>
    <s v="Technology"/>
    <x v="2"/>
    <s v="USD"/>
    <n v="53842.86"/>
    <n v="31303.7"/>
    <n v="22539.16"/>
    <n v="38655.14"/>
    <n v="67743.48"/>
    <n v="80510.02"/>
    <n v="665"/>
    <n v="0.112"/>
    <n v="0.41860000000000003"/>
    <n v="0.84140000000000004"/>
    <s v="2025Q2"/>
    <x v="0"/>
    <x v="2"/>
  </r>
  <r>
    <s v="TXN-100041"/>
    <n v="45767"/>
    <x v="2"/>
    <s v="Healthcare"/>
    <x v="3"/>
    <s v="USD"/>
    <n v="37700.480000000003"/>
    <n v="25342.01"/>
    <n v="12358.47"/>
    <n v="58827.85"/>
    <n v="7561.53"/>
    <n v="102452.05"/>
    <n v="1719"/>
    <n v="-0.1336"/>
    <n v="0.32779999999999998"/>
    <n v="7.3800000000000004E-2"/>
    <s v="2025Q2"/>
    <x v="0"/>
    <x v="0"/>
  </r>
  <r>
    <s v="TXN-100042"/>
    <n v="45390"/>
    <x v="4"/>
    <s v="Energy"/>
    <x v="2"/>
    <s v="USD"/>
    <n v="104877.71"/>
    <n v="84110.31"/>
    <n v="20767.400000000001"/>
    <n v="54897.4"/>
    <n v="17469.36"/>
    <n v="75538.28"/>
    <n v="613"/>
    <n v="6.6E-3"/>
    <n v="0.19800000000000001"/>
    <n v="0.23130000000000001"/>
    <s v="2024Q2"/>
    <x v="3"/>
    <x v="0"/>
  </r>
  <r>
    <s v="TXN-100043"/>
    <n v="44695"/>
    <x v="5"/>
    <s v="Retail"/>
    <x v="2"/>
    <s v="USD"/>
    <n v="21313.89"/>
    <n v="12064.9"/>
    <n v="9248.99"/>
    <n v="49979.360000000001"/>
    <n v="52831.31"/>
    <n v="76889.509999999995"/>
    <n v="654"/>
    <n v="-6.25E-2"/>
    <n v="0.43390000000000001"/>
    <n v="0.68710000000000004"/>
    <s v="2022Q2"/>
    <x v="2"/>
    <x v="2"/>
  </r>
  <r>
    <s v="TXN-100044"/>
    <d v="2025-07-06T00:00:00"/>
    <x v="5"/>
    <s v="Retail"/>
    <x v="0"/>
    <s v="USD"/>
    <n v="68042.94"/>
    <n v="53036"/>
    <n v="15006.94"/>
    <n v="65082.85"/>
    <n v="13742.14"/>
    <n v="103277.69"/>
    <n v="345"/>
    <n v="-2.9399999999999999E-2"/>
    <n v="0.22059999999999999"/>
    <n v="0.1331"/>
    <s v="2025Q3"/>
    <x v="0"/>
    <x v="0"/>
  </r>
  <r>
    <s v="TXN-100045"/>
    <n v="45430"/>
    <x v="8"/>
    <s v="Logistics"/>
    <x v="2"/>
    <s v="USD"/>
    <n v="91321.49"/>
    <n v="60685.43"/>
    <n v="30636.06"/>
    <n v="122188.42"/>
    <n v="42492.29"/>
    <n v="246170.57"/>
    <n v="1253"/>
    <n v="0.1207"/>
    <n v="0.33550000000000002"/>
    <n v="0.1726"/>
    <s v="2024Q2"/>
    <x v="3"/>
    <x v="0"/>
  </r>
  <r>
    <s v="TXN-100046"/>
    <n v="45359"/>
    <x v="8"/>
    <s v="Logistics"/>
    <x v="2"/>
    <s v="USD"/>
    <n v="69713.740000000005"/>
    <n v="59250.04"/>
    <n v="10463.700000000001"/>
    <n v="26969.05"/>
    <n v="6832.82"/>
    <n v="192250.37"/>
    <n v="852"/>
    <n v="0.1028"/>
    <n v="0.15010000000000001"/>
    <n v="3.5499999999999997E-2"/>
    <s v="2024Q1"/>
    <x v="3"/>
    <x v="0"/>
  </r>
  <r>
    <s v="TXN-100047"/>
    <n v="44966"/>
    <x v="2"/>
    <s v="Healthcare"/>
    <x v="2"/>
    <s v="USD"/>
    <n v="73380.13"/>
    <n v="61237.57"/>
    <n v="12142.56"/>
    <n v="33958.230000000003"/>
    <n v="20943.45"/>
    <n v="52003.83"/>
    <n v="484"/>
    <n v="5.0200000000000002E-2"/>
    <n v="0.16550000000000001"/>
    <n v="0.4027"/>
    <s v="2023Q1"/>
    <x v="1"/>
    <x v="1"/>
  </r>
  <r>
    <s v="TXN-100048"/>
    <d v="2022-02-03T00:00:00"/>
    <x v="5"/>
    <s v="Retail"/>
    <x v="0"/>
    <s v="USD"/>
    <n v="42696.38"/>
    <n v="34092.300000000003"/>
    <n v="8604.08"/>
    <n v="26563.54"/>
    <n v="93052.73"/>
    <n v="91864.11"/>
    <n v="1526"/>
    <n v="1.5100000000000001E-2"/>
    <n v="0.20150000000000001"/>
    <n v="1.0128999999999999"/>
    <s v="2022Q1"/>
    <x v="2"/>
    <x v="2"/>
  </r>
  <r>
    <s v="TXN-100049"/>
    <n v="45551"/>
    <x v="10"/>
    <s v="Technology"/>
    <x v="3"/>
    <s v="USD"/>
    <n v="62203.92"/>
    <n v="37296.58"/>
    <n v="24907.34"/>
    <n v="64867.35"/>
    <n v="88542.34"/>
    <n v="180522.58"/>
    <n v="738"/>
    <n v="-1.5699999999999999E-2"/>
    <n v="0.40039999999999998"/>
    <n v="0.49049999999999999"/>
    <s v="2024Q3"/>
    <x v="3"/>
    <x v="1"/>
  </r>
  <r>
    <s v="TXN-100050"/>
    <n v="45891"/>
    <x v="3"/>
    <s v="Telecommunications"/>
    <x v="3"/>
    <s v="USD"/>
    <n v="23740.38"/>
    <n v="16899.96"/>
    <n v="6840.42"/>
    <n v="90313.04"/>
    <n v="21687.14"/>
    <n v="192868.26"/>
    <n v="1765"/>
    <n v="1.5599999999999999E-2"/>
    <n v="0.28810000000000002"/>
    <n v="0.1124"/>
    <s v="2025Q3"/>
    <x v="0"/>
    <x v="0"/>
  </r>
  <r>
    <s v="TXN-100051"/>
    <n v="45691"/>
    <x v="3"/>
    <s v="Telecommunications"/>
    <x v="2"/>
    <s v="USD"/>
    <n v="24168.400000000001"/>
    <n v="17398.36"/>
    <n v="6770.04"/>
    <n v="31606.45"/>
    <n v="26770.1"/>
    <n v="112617.39"/>
    <n v="1488"/>
    <n v="-9.8100000000000007E-2"/>
    <n v="0.28010000000000002"/>
    <n v="0.23769999999999999"/>
    <s v="2025Q1"/>
    <x v="0"/>
    <x v="0"/>
  </r>
  <r>
    <s v="TXN-100052"/>
    <n v="45322"/>
    <x v="6"/>
    <s v="Travel"/>
    <x v="2"/>
    <s v="USD"/>
    <n v="335133.38"/>
    <n v="233960.36"/>
    <n v="101173.02"/>
    <n v="15194.7"/>
    <n v="13011.08"/>
    <n v="106391.47"/>
    <n v="639"/>
    <n v="0.13550000000000001"/>
    <n v="0.3019"/>
    <n v="0.12230000000000001"/>
    <s v="2024Q1"/>
    <x v="3"/>
    <x v="0"/>
  </r>
  <r>
    <s v="TXN-100053"/>
    <n v="45233"/>
    <x v="2"/>
    <s v="Healthcare"/>
    <x v="1"/>
    <s v="USD"/>
    <n v="62633.801450000006"/>
    <n v="35395.71"/>
    <n v="27238.1"/>
    <n v="26968.77"/>
    <n v="20154.82"/>
    <n v="64794.69"/>
    <s v="null"/>
    <n v="-6.7599999999999993E-2"/>
    <n v="0.43490000000000001"/>
    <n v="0.31109999999999999"/>
    <s v="2023Q4"/>
    <x v="1"/>
    <x v="1"/>
  </r>
  <r>
    <s v="TXN-100054"/>
    <n v="45663"/>
    <x v="7"/>
    <s v="Manufacturing"/>
    <x v="0"/>
    <s v="USD"/>
    <n v="33122.949999999997"/>
    <n v="19348.689999999999"/>
    <n v="13774.26"/>
    <n v="14585.34"/>
    <n v="129495.62"/>
    <n v="66226.990000000005"/>
    <n v="517"/>
    <n v="1.3100000000000001E-2"/>
    <n v="0.41589999999999999"/>
    <n v="1.9553"/>
    <s v="2025Q1"/>
    <x v="0"/>
    <x v="2"/>
  </r>
  <r>
    <s v="TXN-100055"/>
    <n v="45842"/>
    <x v="5"/>
    <s v="Retail"/>
    <x v="2"/>
    <s v="USD"/>
    <n v="82287.92"/>
    <n v="75286.460000000006"/>
    <n v="7001.46"/>
    <n v="19097.98"/>
    <n v="51008.78"/>
    <n v="82152.44"/>
    <n v="1268"/>
    <n v="-4.8500000000000001E-2"/>
    <n v="8.5099999999999995E-2"/>
    <n v="0.62090000000000001"/>
    <s v="2025Q3"/>
    <x v="0"/>
    <x v="2"/>
  </r>
  <r>
    <s v="TXN-100056"/>
    <n v="45227"/>
    <x v="11"/>
    <s v="Financial Services"/>
    <x v="0"/>
    <s v="USD"/>
    <n v="106378.85"/>
    <n v="78648.08"/>
    <n v="27730.77"/>
    <n v="40858.699999999997"/>
    <n v="12359.56"/>
    <n v="104410.58"/>
    <n v="1782"/>
    <n v="-0.17430000000000001"/>
    <n v="0.26069999999999999"/>
    <n v="0.11840000000000001"/>
    <s v="2023Q4"/>
    <x v="1"/>
    <x v="0"/>
  </r>
  <r>
    <s v="TXN-100057"/>
    <n v="44589"/>
    <x v="9"/>
    <s v="Media"/>
    <x v="0"/>
    <s v="USD"/>
    <n v="48037.04"/>
    <n v="28548.99"/>
    <n v="19488.05"/>
    <n v="15412.23"/>
    <n v="32034.799999999999"/>
    <n v="133942.43"/>
    <n v="1443"/>
    <n v="5.8999999999999997E-2"/>
    <n v="0.40570000000000001"/>
    <n v="0.2392"/>
    <s v="2022Q1"/>
    <x v="2"/>
    <x v="0"/>
  </r>
  <r>
    <s v="TXN-100058"/>
    <n v="44672"/>
    <x v="8"/>
    <s v="Logistics"/>
    <x v="2"/>
    <s v="USD"/>
    <n v="94941.33"/>
    <n v="72821.72"/>
    <n v="22119.61"/>
    <n v="104074.71"/>
    <n v="5398.87"/>
    <n v="237405.99"/>
    <n v="1236"/>
    <n v="-1.17E-2"/>
    <n v="0.23300000000000001"/>
    <n v="2.2700000000000001E-2"/>
    <s v="2022Q2"/>
    <x v="2"/>
    <x v="0"/>
  </r>
  <r>
    <s v="TXN-100059"/>
    <n v="44876"/>
    <x v="8"/>
    <s v="Logistics"/>
    <x v="2"/>
    <s v="USD"/>
    <n v="74458.64"/>
    <n v="47487.78"/>
    <n v="26970.86"/>
    <n v="35923.82"/>
    <n v="15986.28"/>
    <n v="77473.95"/>
    <n v="687"/>
    <n v="-5.4800000000000001E-2"/>
    <n v="0.36220000000000002"/>
    <n v="0.20630000000000001"/>
    <s v="2022Q4"/>
    <x v="2"/>
    <x v="0"/>
  </r>
  <r>
    <s v="TXN-100060"/>
    <n v="45320"/>
    <x v="11"/>
    <s v="Financial Services"/>
    <x v="0"/>
    <s v="USD"/>
    <n v="81885.570000000007"/>
    <n v="72832.009999999995"/>
    <n v="9053.56"/>
    <n v="62038.5"/>
    <n v="113111.76"/>
    <n v="118658.59"/>
    <n v="1158"/>
    <n v="7.2400000000000006E-2"/>
    <n v="0.1106"/>
    <n v="0.95330000000000004"/>
    <s v="2024Q1"/>
    <x v="3"/>
    <x v="2"/>
  </r>
  <r>
    <s v="TXN-100061"/>
    <n v="46020"/>
    <x v="6"/>
    <s v="Travel"/>
    <x v="1"/>
    <s v="USD"/>
    <n v="63284.11565"/>
    <n v="57471.96"/>
    <n v="5812.16"/>
    <n v="53188.7"/>
    <n v="14878.16"/>
    <n v="163865.82"/>
    <n v="989"/>
    <n v="0.13819999999999999"/>
    <n v="9.1800000000000007E-2"/>
    <n v="9.0800000000000006E-2"/>
    <s v="2025Q4"/>
    <x v="0"/>
    <x v="0"/>
  </r>
  <r>
    <s v="TXN-100062"/>
    <d v="2022-11-16T00:00:00"/>
    <x v="5"/>
    <s v="Retail"/>
    <x v="0"/>
    <s v="USD"/>
    <n v="73748.69"/>
    <n v="65993.67"/>
    <n v="7755.02"/>
    <n v="17801.02"/>
    <n v="54477.55"/>
    <n v="34722.61"/>
    <n v="641"/>
    <n v="-0.15040000000000001"/>
    <n v="0.1052"/>
    <n v="1.5689"/>
    <s v="2022Q4"/>
    <x v="2"/>
    <x v="2"/>
  </r>
  <r>
    <s v="TXN-100063"/>
    <n v="44733"/>
    <x v="1"/>
    <s v="Food &amp; Beverage"/>
    <x v="2"/>
    <s v="USD"/>
    <n v="109897.18"/>
    <n v="64016.34"/>
    <n v="45880.84"/>
    <n v="16174.11"/>
    <n v="25403.97"/>
    <n v="43955.91"/>
    <n v="1603"/>
    <n v="4.48E-2"/>
    <n v="0.41749999999999998"/>
    <n v="0.57789999999999997"/>
    <s v="2022Q2"/>
    <x v="2"/>
    <x v="1"/>
  </r>
  <r>
    <s v="TXN-100064"/>
    <d v="2022-08-24T00:00:00"/>
    <x v="5"/>
    <s v="Retail"/>
    <x v="0"/>
    <s v="USD"/>
    <n v="114070.85"/>
    <n v="104562.35"/>
    <n v="9508.5"/>
    <n v="29697.95"/>
    <n v="17912.88"/>
    <n v="53288.92"/>
    <n v="975"/>
    <n v="3.6499999999999998E-2"/>
    <n v="8.3400000000000002E-2"/>
    <n v="0.33610000000000001"/>
    <s v="2022Q3"/>
    <x v="2"/>
    <x v="1"/>
  </r>
  <r>
    <s v="TXN-100065"/>
    <n v="45434"/>
    <x v="3"/>
    <s v="Telecommunications"/>
    <x v="0"/>
    <s v="USD"/>
    <n v="120072.47"/>
    <n v="102697.87"/>
    <n v="17374.599999999999"/>
    <n v="51358.04"/>
    <n v="17000.48"/>
    <n v="87292.13"/>
    <n v="1253"/>
    <n v="2.8299999999999999E-2"/>
    <n v="0.1447"/>
    <n v="0.1948"/>
    <s v="2024Q2"/>
    <x v="3"/>
    <x v="0"/>
  </r>
  <r>
    <s v="TXN-100066"/>
    <n v="44650"/>
    <x v="9"/>
    <s v="Media"/>
    <x v="0"/>
    <s v="USD"/>
    <n v="633740.88"/>
    <n v="42994.01"/>
    <n v="590746.87"/>
    <n v="124855.61"/>
    <n v="262917.03999999998"/>
    <n v="234423.7"/>
    <n v="315"/>
    <n v="0.12330000000000001"/>
    <n v="0.93220000000000003"/>
    <n v="1.1214999999999999"/>
    <s v="2022Q1"/>
    <x v="2"/>
    <x v="2"/>
  </r>
  <r>
    <s v="TXN-100067"/>
    <n v="45810"/>
    <x v="5"/>
    <s v="Retail"/>
    <x v="2"/>
    <s v="USD"/>
    <n v="114283.86"/>
    <n v="65673.119999999995"/>
    <n v="48610.74"/>
    <n v="6388.69"/>
    <n v="32650.39"/>
    <n v="25387.68"/>
    <n v="387"/>
    <n v="-4.7399999999999998E-2"/>
    <n v="0.4254"/>
    <n v="1.2861"/>
    <s v="2025Q2"/>
    <x v="0"/>
    <x v="2"/>
  </r>
  <r>
    <s v="TXN-100068"/>
    <n v="45600"/>
    <x v="2"/>
    <s v="Healthcare"/>
    <x v="2"/>
    <s v="USD"/>
    <n v="72527.149999999994"/>
    <n v="59787.07"/>
    <n v="12740.08"/>
    <n v="68739.320000000007"/>
    <n v="52183.56"/>
    <n v="196437.04"/>
    <n v="717"/>
    <n v="3.9100000000000003E-2"/>
    <n v="0.1757"/>
    <n v="0.26569999999999999"/>
    <s v="2024Q4"/>
    <x v="3"/>
    <x v="0"/>
  </r>
  <r>
    <s v="TXN-100069"/>
    <n v="45078"/>
    <x v="4"/>
    <s v="Energy"/>
    <x v="1"/>
    <s v="USD"/>
    <n v="66803.605200000005"/>
    <n v="57041.27"/>
    <n v="9762.34"/>
    <n v="67225.08"/>
    <n v="24822.48"/>
    <n v="100128.5"/>
    <n v="735"/>
    <n v="3.8300000000000001E-2"/>
    <n v="0.14610000000000001"/>
    <n v="0.24790000000000001"/>
    <s v="2023Q2"/>
    <x v="1"/>
    <x v="0"/>
  </r>
  <r>
    <s v="TXN-100070"/>
    <n v="44691"/>
    <x v="4"/>
    <s v="Energy"/>
    <x v="0"/>
    <s v="USD"/>
    <n v="74438.02"/>
    <n v="56516.18"/>
    <n v="17921.84"/>
    <n v="29894.5"/>
    <n v="47785.56"/>
    <n v="223910.48"/>
    <n v="528"/>
    <n v="-4.1000000000000002E-2"/>
    <n v="0.24079999999999999"/>
    <n v="0.21340000000000001"/>
    <s v="2022Q2"/>
    <x v="2"/>
    <x v="0"/>
  </r>
  <r>
    <s v="TXN-100071"/>
    <n v="44863"/>
    <x v="0"/>
    <s v="Real Estate"/>
    <x v="1"/>
    <s v="USD"/>
    <n v="137400.04579999999"/>
    <n v="82642.41"/>
    <n v="54757.63"/>
    <n v="43663.32"/>
    <n v="24843.15"/>
    <n v="92954.8"/>
    <n v="1199"/>
    <n v="0.12740000000000001"/>
    <n v="0.39850000000000002"/>
    <n v="0.26729999999999998"/>
    <s v="2022Q4"/>
    <x v="2"/>
    <x v="0"/>
  </r>
  <r>
    <s v="TXN-100072"/>
    <n v="45909"/>
    <x v="3"/>
    <s v="Telecommunications"/>
    <x v="0"/>
    <s v="USD"/>
    <n v="183255.30349999998"/>
    <n v="126178.81"/>
    <n v="57076.5"/>
    <n v="60240.61"/>
    <n v="18647.54"/>
    <n v="107521.57"/>
    <n v="1084"/>
    <n v="-1.9199999999999998E-2"/>
    <n v="0.3115"/>
    <n v="0.1734"/>
    <s v="2025Q3"/>
    <x v="0"/>
    <x v="0"/>
  </r>
  <r>
    <s v="TXN-100073"/>
    <d v="2023-07-21T00:00:00"/>
    <x v="5"/>
    <s v="Retail"/>
    <x v="0"/>
    <s v="USD"/>
    <n v="103730.13"/>
    <n v="71609.38"/>
    <n v="32120.75"/>
    <n v="12694.22"/>
    <n v="14225.59"/>
    <n v="110974.77"/>
    <n v="1111"/>
    <n v="0.1089"/>
    <n v="0.30969999999999998"/>
    <n v="0.12820000000000001"/>
    <s v="2023Q3"/>
    <x v="1"/>
    <x v="0"/>
  </r>
  <r>
    <s v="TXN-100074"/>
    <n v="45098"/>
    <x v="2"/>
    <s v="Healthcare"/>
    <x v="3"/>
    <s v="USD"/>
    <n v="30459.919750000001"/>
    <n v="27104.1"/>
    <n v="3355.82"/>
    <n v="5357"/>
    <n v="21603.72"/>
    <n v="78297.3"/>
    <s v="null"/>
    <n v="3.3500000000000002E-2"/>
    <n v="0.11020000000000001"/>
    <n v="0.27589999999999998"/>
    <s v="2023Q2"/>
    <x v="1"/>
    <x v="0"/>
  </r>
  <r>
    <s v="TXN-100075"/>
    <n v="45271"/>
    <x v="9"/>
    <s v="Media"/>
    <x v="1"/>
    <s v="USD"/>
    <n v="52496.795850000002"/>
    <n v="33148.370000000003"/>
    <n v="19348.43"/>
    <n v="70935.48"/>
    <n v="32798.300000000003"/>
    <n v="93449.16"/>
    <n v="883"/>
    <n v="4.2200000000000001E-2"/>
    <n v="0.36859999999999998"/>
    <n v="0.35099999999999998"/>
    <s v="2023Q4"/>
    <x v="1"/>
    <x v="1"/>
  </r>
  <r>
    <s v="TXN-100076"/>
    <n v="45037"/>
    <x v="4"/>
    <s v="Energy"/>
    <x v="1"/>
    <s v="USD"/>
    <n v="35054.037600000003"/>
    <n v="23165.48"/>
    <n v="11888.56"/>
    <n v="41757.22"/>
    <n v="15347.58"/>
    <n v="62221.45"/>
    <n v="1648"/>
    <n v="-1.47E-2"/>
    <n v="0.33910000000000001"/>
    <n v="0.2467"/>
    <s v="2023Q2"/>
    <x v="1"/>
    <x v="0"/>
  </r>
  <r>
    <s v="TXN-100077"/>
    <n v="44847"/>
    <x v="5"/>
    <s v="Retail"/>
    <x v="2"/>
    <s v="USD"/>
    <n v="89055.82"/>
    <n v="58669.67"/>
    <n v="30386.15"/>
    <n v="74350.86"/>
    <n v="32462.84"/>
    <n v="308453.45"/>
    <n v="450"/>
    <n v="0.21970000000000001"/>
    <n v="0.3412"/>
    <n v="0.1052"/>
    <s v="2022Q4"/>
    <x v="2"/>
    <x v="0"/>
  </r>
  <r>
    <s v="TXN-100078"/>
    <n v="45849"/>
    <x v="10"/>
    <s v="Technology"/>
    <x v="0"/>
    <s v="USD"/>
    <n v="29293.4"/>
    <n v="23091.39"/>
    <n v="6202.01"/>
    <n v="19063.45"/>
    <n v="20140.48"/>
    <n v="75892.77"/>
    <n v="1116"/>
    <n v="-4.8000000000000001E-2"/>
    <n v="0.2117"/>
    <n v="0.26540000000000002"/>
    <s v="2025Q3"/>
    <x v="0"/>
    <x v="0"/>
  </r>
  <r>
    <s v="TXN-100079"/>
    <n v="45320"/>
    <x v="11"/>
    <s v="Financial Services"/>
    <x v="2"/>
    <s v="USD"/>
    <n v="44318.64"/>
    <n v="32664.52"/>
    <n v="11654.12"/>
    <n v="21230.19"/>
    <n v="6858.18"/>
    <n v="148971.01999999999"/>
    <n v="1384"/>
    <n v="2.29E-2"/>
    <n v="0.26300000000000001"/>
    <n v="4.5999999999999999E-2"/>
    <s v="2024Q1"/>
    <x v="3"/>
    <x v="0"/>
  </r>
  <r>
    <s v="TXN-100080"/>
    <n v="46003"/>
    <x v="3"/>
    <s v="Telecommunications"/>
    <x v="2"/>
    <s v="USD"/>
    <n v="164781.14000000001"/>
    <n v="149321.42000000001"/>
    <n v="15459.72"/>
    <n v="44100.54"/>
    <n v="6942.29"/>
    <n v="74573.66"/>
    <n v="996"/>
    <n v="-4.3700000000000003E-2"/>
    <n v="9.3799999999999994E-2"/>
    <n v="9.3100000000000002E-2"/>
    <s v="2025Q4"/>
    <x v="0"/>
    <x v="0"/>
  </r>
  <r>
    <s v="TXN-100081"/>
    <n v="44708"/>
    <x v="5"/>
    <s v="Retail"/>
    <x v="2"/>
    <s v="USD"/>
    <n v="177866.88"/>
    <n v="157755.63"/>
    <n v="20111.25"/>
    <n v="64265.47"/>
    <n v="8111.78"/>
    <n v="204963.06"/>
    <n v="730"/>
    <n v="9.1600000000000001E-2"/>
    <n v="0.11310000000000001"/>
    <n v="3.9600000000000003E-2"/>
    <s v="2022Q2"/>
    <x v="2"/>
    <x v="0"/>
  </r>
  <r>
    <s v="TXN-100082"/>
    <n v="44822"/>
    <x v="0"/>
    <s v="Real Estate"/>
    <x v="2"/>
    <s v="USD"/>
    <n v="158005.75"/>
    <n v="108110.76"/>
    <n v="49894.99"/>
    <n v="20557.32"/>
    <n v="20058.759999999998"/>
    <n v="105888.7"/>
    <n v="967"/>
    <n v="-6.3200000000000006E-2"/>
    <n v="0.31580000000000003"/>
    <n v="0.18940000000000001"/>
    <s v="2022Q3"/>
    <x v="2"/>
    <x v="0"/>
  </r>
  <r>
    <s v="TXN-100083"/>
    <n v="44689"/>
    <x v="6"/>
    <s v="Travel"/>
    <x v="0"/>
    <s v="USD"/>
    <n v="70137.279999999999"/>
    <n v="51874.19"/>
    <n v="18263.09"/>
    <n v="12837.24"/>
    <n v="53948.89"/>
    <n v="145139.4"/>
    <n v="487"/>
    <n v="-2.52E-2"/>
    <n v="0.26040000000000002"/>
    <n v="0.37169999999999997"/>
    <s v="2022Q2"/>
    <x v="2"/>
    <x v="1"/>
  </r>
  <r>
    <s v="TXN-100084"/>
    <n v="44565"/>
    <x v="10"/>
    <s v="Technology"/>
    <x v="0"/>
    <s v="USD"/>
    <n v="149786.53"/>
    <n v="127971.03"/>
    <n v="21815.5"/>
    <n v="73570.38"/>
    <n v="79015.3"/>
    <n v="139417.76"/>
    <n v="637"/>
    <n v="9.7000000000000003E-3"/>
    <n v="0.14560000000000001"/>
    <n v="0.56679999999999997"/>
    <s v="2022Q1"/>
    <x v="2"/>
    <x v="1"/>
  </r>
  <r>
    <s v="TXN-100085"/>
    <n v="45963"/>
    <x v="1"/>
    <s v="Food &amp; Beverage"/>
    <x v="0"/>
    <s v="USD"/>
    <n v="50772.57"/>
    <n v="30555.279999999999"/>
    <n v="20217.29"/>
    <n v="40943.269999999997"/>
    <n v="13107.76"/>
    <n v="71209.09"/>
    <n v="597"/>
    <n v="7.3300000000000004E-2"/>
    <n v="0.3982"/>
    <n v="0.18410000000000001"/>
    <s v="2025Q4"/>
    <x v="0"/>
    <x v="0"/>
  </r>
  <r>
    <s v="TXN-100086"/>
    <n v="45467"/>
    <x v="9"/>
    <s v="Media"/>
    <x v="1"/>
    <s v="USD"/>
    <n v="75556.706550000003"/>
    <n v="52267.199999999997"/>
    <n v="23289.51"/>
    <n v="66172.479999999996"/>
    <n v="18686.38"/>
    <n v="136083.1"/>
    <n v="1133"/>
    <n v="-4.4400000000000002E-2"/>
    <n v="0.30819999999999997"/>
    <n v="0.13730000000000001"/>
    <s v="2024Q2"/>
    <x v="3"/>
    <x v="0"/>
  </r>
  <r>
    <s v="TXN-100087"/>
    <n v="45956"/>
    <x v="2"/>
    <s v="Healthcare"/>
    <x v="2"/>
    <s v="USD"/>
    <n v="49144.17"/>
    <n v="32278.71"/>
    <n v="16865.46"/>
    <n v="12275.21"/>
    <n v="78672.55"/>
    <n v="43133.69"/>
    <n v="1162"/>
    <n v="-0.1215"/>
    <n v="0.34320000000000001"/>
    <n v="1.8239000000000001"/>
    <s v="2025Q4"/>
    <x v="0"/>
    <x v="2"/>
  </r>
  <r>
    <s v="TXN-100088"/>
    <n v="45225"/>
    <x v="8"/>
    <s v="Logistics"/>
    <x v="1"/>
    <s v="USD"/>
    <n v="89086.507450000005"/>
    <n v="56082.44"/>
    <n v="33004.06"/>
    <n v="42647.78"/>
    <n v="19436.240000000002"/>
    <n v="117773.03"/>
    <n v="2841"/>
    <n v="2.8E-3"/>
    <n v="0.3705"/>
    <n v="0.16500000000000001"/>
    <s v="2023Q4"/>
    <x v="1"/>
    <x v="0"/>
  </r>
  <r>
    <s v="TXN-100089"/>
    <n v="44634"/>
    <x v="8"/>
    <s v="Logistics"/>
    <x v="0"/>
    <s v="USD"/>
    <n v="82199.09"/>
    <n v="60279.21"/>
    <n v="21919.88"/>
    <n v="25993.54"/>
    <n v="16291.95"/>
    <n v="259120.02"/>
    <n v="1234"/>
    <n v="-3.2199999999999999E-2"/>
    <n v="0.26669999999999999"/>
    <n v="6.2899999999999998E-2"/>
    <s v="2022Q1"/>
    <x v="2"/>
    <x v="0"/>
  </r>
  <r>
    <s v="TXN-100090"/>
    <n v="46020"/>
    <x v="1"/>
    <s v="Food &amp; Beverage"/>
    <x v="2"/>
    <s v="USD"/>
    <n v="109554.4"/>
    <n v="74887.039999999994"/>
    <n v="34667.360000000001"/>
    <n v="10947.24"/>
    <n v="9363.01"/>
    <n v="61476.92"/>
    <n v="1449"/>
    <n v="1.9E-2"/>
    <n v="0.31640000000000001"/>
    <n v="0.15229999999999999"/>
    <s v="2025Q4"/>
    <x v="0"/>
    <x v="0"/>
  </r>
  <r>
    <s v="TXN-100091"/>
    <n v="45666"/>
    <x v="11"/>
    <s v="Financial Services"/>
    <x v="0"/>
    <s v="USD"/>
    <n v="168733.29"/>
    <n v="145819.72"/>
    <n v="22913.57"/>
    <n v="69116.37"/>
    <n v="25434.639999999999"/>
    <n v="86344.16"/>
    <n v="1089"/>
    <n v="2.5600000000000001E-2"/>
    <n v="0.1358"/>
    <n v="0.29459999999999997"/>
    <s v="2025Q1"/>
    <x v="0"/>
    <x v="0"/>
  </r>
  <r>
    <s v="TXN-100092"/>
    <n v="45671"/>
    <x v="0"/>
    <s v="Real Estate"/>
    <x v="1"/>
    <s v="USD"/>
    <n v="41469.678699999997"/>
    <n v="36992.06"/>
    <n v="4477.6099999999997"/>
    <n v="78638.11"/>
    <n v="76013.03"/>
    <n v="143181.48000000001"/>
    <n v="728"/>
    <n v="7.6499999999999999E-2"/>
    <n v="0.108"/>
    <n v="0.53090000000000004"/>
    <s v="2025Q1"/>
    <x v="0"/>
    <x v="1"/>
  </r>
  <r>
    <s v="TXN-100093"/>
    <n v="45744"/>
    <x v="7"/>
    <s v="Manufacturing"/>
    <x v="0"/>
    <s v="USD"/>
    <n v="131461"/>
    <n v="95702.68"/>
    <n v="35758.32"/>
    <n v="8035.76"/>
    <n v="28673.43"/>
    <n v="136061.56"/>
    <n v="352"/>
    <n v="-8.6300000000000002E-2"/>
    <n v="0.27200000000000002"/>
    <n v="0.2107"/>
    <s v="2025Q1"/>
    <x v="0"/>
    <x v="0"/>
  </r>
  <r>
    <s v="TXN-100094"/>
    <n v="45058"/>
    <x v="0"/>
    <s v="Real Estate"/>
    <x v="2"/>
    <s v="USD"/>
    <n v="275834.87"/>
    <n v="227013.93"/>
    <n v="48820.94"/>
    <n v="46148.63"/>
    <n v="3236.34"/>
    <n v="149631.06"/>
    <n v="813"/>
    <n v="8.4699999999999998E-2"/>
    <n v="0.17699999999999999"/>
    <n v="2.1600000000000001E-2"/>
    <s v="2023Q2"/>
    <x v="1"/>
    <x v="0"/>
  </r>
  <r>
    <s v="TXN-100095"/>
    <n v="44975"/>
    <x v="2"/>
    <s v="Healthcare"/>
    <x v="0"/>
    <s v="USD"/>
    <n v="110922.55"/>
    <n v="63881.52"/>
    <n v="47041.03"/>
    <n v="29133.98"/>
    <n v="214950.64"/>
    <n v="65896.05"/>
    <n v="661"/>
    <n v="-0.1041"/>
    <n v="0.42409999999999998"/>
    <n v="3.262"/>
    <s v="2023Q1"/>
    <x v="1"/>
    <x v="2"/>
  </r>
  <r>
    <s v="TXN-100096"/>
    <n v="44901"/>
    <x v="9"/>
    <s v="Media"/>
    <x v="2"/>
    <s v="USD"/>
    <n v="41472.68"/>
    <n v="24505.19"/>
    <n v="16967.490000000002"/>
    <n v="57271.62"/>
    <n v="9176.85"/>
    <n v="87333.440000000002"/>
    <n v="571"/>
    <n v="-4.7600000000000003E-2"/>
    <n v="0.40910000000000002"/>
    <n v="0.1051"/>
    <s v="2022Q4"/>
    <x v="2"/>
    <x v="0"/>
  </r>
  <r>
    <s v="TXN-100097"/>
    <n v="45510"/>
    <x v="9"/>
    <s v="Media"/>
    <x v="2"/>
    <s v="USD"/>
    <n v="71500.149999999994"/>
    <n v="49492.47"/>
    <n v="22007.68"/>
    <n v="38713.760000000002"/>
    <n v="11424.75"/>
    <n v="138618"/>
    <n v="833"/>
    <n v="-5.1900000000000002E-2"/>
    <n v="0.30780000000000002"/>
    <n v="8.2400000000000001E-2"/>
    <s v="2024Q3"/>
    <x v="3"/>
    <x v="0"/>
  </r>
  <r>
    <s v="TXN-100098"/>
    <n v="45929"/>
    <x v="11"/>
    <s v="Financial Services"/>
    <x v="0"/>
    <s v="USD"/>
    <n v="328180.75"/>
    <n v="200781.82"/>
    <n v="127398.93"/>
    <n v="20645.900000000001"/>
    <n v="30735.14"/>
    <n v="107270.44"/>
    <n v="1022"/>
    <n v="0.19409999999999999"/>
    <n v="0.38819999999999999"/>
    <n v="0.28649999999999998"/>
    <s v="2025Q3"/>
    <x v="0"/>
    <x v="0"/>
  </r>
  <r>
    <s v="TXN-100099"/>
    <n v="45386"/>
    <x v="7"/>
    <s v="Manufacturing"/>
    <x v="2"/>
    <s v="USD"/>
    <n v="48774.29"/>
    <n v="40894.620000000003"/>
    <n v="7879.67"/>
    <n v="22273.79"/>
    <n v="18091.990000000002"/>
    <n v="75055.179999999993"/>
    <n v="758"/>
    <n v="-7.8E-2"/>
    <n v="0.16159999999999999"/>
    <n v="0.24099999999999999"/>
    <s v="2024Q2"/>
    <x v="3"/>
    <x v="0"/>
  </r>
  <r>
    <s v="TXN-100100"/>
    <n v="45730"/>
    <x v="8"/>
    <s v="Logistics"/>
    <x v="1"/>
    <s v="USD"/>
    <n v="104689.77739999999"/>
    <n v="66273.13"/>
    <n v="38416.65"/>
    <n v="28906.38"/>
    <n v="36233.629999999997"/>
    <n v="50901.96"/>
    <n v="1801"/>
    <n v="0.1447"/>
    <n v="0.36699999999999999"/>
    <n v="0.71179999999999999"/>
    <s v="2025Q1"/>
    <x v="0"/>
    <x v="2"/>
  </r>
  <r>
    <s v="TXN-100101"/>
    <n v="45513"/>
    <x v="8"/>
    <s v="Logistics"/>
    <x v="1"/>
    <s v="USD"/>
    <n v="56223.610549999998"/>
    <n v="49411.38"/>
    <n v="6812.23"/>
    <n v="28681.67"/>
    <n v="47581.72"/>
    <n v="183206.78"/>
    <n v="612"/>
    <n v="1.7899999999999999E-2"/>
    <n v="0.1212"/>
    <n v="0.25969999999999999"/>
    <s v="2024Q3"/>
    <x v="3"/>
    <x v="0"/>
  </r>
  <r>
    <s v="TXN-100102"/>
    <n v="44599"/>
    <x v="11"/>
    <s v="Financial Services"/>
    <x v="2"/>
    <s v="USD"/>
    <n v="129918.88"/>
    <n v="95292.12"/>
    <n v="34626.76"/>
    <n v="16890.75"/>
    <n v="17781.45"/>
    <n v="87706.8"/>
    <n v="891"/>
    <n v="9.9099999999999994E-2"/>
    <n v="0.26650000000000001"/>
    <n v="0.20269999999999999"/>
    <s v="2022Q1"/>
    <x v="2"/>
    <x v="0"/>
  </r>
  <r>
    <s v="TXN-100103"/>
    <n v="45625"/>
    <x v="2"/>
    <s v="Healthcare"/>
    <x v="0"/>
    <s v="USD"/>
    <n v="113917.46"/>
    <n v="73909.7"/>
    <n v="40007.760000000002"/>
    <n v="119694.16"/>
    <n v="32598.39"/>
    <n v="194988.92"/>
    <n v="1366"/>
    <n v="4.1599999999999998E-2"/>
    <n v="0.35120000000000001"/>
    <n v="0.16719999999999999"/>
    <s v="2024Q4"/>
    <x v="3"/>
    <x v="0"/>
  </r>
  <r>
    <s v="TXN-100104"/>
    <n v="45342"/>
    <x v="6"/>
    <s v="Travel"/>
    <x v="2"/>
    <s v="USD"/>
    <n v="101373.89"/>
    <n v="81266.59"/>
    <n v="20107.3"/>
    <n v="59886.85"/>
    <n v="81285.850000000006"/>
    <n v="157282.07"/>
    <n v="832"/>
    <n v="2.1000000000000001E-2"/>
    <n v="0.1983"/>
    <n v="0.51680000000000004"/>
    <s v="2024Q1"/>
    <x v="3"/>
    <x v="1"/>
  </r>
  <r>
    <s v="TXN-100105"/>
    <n v="44643"/>
    <x v="6"/>
    <s v="Travel"/>
    <x v="2"/>
    <s v="USD"/>
    <n v="95977.03"/>
    <n v="70808.31"/>
    <n v="25168.720000000001"/>
    <n v="43490.09"/>
    <n v="31347.17"/>
    <n v="105486.23"/>
    <n v="486"/>
    <n v="6.6000000000000003E-2"/>
    <n v="0.26219999999999999"/>
    <n v="0.29720000000000002"/>
    <s v="2022Q1"/>
    <x v="2"/>
    <x v="0"/>
  </r>
  <r>
    <s v="TXN-100106"/>
    <n v="44926"/>
    <x v="3"/>
    <s v="Telecommunications"/>
    <x v="2"/>
    <s v="USD"/>
    <n v="59870.8"/>
    <n v="49787.38"/>
    <n v="10083.42"/>
    <n v="38307.660000000003"/>
    <n v="41374.410000000003"/>
    <n v="100374.39999999999"/>
    <n v="1546"/>
    <n v="-9.8100000000000007E-2"/>
    <n v="0.16839999999999999"/>
    <n v="0.41220000000000001"/>
    <s v="2022Q4"/>
    <x v="2"/>
    <x v="1"/>
  </r>
  <r>
    <s v="TXN-100107"/>
    <n v="45781"/>
    <x v="1"/>
    <s v="Food &amp; Beverage"/>
    <x v="2"/>
    <s v="USD"/>
    <n v="102448.53"/>
    <n v="92254.92"/>
    <n v="10193.61"/>
    <n v="21220.12"/>
    <n v="39828.410000000003"/>
    <n v="59289.48"/>
    <n v="808"/>
    <n v="0.14849999999999999"/>
    <n v="9.9500000000000005E-2"/>
    <n v="0.67179999999999995"/>
    <s v="2025Q2"/>
    <x v="0"/>
    <x v="2"/>
  </r>
  <r>
    <s v="TXN-100108"/>
    <n v="44771"/>
    <x v="10"/>
    <s v="Technology"/>
    <x v="0"/>
    <s v="USD"/>
    <n v="92838.48"/>
    <n v="51905.73"/>
    <n v="40932.75"/>
    <n v="22741.26"/>
    <n v="94128.79"/>
    <n v="79734.460000000006"/>
    <n v="699"/>
    <n v="0.15110000000000001"/>
    <n v="0.44090000000000001"/>
    <n v="1.1805000000000001"/>
    <s v="2022Q3"/>
    <x v="2"/>
    <x v="2"/>
  </r>
  <r>
    <s v="TXN-100109"/>
    <n v="45684"/>
    <x v="8"/>
    <s v="Logistics"/>
    <x v="3"/>
    <s v="USD"/>
    <n v="32878.85"/>
    <n v="27752.37"/>
    <n v="5126.4799999999996"/>
    <n v="29015.39"/>
    <n v="11884.78"/>
    <n v="130866.5"/>
    <n v="1001"/>
    <n v="-3.2300000000000002E-2"/>
    <n v="0.15590000000000001"/>
    <n v="9.0800000000000006E-2"/>
    <s v="2025Q1"/>
    <x v="0"/>
    <x v="0"/>
  </r>
  <r>
    <s v="TXN-100110"/>
    <n v="45410"/>
    <x v="10"/>
    <s v="Technology"/>
    <x v="2"/>
    <s v="USD"/>
    <n v="96765.53"/>
    <n v="83917.32"/>
    <n v="12848.21"/>
    <n v="38960.959999999999"/>
    <n v="6140.01"/>
    <n v="78104.78"/>
    <n v="1515"/>
    <n v="-5.9700000000000003E-2"/>
    <n v="0.1328"/>
    <n v="7.8600000000000003E-2"/>
    <s v="2024Q2"/>
    <x v="3"/>
    <x v="0"/>
  </r>
  <r>
    <s v="TXN-100111"/>
    <n v="45570"/>
    <x v="8"/>
    <s v="Logistics"/>
    <x v="2"/>
    <s v="USD"/>
    <n v="32418.98"/>
    <n v="28198.44"/>
    <n v="4220.54"/>
    <n v="90276.75"/>
    <n v="40311.879999999997"/>
    <n v="148865.99"/>
    <n v="1013"/>
    <n v="-7.3000000000000001E-3"/>
    <n v="0.13020000000000001"/>
    <n v="0.27079999999999999"/>
    <s v="2024Q4"/>
    <x v="3"/>
    <x v="0"/>
  </r>
  <r>
    <s v="TXN-100112"/>
    <n v="45612"/>
    <x v="1"/>
    <s v="Food &amp; Beverage"/>
    <x v="2"/>
    <s v="USD"/>
    <n v="98612.56"/>
    <n v="77085.58"/>
    <n v="21526.98"/>
    <n v="50274.84"/>
    <n v="31483.439999999999"/>
    <n v="152175.41"/>
    <n v="862"/>
    <n v="0.11799999999999999"/>
    <n v="0.21829999999999999"/>
    <n v="0.2069"/>
    <s v="2024Q4"/>
    <x v="3"/>
    <x v="0"/>
  </r>
  <r>
    <s v="TXN-100113"/>
    <n v="45821"/>
    <x v="0"/>
    <s v="Real Estate"/>
    <x v="2"/>
    <s v="USD"/>
    <n v="92742.25"/>
    <n v="58747.56"/>
    <n v="33994.69"/>
    <n v="10874.7"/>
    <n v="38396.6"/>
    <n v="39255.93"/>
    <n v="1340"/>
    <n v="-0.1188"/>
    <n v="0.36659999999999998"/>
    <n v="0.97809999999999997"/>
    <s v="2025Q2"/>
    <x v="0"/>
    <x v="2"/>
  </r>
  <r>
    <s v="TXN-100114"/>
    <n v="45282"/>
    <x v="11"/>
    <s v="Financial Services"/>
    <x v="2"/>
    <s v="USD"/>
    <n v="54502.45"/>
    <n v="42076.3"/>
    <n v="12426.15"/>
    <n v="6022.66"/>
    <n v="61011.47"/>
    <n v="32387.279999999999"/>
    <n v="1061"/>
    <n v="4.5900000000000003E-2"/>
    <n v="0.22800000000000001"/>
    <n v="1.8837999999999999"/>
    <s v="2023Q4"/>
    <x v="1"/>
    <x v="2"/>
  </r>
  <r>
    <s v="TXN-100115"/>
    <n v="45673"/>
    <x v="11"/>
    <s v="Financial Services"/>
    <x v="0"/>
    <s v="USD"/>
    <n v="59267.62"/>
    <n v="43174.8"/>
    <n v="16092.82"/>
    <n v="33973.040000000001"/>
    <n v="16521.259999999998"/>
    <n v="59312.84"/>
    <n v="923"/>
    <n v="-4.8500000000000001E-2"/>
    <n v="0.27150000000000002"/>
    <n v="0.27850000000000003"/>
    <s v="2025Q1"/>
    <x v="0"/>
    <x v="0"/>
  </r>
  <r>
    <s v="TXN-100116"/>
    <n v="45150"/>
    <x v="9"/>
    <s v="Media"/>
    <x v="1"/>
    <s v="USD"/>
    <n v="74536.69475000001"/>
    <n v="44655.3"/>
    <n v="29881.4"/>
    <n v="22540.99"/>
    <n v="129774.53"/>
    <n v="133402.47"/>
    <n v="694"/>
    <n v="5.2900000000000003E-2"/>
    <n v="0.40089999999999998"/>
    <n v="0.9728"/>
    <s v="2023Q3"/>
    <x v="1"/>
    <x v="2"/>
  </r>
  <r>
    <s v="TXN-100117"/>
    <n v="44878"/>
    <x v="0"/>
    <s v="Real Estate"/>
    <x v="0"/>
    <s v="USD"/>
    <n v="237467.74"/>
    <n v="207133.28"/>
    <n v="30334.46"/>
    <n v="42215.72"/>
    <n v="55058.67"/>
    <n v="138627.04"/>
    <n v="1439"/>
    <n v="-3.0099999999999998E-2"/>
    <n v="0.12770000000000001"/>
    <n v="0.3972"/>
    <s v="2022Q4"/>
    <x v="2"/>
    <x v="1"/>
  </r>
  <r>
    <s v="TXN-100118"/>
    <n v="44769"/>
    <x v="0"/>
    <s v="Real Estate"/>
    <x v="0"/>
    <s v="USD"/>
    <n v="172181.79"/>
    <n v="123515.95"/>
    <n v="48665.84"/>
    <n v="37734.11"/>
    <n v="37088.97"/>
    <n v="345434.02"/>
    <n v="760"/>
    <n v="2.53E-2"/>
    <n v="0.28260000000000002"/>
    <n v="0.1074"/>
    <s v="2022Q3"/>
    <x v="2"/>
    <x v="0"/>
  </r>
  <r>
    <s v="TXN-100119"/>
    <n v="45470"/>
    <x v="10"/>
    <s v="Technology"/>
    <x v="1"/>
    <s v="USD"/>
    <n v="390415.98569999996"/>
    <n v="262256.65000000002"/>
    <n v="128159.33"/>
    <n v="27961.32"/>
    <n v="117315.34"/>
    <n v="86789.82"/>
    <n v="825"/>
    <n v="8.8200000000000001E-2"/>
    <n v="0.32829999999999998"/>
    <n v="1.3516999999999999"/>
    <s v="2024Q2"/>
    <x v="3"/>
    <x v="2"/>
  </r>
  <r>
    <s v="TXN-100120"/>
    <n v="45475"/>
    <x v="2"/>
    <s v="Healthcare"/>
    <x v="2"/>
    <s v="USD"/>
    <n v="31185.43"/>
    <n v="23411.439999999999"/>
    <n v="7773.99"/>
    <n v="76032.14"/>
    <n v="13702.06"/>
    <n v="135300.92000000001"/>
    <n v="484"/>
    <n v="-2.5600000000000001E-2"/>
    <n v="0.24929999999999999"/>
    <n v="0.1013"/>
    <s v="2024Q3"/>
    <x v="3"/>
    <x v="0"/>
  </r>
  <r>
    <s v="TXN-100121"/>
    <n v="44914"/>
    <x v="10"/>
    <s v="Technology"/>
    <x v="2"/>
    <s v="USD"/>
    <n v="58758.74"/>
    <n v="53205.38"/>
    <n v="5553.36"/>
    <n v="42033.760000000002"/>
    <n v="66502.990000000005"/>
    <n v="90758.36"/>
    <n v="1674"/>
    <n v="6.6799999999999998E-2"/>
    <n v="9.4500000000000001E-2"/>
    <n v="0.73270000000000002"/>
    <s v="2022Q4"/>
    <x v="2"/>
    <x v="2"/>
  </r>
  <r>
    <s v="TXN-100122"/>
    <n v="45508"/>
    <x v="4"/>
    <s v="Energy"/>
    <x v="1"/>
    <s v="USD"/>
    <n v="30340.244350000001"/>
    <n v="24828.799999999999"/>
    <n v="5511.45"/>
    <n v="152759.57999999999"/>
    <n v="73009.83"/>
    <n v="219363.81"/>
    <n v="830"/>
    <n v="7.6300000000000007E-2"/>
    <n v="0.1817"/>
    <n v="0.33279999999999998"/>
    <s v="2024Q3"/>
    <x v="3"/>
    <x v="1"/>
  </r>
  <r>
    <s v="TXN-100123"/>
    <n v="44747"/>
    <x v="7"/>
    <s v="Manufacturing"/>
    <x v="3"/>
    <s v="USD"/>
    <n v="190947.01"/>
    <n v="156815.57999999999"/>
    <n v="34131.43"/>
    <n v="86341.35"/>
    <n v="37097.33"/>
    <n v="122144.54"/>
    <n v="1038"/>
    <n v="-1.1900000000000001E-2"/>
    <n v="0.1787"/>
    <n v="0.30370000000000003"/>
    <s v="2022Q3"/>
    <x v="2"/>
    <x v="1"/>
  </r>
  <r>
    <s v="TXN-100124"/>
    <n v="44942"/>
    <x v="9"/>
    <s v="Media"/>
    <x v="2"/>
    <s v="USD"/>
    <n v="120765.29"/>
    <n v="82472.59"/>
    <n v="38292.699999999997"/>
    <n v="4473.92"/>
    <n v="10673.78"/>
    <n v="80544.55"/>
    <n v="1062"/>
    <n v="3.5000000000000001E-3"/>
    <n v="0.31709999999999999"/>
    <n v="0.13250000000000001"/>
    <s v="2023Q1"/>
    <x v="1"/>
    <x v="0"/>
  </r>
  <r>
    <s v="TXN-100125"/>
    <n v="44822"/>
    <x v="8"/>
    <s v="Logistics"/>
    <x v="0"/>
    <s v="USD"/>
    <n v="150244.35999999999"/>
    <n v="89909.72"/>
    <n v="60334.64"/>
    <n v="20017.150000000001"/>
    <n v="25912.05"/>
    <n v="105646.27"/>
    <n v="929"/>
    <n v="-8.6199999999999999E-2"/>
    <n v="0.40160000000000001"/>
    <n v="0.24529999999999999"/>
    <s v="2022Q3"/>
    <x v="2"/>
    <x v="0"/>
  </r>
  <r>
    <s v="TXN-100126"/>
    <n v="45946"/>
    <x v="7"/>
    <s v="Manufacturing"/>
    <x v="0"/>
    <s v="USD"/>
    <n v="26588.17"/>
    <n v="20694.740000000002"/>
    <n v="5893.43"/>
    <n v="24350.79"/>
    <n v="13756.82"/>
    <n v="112827.82"/>
    <n v="1314"/>
    <n v="0.1017"/>
    <n v="0.22170000000000001"/>
    <n v="0.12189999999999999"/>
    <s v="2025Q4"/>
    <x v="0"/>
    <x v="0"/>
  </r>
  <r>
    <s v="TXN-100127"/>
    <n v="44717"/>
    <x v="1"/>
    <s v="Food &amp; Beverage"/>
    <x v="0"/>
    <s v="USD"/>
    <n v="81882.47"/>
    <n v="61392.62"/>
    <n v="20489.849999999999"/>
    <n v="70446.28"/>
    <n v="20799.86"/>
    <n v="113137.4"/>
    <n v="960"/>
    <n v="-2.58E-2"/>
    <n v="0.25019999999999998"/>
    <n v="0.18379999999999999"/>
    <s v="2022Q2"/>
    <x v="2"/>
    <x v="0"/>
  </r>
  <r>
    <s v="TXN-100128"/>
    <n v="45644"/>
    <x v="2"/>
    <s v="Healthcare"/>
    <x v="1"/>
    <s v="USD"/>
    <n v="88125.531849999999"/>
    <n v="49824.58"/>
    <n v="38300.949999999997"/>
    <n v="1.1499999999999999"/>
    <n v="34436.720000000001"/>
    <n v="105549.5"/>
    <n v="845"/>
    <n v="9.1399999999999995E-2"/>
    <n v="0.43459999999999999"/>
    <n v="0.32629999999999998"/>
    <s v="2024Q4"/>
    <x v="3"/>
    <x v="1"/>
  </r>
  <r>
    <s v="TXN-100129"/>
    <n v="46013"/>
    <x v="6"/>
    <s v="Travel"/>
    <x v="1"/>
    <s v="USD"/>
    <n v="41889.40135"/>
    <n v="1.1499999999999999"/>
    <n v="1.1499999999999999"/>
    <n v="40121.54"/>
    <n v="17141.5"/>
    <n v="140276.62"/>
    <n v="1176"/>
    <n v="-5.0799999999999998E-2"/>
    <n v="0"/>
    <n v="0.1222"/>
    <s v="2025Q4"/>
    <x v="0"/>
    <x v="0"/>
  </r>
  <r>
    <s v="TXN-100130"/>
    <n v="44647"/>
    <x v="10"/>
    <s v="Technology"/>
    <x v="0"/>
    <s v="USD"/>
    <n v="123423.31"/>
    <n v="112573.6"/>
    <n v="10849.71"/>
    <n v="13998.69"/>
    <n v="24778.33"/>
    <n v="72681.63"/>
    <n v="1212"/>
    <n v="-2.8799999999999999E-2"/>
    <n v="8.7900000000000006E-2"/>
    <n v="0.34089999999999998"/>
    <s v="2022Q1"/>
    <x v="2"/>
    <x v="1"/>
  </r>
  <r>
    <s v="TXN-100131"/>
    <n v="45548"/>
    <x v="11"/>
    <s v="Financial Services"/>
    <x v="0"/>
    <s v="USD"/>
    <n v="83151.360000000001"/>
    <n v="66546.86"/>
    <n v="16604.5"/>
    <n v="45001.9"/>
    <n v="44845.75"/>
    <n v="70408.039999999994"/>
    <n v="1872"/>
    <n v="-7.5999999999999998E-2"/>
    <n v="0.19969999999999999"/>
    <n v="0.63690000000000002"/>
    <s v="2024Q3"/>
    <x v="3"/>
    <x v="2"/>
  </r>
  <r>
    <s v="TXN-100132"/>
    <n v="45571"/>
    <x v="7"/>
    <s v="Manufacturing"/>
    <x v="2"/>
    <s v="USD"/>
    <n v="25622.99"/>
    <n v="22306.92"/>
    <n v="3316.07"/>
    <n v="63051.47"/>
    <n v="21816.61"/>
    <n v="103965.98"/>
    <n v="1028"/>
    <n v="-4.8899999999999999E-2"/>
    <n v="0.12939999999999999"/>
    <n v="0.20979999999999999"/>
    <s v="2024Q4"/>
    <x v="3"/>
    <x v="0"/>
  </r>
  <r>
    <s v="TXN-100133"/>
    <n v="44580"/>
    <x v="10"/>
    <s v="Technology"/>
    <x v="2"/>
    <s v="USD"/>
    <n v="107829.88"/>
    <n v="91136.85"/>
    <n v="16693.03"/>
    <n v="53681.35"/>
    <n v="75493.759999999995"/>
    <n v="102896.17"/>
    <n v="947"/>
    <n v="-6.7199999999999996E-2"/>
    <n v="0.15479999999999999"/>
    <n v="0.73370000000000002"/>
    <s v="2022Q1"/>
    <x v="2"/>
    <x v="2"/>
  </r>
  <r>
    <s v="TXN-100134"/>
    <n v="45650"/>
    <x v="9"/>
    <s v="Media"/>
    <x v="2"/>
    <s v="USD"/>
    <n v="31865.7"/>
    <n v="25725.9"/>
    <n v="6139.8"/>
    <n v="10398.129999999999"/>
    <n v="12171.91"/>
    <n v="22306.03"/>
    <n v="673"/>
    <n v="-8.9200000000000002E-2"/>
    <n v="0.19270000000000001"/>
    <n v="0.54569999999999996"/>
    <s v="2024Q4"/>
    <x v="3"/>
    <x v="1"/>
  </r>
  <r>
    <s v="TXN-100135"/>
    <n v="45852"/>
    <x v="3"/>
    <s v="Telecommunications"/>
    <x v="2"/>
    <s v="USD"/>
    <n v="212630.21"/>
    <n v="165683.89000000001"/>
    <n v="46946.32"/>
    <n v="66627.45"/>
    <n v="4450.28"/>
    <n v="102501.01"/>
    <n v="922"/>
    <n v="9.4500000000000001E-2"/>
    <n v="0.2208"/>
    <n v="4.3400000000000001E-2"/>
    <s v="2025Q3"/>
    <x v="0"/>
    <x v="0"/>
  </r>
  <r>
    <s v="TXN-100136"/>
    <n v="45806"/>
    <x v="10"/>
    <s v="Technology"/>
    <x v="3"/>
    <s v="USD"/>
    <n v="34479.360000000001"/>
    <n v="24051.58"/>
    <n v="10427.780000000001"/>
    <n v="11237.85"/>
    <n v="60965.07"/>
    <n v="384417.16"/>
    <n v="1673"/>
    <n v="5.2299999999999999E-2"/>
    <n v="0.3024"/>
    <n v="0.15859999999999999"/>
    <s v="2025Q2"/>
    <x v="0"/>
    <x v="0"/>
  </r>
  <r>
    <s v="TXN-100137"/>
    <n v="44925"/>
    <x v="10"/>
    <s v="Technology"/>
    <x v="0"/>
    <s v="USD"/>
    <n v="119767.01"/>
    <n v="76661.48"/>
    <n v="43105.53"/>
    <n v="40007.97"/>
    <n v="23129.93"/>
    <n v="130661.94"/>
    <s v="null"/>
    <n v="-6.13E-2"/>
    <n v="0.3599"/>
    <n v="0.17699999999999999"/>
    <s v="2022Q4"/>
    <x v="2"/>
    <x v="0"/>
  </r>
  <r>
    <s v="TXN-100138"/>
    <n v="45312"/>
    <x v="1"/>
    <s v="Food &amp; Beverage"/>
    <x v="2"/>
    <s v="USD"/>
    <n v="360863.31"/>
    <n v="210441.68"/>
    <n v="150421.63"/>
    <n v="65200.7"/>
    <n v="15161.39"/>
    <n v="257923.84"/>
    <n v="557"/>
    <n v="1.47E-2"/>
    <n v="0.4168"/>
    <n v="5.8799999999999998E-2"/>
    <s v="2024Q1"/>
    <x v="3"/>
    <x v="0"/>
  </r>
  <r>
    <s v="TXN-100139"/>
    <n v="45470"/>
    <x v="3"/>
    <s v="Telecommunications"/>
    <x v="2"/>
    <s v="USD"/>
    <n v="50121.09"/>
    <n v="42280.18"/>
    <n v="7840.91"/>
    <n v="17555.87"/>
    <n v="13931.43"/>
    <n v="71045.52"/>
    <n v="729"/>
    <n v="9.64E-2"/>
    <n v="0.15640000000000001"/>
    <n v="0.1961"/>
    <s v="2024Q2"/>
    <x v="3"/>
    <x v="0"/>
  </r>
  <r>
    <s v="TXN-100140"/>
    <n v="44702"/>
    <x v="7"/>
    <s v="Manufacturing"/>
    <x v="2"/>
    <s v="USD"/>
    <n v="160171.39000000001"/>
    <n v="140495.35999999999"/>
    <n v="19676.03"/>
    <n v="42992.46"/>
    <n v="15342.88"/>
    <n v="79410.679999999993"/>
    <n v="477"/>
    <n v="0.14119999999999999"/>
    <n v="0.12280000000000001"/>
    <n v="0.19320000000000001"/>
    <s v="2022Q2"/>
    <x v="2"/>
    <x v="0"/>
  </r>
  <r>
    <s v="TXN-100141"/>
    <n v="45281"/>
    <x v="7"/>
    <s v="Manufacturing"/>
    <x v="3"/>
    <s v="USD"/>
    <n v="25544.13"/>
    <n v="16904.150000000001"/>
    <n v="8639.98"/>
    <n v="42725.46"/>
    <n v="46824.39"/>
    <n v="127111.48"/>
    <n v="1426"/>
    <n v="5.2699999999999997E-2"/>
    <n v="0.3382"/>
    <n v="0.36840000000000001"/>
    <s v="2023Q4"/>
    <x v="1"/>
    <x v="1"/>
  </r>
  <r>
    <s v="TXN-100142"/>
    <n v="45554"/>
    <x v="2"/>
    <s v="Healthcare"/>
    <x v="0"/>
    <s v="USD"/>
    <n v="34808.53"/>
    <n v="22174.33"/>
    <n v="12634.2"/>
    <n v="27578.09"/>
    <n v="25230.09"/>
    <n v="163515.95000000001"/>
    <n v="497"/>
    <n v="2.0799999999999999E-2"/>
    <n v="0.36299999999999999"/>
    <n v="0.15429999999999999"/>
    <s v="2024Q3"/>
    <x v="3"/>
    <x v="0"/>
  </r>
  <r>
    <s v="TXN-100143"/>
    <n v="45549"/>
    <x v="1"/>
    <s v="Food &amp; Beverage"/>
    <x v="0"/>
    <s v="USD"/>
    <n v="105154.03"/>
    <n v="67829.289999999994"/>
    <n v="37324.74"/>
    <n v="14286.04"/>
    <n v="17366.939999999999"/>
    <n v="81975.12"/>
    <n v="738"/>
    <n v="-4.1799999999999997E-2"/>
    <n v="0.35499999999999998"/>
    <n v="0.21190000000000001"/>
    <s v="2024Q3"/>
    <x v="3"/>
    <x v="0"/>
  </r>
  <r>
    <s v="TXN-100144"/>
    <n v="45959"/>
    <x v="0"/>
    <s v="Real Estate"/>
    <x v="0"/>
    <s v="USD"/>
    <n v="222027.19"/>
    <n v="123414.66"/>
    <n v="98612.53"/>
    <n v="24617.99"/>
    <n v="61950.26"/>
    <n v="65160.65"/>
    <n v="427"/>
    <n v="8.8400000000000006E-2"/>
    <n v="0.44409999999999999"/>
    <n v="0.95069999999999999"/>
    <s v="2025Q4"/>
    <x v="0"/>
    <x v="2"/>
  </r>
  <r>
    <s v="TXN-100145"/>
    <n v="44597"/>
    <x v="0"/>
    <s v="Real Estate"/>
    <x v="0"/>
    <s v="USD"/>
    <n v="50106.57"/>
    <n v="31760.69"/>
    <n v="18345.88"/>
    <n v="16149.92"/>
    <n v="16827.150000000001"/>
    <n v="67779.42"/>
    <n v="638"/>
    <n v="1.2500000000000001E-2"/>
    <n v="0.36609999999999998"/>
    <n v="0.24829999999999999"/>
    <s v="2022Q1"/>
    <x v="2"/>
    <x v="0"/>
  </r>
  <r>
    <s v="TXN-100146"/>
    <n v="44721"/>
    <x v="1"/>
    <s v="Food &amp; Beverage"/>
    <x v="2"/>
    <s v="USD"/>
    <n v="142941.51999999999"/>
    <n v="113041.68"/>
    <n v="29899.84"/>
    <n v="35453.589999999997"/>
    <n v="5458.95"/>
    <n v="114717.84"/>
    <n v="1560"/>
    <n v="-8.0699999999999994E-2"/>
    <n v="0.2092"/>
    <n v="4.7600000000000003E-2"/>
    <s v="2022Q2"/>
    <x v="2"/>
    <x v="0"/>
  </r>
  <r>
    <s v="TXN-100147"/>
    <n v="45175"/>
    <x v="0"/>
    <s v="Real Estate"/>
    <x v="1"/>
    <s v="USD"/>
    <n v="248345.62229999999"/>
    <n v="179336.85"/>
    <n v="69008.77"/>
    <n v="50448.99"/>
    <n v="33274.660000000003"/>
    <n v="91589.11"/>
    <n v="574"/>
    <n v="5.7200000000000001E-2"/>
    <n v="0.27789999999999998"/>
    <n v="0.36330000000000001"/>
    <s v="2023Q3"/>
    <x v="1"/>
    <x v="1"/>
  </r>
  <r>
    <s v="TXN-100148"/>
    <n v="45194"/>
    <x v="7"/>
    <s v="Manufacturing"/>
    <x v="2"/>
    <s v="USD"/>
    <n v="16024.56"/>
    <n v="9523.98"/>
    <n v="6500.58"/>
    <n v="23167.18"/>
    <n v="53758.31"/>
    <n v="129366.39999999999"/>
    <n v="1271"/>
    <n v="-7.6600000000000001E-2"/>
    <n v="0.40570000000000001"/>
    <n v="0.41560000000000002"/>
    <s v="2023Q3"/>
    <x v="1"/>
    <x v="1"/>
  </r>
  <r>
    <s v="TXN-100149"/>
    <n v="45539"/>
    <x v="4"/>
    <s v="Energy"/>
    <x v="0"/>
    <s v="USD"/>
    <n v="96410.1"/>
    <n v="74731.320000000007"/>
    <n v="21678.78"/>
    <n v="41562.79"/>
    <n v="9991.2999999999993"/>
    <n v="102563.41"/>
    <n v="660"/>
    <n v="-7.8100000000000003E-2"/>
    <n v="0.22489999999999999"/>
    <n v="9.74E-2"/>
    <s v="2024Q3"/>
    <x v="3"/>
    <x v="0"/>
  </r>
  <r>
    <s v="TXN-100150"/>
    <n v="45322"/>
    <x v="9"/>
    <s v="Media"/>
    <x v="2"/>
    <s v="USD"/>
    <n v="22169.360000000001"/>
    <n v="15449.45"/>
    <n v="6719.91"/>
    <n v="46891.6"/>
    <n v="150933.49"/>
    <n v="72518.820000000007"/>
    <n v="1308"/>
    <n v="1.23E-2"/>
    <n v="0.30309999999999998"/>
    <n v="2.0813000000000001"/>
    <s v="2024Q1"/>
    <x v="3"/>
    <x v="2"/>
  </r>
  <r>
    <s v="TXN-100151"/>
    <n v="45901"/>
    <x v="6"/>
    <s v="Travel"/>
    <x v="1"/>
    <s v="USD"/>
    <n v="65202.780700000003"/>
    <n v="1.1499999999999999"/>
    <n v="1.1499999999999999"/>
    <n v="52061.72"/>
    <n v="32888.17"/>
    <n v="115716.99"/>
    <n v="1357"/>
    <n v="-1.18E-2"/>
    <n v="0"/>
    <n v="0.28420000000000001"/>
    <s v="2025Q3"/>
    <x v="0"/>
    <x v="0"/>
  </r>
  <r>
    <s v="TXN-100152"/>
    <n v="45592"/>
    <x v="10"/>
    <s v="Technology"/>
    <x v="2"/>
    <s v="USD"/>
    <n v="52594.67"/>
    <n v="36769.07"/>
    <n v="15825.6"/>
    <n v="27848.98"/>
    <n v="41324.379999999997"/>
    <n v="58369.33"/>
    <n v="909"/>
    <n v="9.2999999999999992E-3"/>
    <n v="0.3009"/>
    <n v="0.70799999999999996"/>
    <s v="2024Q4"/>
    <x v="3"/>
    <x v="2"/>
  </r>
  <r>
    <s v="TXN-100153"/>
    <n v="45354"/>
    <x v="7"/>
    <s v="Manufacturing"/>
    <x v="0"/>
    <s v="USD"/>
    <n v="20334.09"/>
    <n v="15745.85"/>
    <n v="4588.24"/>
    <n v="28204.14"/>
    <n v="17800.740000000002"/>
    <n v="148635.12"/>
    <n v="626"/>
    <n v="3.6400000000000002E-2"/>
    <n v="0.22559999999999999"/>
    <n v="0.1198"/>
    <s v="2024Q1"/>
    <x v="3"/>
    <x v="0"/>
  </r>
  <r>
    <s v="TXN-100154"/>
    <n v="45098"/>
    <x v="1"/>
    <s v="Food &amp; Beverage"/>
    <x v="2"/>
    <s v="USD"/>
    <n v="68171.070000000007"/>
    <n v="57085.61"/>
    <n v="11085.46"/>
    <n v="0"/>
    <n v="32646.51"/>
    <n v="60251.25"/>
    <n v="1244"/>
    <n v="-2.4400000000000002E-2"/>
    <n v="0.16259999999999999"/>
    <n v="0.54179999999999995"/>
    <s v="2023Q2"/>
    <x v="1"/>
    <x v="1"/>
  </r>
  <r>
    <s v="TXN-100155"/>
    <n v="45645"/>
    <x v="6"/>
    <s v="Travel"/>
    <x v="0"/>
    <s v="USD"/>
    <n v="31163.99"/>
    <n v="23648.58"/>
    <n v="7515.41"/>
    <n v="11005.4"/>
    <n v="17152.849999999999"/>
    <n v="49137.52"/>
    <n v="1877"/>
    <n v="2.5999999999999999E-3"/>
    <n v="0.2412"/>
    <n v="0.34910000000000002"/>
    <s v="2024Q4"/>
    <x v="3"/>
    <x v="1"/>
  </r>
  <r>
    <s v="TXN-100156"/>
    <n v="45544"/>
    <x v="11"/>
    <s v="Financial Services"/>
    <x v="2"/>
    <s v="USD"/>
    <n v="50697.31"/>
    <n v="30160.46"/>
    <n v="20536.849999999999"/>
    <n v="24645.47"/>
    <n v="16469.7"/>
    <n v="72367.460000000006"/>
    <n v="753"/>
    <n v="2.2800000000000001E-2"/>
    <n v="0.40510000000000002"/>
    <n v="0.2276"/>
    <s v="2024Q3"/>
    <x v="3"/>
    <x v="0"/>
  </r>
  <r>
    <s v="TXN-100157"/>
    <n v="45346"/>
    <x v="4"/>
    <s v="Energy"/>
    <x v="0"/>
    <s v="USD"/>
    <s v="null"/>
    <n v="27901.05"/>
    <s v="null"/>
    <n v="20107.13"/>
    <n v="57551.21"/>
    <n v="102478.79"/>
    <n v="1332"/>
    <n v="6.0499999999999998E-2"/>
    <s v="null"/>
    <n v="0.56159999999999999"/>
    <s v="2024Q1"/>
    <x v="3"/>
    <x v="1"/>
  </r>
  <r>
    <s v="TXN-100158"/>
    <n v="44653"/>
    <x v="2"/>
    <s v="Healthcare"/>
    <x v="1"/>
    <s v="USD"/>
    <n v="35574.474450000002"/>
    <n v="24660.91"/>
    <n v="10913.57"/>
    <n v="35703.620000000003"/>
    <n v="25572.35"/>
    <n v="66977.740000000005"/>
    <n v="1068"/>
    <n v="0.11260000000000001"/>
    <n v="0.30680000000000002"/>
    <n v="0.38179999999999997"/>
    <s v="2022Q2"/>
    <x v="2"/>
    <x v="1"/>
  </r>
  <r>
    <s v="TXN-100159"/>
    <n v="46008"/>
    <x v="0"/>
    <s v="Real Estate"/>
    <x v="2"/>
    <s v="USD"/>
    <n v="27003.51"/>
    <n v="23187.7"/>
    <n v="3815.81"/>
    <n v="67715.360000000001"/>
    <n v="10346.959999999999"/>
    <n v="155674.94"/>
    <n v="480"/>
    <n v="-4.7199999999999999E-2"/>
    <n v="0.14130000000000001"/>
    <n v="6.6500000000000004E-2"/>
    <s v="2025Q4"/>
    <x v="0"/>
    <x v="0"/>
  </r>
  <r>
    <s v="TXN-100160"/>
    <n v="44869"/>
    <x v="6"/>
    <s v="Travel"/>
    <x v="1"/>
    <s v="USD"/>
    <n v="53578.832300000002"/>
    <n v="31989.98"/>
    <n v="21588.85"/>
    <n v="27300.3"/>
    <n v="22555.34"/>
    <n v="131158.28"/>
    <n v="1467"/>
    <n v="0.05"/>
    <n v="0.40289999999999998"/>
    <n v="0.17199999999999999"/>
    <s v="2022Q4"/>
    <x v="2"/>
    <x v="0"/>
  </r>
  <r>
    <s v="TXN-100161"/>
    <n v="45115"/>
    <x v="4"/>
    <s v="Energy"/>
    <x v="0"/>
    <s v="USD"/>
    <n v="88007.6"/>
    <n v="79512.56"/>
    <n v="8495.0400000000009"/>
    <n v="37985.72"/>
    <n v="15752.3"/>
    <n v="168590.17"/>
    <n v="683"/>
    <n v="0.14699999999999999"/>
    <n v="9.6500000000000002E-2"/>
    <n v="9.3399999999999997E-2"/>
    <s v="2023Q3"/>
    <x v="1"/>
    <x v="0"/>
  </r>
  <r>
    <s v="TXN-100162"/>
    <d v="2022-08-20T00:00:00"/>
    <x v="5"/>
    <s v="Retail"/>
    <x v="0"/>
    <s v="USD"/>
    <n v="297226.67"/>
    <n v="235986.37"/>
    <n v="61240.3"/>
    <n v="21504.11"/>
    <n v="33564.86"/>
    <n v="130560.95"/>
    <n v="673"/>
    <n v="2.2599999999999999E-2"/>
    <n v="0.20599999999999999"/>
    <n v="0.2571"/>
    <s v="2022Q3"/>
    <x v="2"/>
    <x v="0"/>
  </r>
  <r>
    <s v="TXN-100163"/>
    <n v="45142"/>
    <x v="11"/>
    <s v="Financial Services"/>
    <x v="0"/>
    <s v="USD"/>
    <n v="77468.009999999995"/>
    <n v="62104.89"/>
    <n v="15363.12"/>
    <n v="109698.4"/>
    <n v="20085.29"/>
    <n v="178467.53"/>
    <n v="489"/>
    <n v="-6.2899999999999998E-2"/>
    <n v="0.1983"/>
    <n v="0.1125"/>
    <s v="2023Q3"/>
    <x v="1"/>
    <x v="0"/>
  </r>
  <r>
    <s v="TXN-100164"/>
    <n v="45796"/>
    <x v="6"/>
    <s v="Travel"/>
    <x v="3"/>
    <s v="USD"/>
    <n v="37030.9"/>
    <n v="22752.54"/>
    <n v="14278.36"/>
    <n v="47841.89"/>
    <n v="33726.35"/>
    <n v="83052.77"/>
    <n v="631"/>
    <n v="7.5999999999999998E-2"/>
    <n v="0.3856"/>
    <n v="0.40610000000000002"/>
    <s v="2025Q2"/>
    <x v="0"/>
    <x v="1"/>
  </r>
  <r>
    <s v="TXN-100165"/>
    <n v="44929"/>
    <x v="10"/>
    <s v="Technology"/>
    <x v="2"/>
    <s v="USD"/>
    <n v="108514.08"/>
    <n v="75017.7"/>
    <n v="33496.379999999997"/>
    <n v="82274.070000000007"/>
    <n v="20782.28"/>
    <n v="131880.47"/>
    <n v="1632"/>
    <n v="5.1700000000000003E-2"/>
    <n v="0.30869999999999997"/>
    <n v="0.15759999999999999"/>
    <s v="2023Q1"/>
    <x v="1"/>
    <x v="0"/>
  </r>
  <r>
    <s v="TXN-100166"/>
    <n v="44680"/>
    <x v="9"/>
    <s v="Media"/>
    <x v="3"/>
    <s v="USD"/>
    <n v="48132.51"/>
    <n v="43925.2"/>
    <n v="4207.3100000000004"/>
    <n v="62911.74"/>
    <n v="86205.99"/>
    <n v="293745.64"/>
    <n v="1255"/>
    <n v="5.45E-2"/>
    <n v="8.7400000000000005E-2"/>
    <n v="0.29349999999999998"/>
    <s v="2022Q2"/>
    <x v="2"/>
    <x v="0"/>
  </r>
  <r>
    <s v="TXN-100167"/>
    <n v="45083"/>
    <x v="3"/>
    <s v="Telecommunications"/>
    <x v="2"/>
    <s v="USD"/>
    <n v="105022.88"/>
    <n v="66490.8"/>
    <n v="38532.080000000002"/>
    <n v="28360.17"/>
    <n v="11662.72"/>
    <n v="42061.279999999999"/>
    <n v="2264"/>
    <n v="-7.2700000000000001E-2"/>
    <n v="0.3669"/>
    <n v="0.27729999999999999"/>
    <s v="2023Q2"/>
    <x v="1"/>
    <x v="0"/>
  </r>
  <r>
    <s v="TXN-100168"/>
    <n v="45757"/>
    <x v="10"/>
    <s v="Technology"/>
    <x v="2"/>
    <s v="USD"/>
    <n v="83851.77"/>
    <n v="66154.850000000006"/>
    <n v="17696.919999999998"/>
    <n v="29284.27"/>
    <n v="53550.41"/>
    <n v="67949.34"/>
    <n v="832"/>
    <n v="3.1199999999999999E-2"/>
    <n v="0.21110000000000001"/>
    <n v="0.78810000000000002"/>
    <s v="2025Q2"/>
    <x v="0"/>
    <x v="2"/>
  </r>
  <r>
    <s v="TXN-100169"/>
    <n v="44863"/>
    <x v="1"/>
    <s v="Food &amp; Beverage"/>
    <x v="3"/>
    <s v="USD"/>
    <n v="130299.28"/>
    <n v="103298.65"/>
    <n v="27000.63"/>
    <n v="54946.45"/>
    <n v="31095.46"/>
    <n v="77584.240000000005"/>
    <n v="1074"/>
    <n v="-3.8899999999999997E-2"/>
    <n v="0.2072"/>
    <n v="0.40079999999999999"/>
    <s v="2022Q4"/>
    <x v="2"/>
    <x v="1"/>
  </r>
  <r>
    <s v="TXN-100170"/>
    <n v="45992"/>
    <x v="6"/>
    <s v="Travel"/>
    <x v="3"/>
    <s v="USD"/>
    <n v="100849.87"/>
    <n v="75700.710000000006"/>
    <n v="25149.16"/>
    <n v="54531.27"/>
    <n v="32617.439999999999"/>
    <n v="475899.48"/>
    <n v="1158"/>
    <n v="-0.1221"/>
    <n v="0.24940000000000001"/>
    <n v="6.8500000000000005E-2"/>
    <s v="2025Q4"/>
    <x v="0"/>
    <x v="0"/>
  </r>
  <r>
    <s v="TXN-100171"/>
    <n v="45866"/>
    <x v="0"/>
    <s v="Real Estate"/>
    <x v="1"/>
    <s v="USD"/>
    <n v="55874.248149999999"/>
    <n v="40272.83"/>
    <n v="15601.42"/>
    <n v="52578.77"/>
    <n v="26060.76"/>
    <n v="88804.12"/>
    <n v="691"/>
    <n v="5.4100000000000002E-2"/>
    <n v="0.2792"/>
    <n v="0.29349999999999998"/>
    <s v="2025Q3"/>
    <x v="0"/>
    <x v="0"/>
  </r>
  <r>
    <s v="TXN-100172"/>
    <n v="44863"/>
    <x v="7"/>
    <s v="Manufacturing"/>
    <x v="0"/>
    <s v="USD"/>
    <n v="33613.26"/>
    <n v="22907.18"/>
    <n v="10706.08"/>
    <n v="44856.41"/>
    <n v="33603.53"/>
    <n v="223135.94"/>
    <n v="467"/>
    <n v="-7.2999999999999995E-2"/>
    <n v="0.31850000000000001"/>
    <n v="0.15060000000000001"/>
    <s v="2022Q4"/>
    <x v="2"/>
    <x v="0"/>
  </r>
  <r>
    <s v="TXN-100173"/>
    <n v="45655"/>
    <x v="2"/>
    <s v="Healthcare"/>
    <x v="0"/>
    <s v="USD"/>
    <n v="42994.58"/>
    <n v="35133.72"/>
    <n v="7860.86"/>
    <n v="7586.42"/>
    <n v="32200.84"/>
    <n v="128091.01"/>
    <n v="474"/>
    <n v="-0.1221"/>
    <n v="0.18279999999999999"/>
    <n v="0.25140000000000001"/>
    <s v="2024Q4"/>
    <x v="3"/>
    <x v="0"/>
  </r>
  <r>
    <s v="TXN-100174"/>
    <n v="44763"/>
    <x v="11"/>
    <s v="Financial Services"/>
    <x v="2"/>
    <s v="USD"/>
    <n v="27128.05"/>
    <n v="22892.080000000002"/>
    <n v="4235.97"/>
    <n v="79523.58"/>
    <n v="31097.83"/>
    <n v="111513.57"/>
    <n v="2431"/>
    <n v="-1.2200000000000001E-2"/>
    <n v="0.15609999999999999"/>
    <n v="0.27889999999999998"/>
    <s v="2022Q3"/>
    <x v="2"/>
    <x v="0"/>
  </r>
  <r>
    <s v="TXN-100175"/>
    <n v="45259"/>
    <x v="11"/>
    <s v="Financial Services"/>
    <x v="2"/>
    <s v="USD"/>
    <n v="245206.29"/>
    <n v="189615.68"/>
    <n v="55590.61"/>
    <n v="123084.98"/>
    <n v="61037.89"/>
    <n v="216461.5"/>
    <n v="1274"/>
    <n v="-3.1300000000000001E-2"/>
    <n v="0.22670000000000001"/>
    <n v="0.28199999999999997"/>
    <s v="2023Q4"/>
    <x v="1"/>
    <x v="0"/>
  </r>
  <r>
    <s v="TXN-100176"/>
    <d v="2022-07-30T00:00:00"/>
    <x v="5"/>
    <s v="Retail"/>
    <x v="0"/>
    <s v="USD"/>
    <n v="65472.14"/>
    <n v="55023.56"/>
    <n v="10448.58"/>
    <n v="23926.46"/>
    <n v="57426.47"/>
    <n v="123786.6"/>
    <n v="257"/>
    <n v="7.0099999999999996E-2"/>
    <n v="0.15959999999999999"/>
    <n v="0.46389999999999998"/>
    <s v="2022Q3"/>
    <x v="2"/>
    <x v="1"/>
  </r>
  <r>
    <s v="TXN-100177"/>
    <n v="44674"/>
    <x v="4"/>
    <s v="Energy"/>
    <x v="2"/>
    <s v="USD"/>
    <n v="42272.02"/>
    <n v="26700.12"/>
    <n v="15571.9"/>
    <n v="29891.52"/>
    <n v="90288"/>
    <n v="125988.07"/>
    <n v="566"/>
    <n v="0.14910000000000001"/>
    <n v="0.36840000000000001"/>
    <n v="0.71660000000000001"/>
    <s v="2022Q2"/>
    <x v="2"/>
    <x v="2"/>
  </r>
  <r>
    <s v="TXN-100178"/>
    <n v="45632"/>
    <x v="4"/>
    <s v="Energy"/>
    <x v="1"/>
    <s v="USD"/>
    <n v="72271.850399999996"/>
    <n v="62206.32"/>
    <n v="10065.530000000001"/>
    <n v="19221.740000000002"/>
    <n v="80363.69"/>
    <n v="35254.39"/>
    <n v="510"/>
    <n v="3.61E-2"/>
    <n v="0.13930000000000001"/>
    <n v="2.2795000000000001"/>
    <s v="2024Q4"/>
    <x v="3"/>
    <x v="2"/>
  </r>
  <r>
    <s v="TXN-100179"/>
    <n v="45534"/>
    <x v="7"/>
    <s v="Manufacturing"/>
    <x v="2"/>
    <s v="USD"/>
    <n v="116622.06"/>
    <n v="89448.8"/>
    <n v="27173.26"/>
    <n v="106179.16"/>
    <n v="37913.019999999997"/>
    <n v="175602.29"/>
    <n v="746"/>
    <n v="4.9700000000000001E-2"/>
    <n v="0.23300000000000001"/>
    <n v="0.21590000000000001"/>
    <s v="2024Q3"/>
    <x v="3"/>
    <x v="0"/>
  </r>
  <r>
    <s v="TXN-100180"/>
    <n v="44610"/>
    <x v="1"/>
    <s v="Food &amp; Beverage"/>
    <x v="0"/>
    <s v="USD"/>
    <n v="114806.83"/>
    <n v="93134.399999999994"/>
    <n v="21672.43"/>
    <n v="30577.360000000001"/>
    <n v="18225.82"/>
    <n v="97171.8"/>
    <n v="793"/>
    <n v="-6.4899999999999999E-2"/>
    <n v="0.1888"/>
    <n v="0.18759999999999999"/>
    <s v="2022Q1"/>
    <x v="2"/>
    <x v="0"/>
  </r>
  <r>
    <s v="TXN-100181"/>
    <n v="45109"/>
    <x v="4"/>
    <s v="Energy"/>
    <x v="0"/>
    <s v="USD"/>
    <n v="39334.6"/>
    <n v="33089.72"/>
    <n v="6244.88"/>
    <n v="16856.25"/>
    <n v="25508.76"/>
    <n v="88822.92"/>
    <n v="1513"/>
    <n v="-7.9000000000000008E-3"/>
    <n v="0.1588"/>
    <n v="0.28720000000000001"/>
    <s v="2023Q3"/>
    <x v="1"/>
    <x v="0"/>
  </r>
  <r>
    <s v="TXN-100182"/>
    <n v="45813"/>
    <x v="10"/>
    <s v="Technology"/>
    <x v="2"/>
    <s v="USD"/>
    <n v="15127.11"/>
    <n v="10264"/>
    <n v="4863.1099999999997"/>
    <n v="61012.36"/>
    <n v="32782.89"/>
    <n v="124939.44"/>
    <n v="1231"/>
    <n v="1.7299999999999999E-2"/>
    <n v="0.32150000000000001"/>
    <n v="0.26240000000000002"/>
    <s v="2025Q2"/>
    <x v="0"/>
    <x v="0"/>
  </r>
  <r>
    <s v="TXN-100183"/>
    <n v="45457"/>
    <x v="7"/>
    <s v="Manufacturing"/>
    <x v="0"/>
    <s v="USD"/>
    <n v="68328.83"/>
    <n v="62345.54"/>
    <n v="5983.29"/>
    <n v="170912.36"/>
    <n v="38437.93"/>
    <n v="206244.43"/>
    <n v="698"/>
    <n v="-6.9800000000000001E-2"/>
    <n v="8.7599999999999997E-2"/>
    <n v="0.18640000000000001"/>
    <s v="2024Q2"/>
    <x v="3"/>
    <x v="0"/>
  </r>
  <r>
    <s v="TXN-100184"/>
    <n v="44945"/>
    <x v="2"/>
    <s v="Healthcare"/>
    <x v="3"/>
    <s v="USD"/>
    <n v="42829.11"/>
    <n v="34391.300000000003"/>
    <n v="8437.81"/>
    <n v="29292.14"/>
    <n v="36299.129999999997"/>
    <n v="90765.6"/>
    <n v="719"/>
    <n v="-9.4700000000000006E-2"/>
    <n v="0.19700000000000001"/>
    <n v="0.39989999999999998"/>
    <s v="2023Q1"/>
    <x v="1"/>
    <x v="1"/>
  </r>
  <r>
    <s v="TXN-100185"/>
    <n v="44738"/>
    <x v="6"/>
    <s v="Travel"/>
    <x v="2"/>
    <s v="USD"/>
    <n v="42704.79"/>
    <n v="30729.14"/>
    <n v="11975.65"/>
    <n v="34902.050000000003"/>
    <n v="9768.59"/>
    <n v="92228.19"/>
    <n v="733"/>
    <n v="0.1608"/>
    <n v="0.28039999999999998"/>
    <n v="0.10589999999999999"/>
    <s v="2022Q2"/>
    <x v="2"/>
    <x v="0"/>
  </r>
  <r>
    <s v="TXN-100186"/>
    <n v="45671"/>
    <x v="2"/>
    <s v="Healthcare"/>
    <x v="0"/>
    <s v="USD"/>
    <n v="135120.07999999999"/>
    <n v="79912.22"/>
    <n v="55207.86"/>
    <n v="20283.03"/>
    <n v="28506.92"/>
    <n v="79185.95"/>
    <n v="892"/>
    <n v="0.1193"/>
    <n v="0.40860000000000002"/>
    <n v="0.36"/>
    <s v="2025Q1"/>
    <x v="0"/>
    <x v="1"/>
  </r>
  <r>
    <s v="TXN-100187"/>
    <n v="45739"/>
    <x v="0"/>
    <s v="Real Estate"/>
    <x v="0"/>
    <s v="USD"/>
    <n v="155633.16"/>
    <n v="115506.69"/>
    <n v="40126.47"/>
    <n v="19190"/>
    <n v="34837.980000000003"/>
    <n v="68739.87"/>
    <n v="787"/>
    <n v="-0.1072"/>
    <n v="0.25779999999999997"/>
    <n v="0.50680000000000003"/>
    <s v="2025Q1"/>
    <x v="0"/>
    <x v="1"/>
  </r>
  <r>
    <s v="TXN-100188"/>
    <n v="45442"/>
    <x v="7"/>
    <s v="Manufacturing"/>
    <x v="0"/>
    <s v="USD"/>
    <n v="129835.22"/>
    <n v="97288.08"/>
    <n v="32547.14"/>
    <n v="31117.14"/>
    <n v="12347.92"/>
    <n v="90749.4"/>
    <n v="1432"/>
    <n v="4.7899999999999998E-2"/>
    <n v="0.25069999999999998"/>
    <n v="0.1361"/>
    <s v="2024Q2"/>
    <x v="3"/>
    <x v="0"/>
  </r>
  <r>
    <s v="TXN-100189"/>
    <n v="45270"/>
    <x v="8"/>
    <s v="Logistics"/>
    <x v="2"/>
    <s v="USD"/>
    <n v="22247.85"/>
    <n v="18762.86"/>
    <n v="3484.99"/>
    <n v="37814.82"/>
    <n v="120407.63"/>
    <n v="172411.23"/>
    <n v="734"/>
    <n v="0.1061"/>
    <n v="0.15659999999999999"/>
    <n v="0.69840000000000002"/>
    <s v="2023Q4"/>
    <x v="1"/>
    <x v="2"/>
  </r>
  <r>
    <s v="TXN-100190"/>
    <n v="45389"/>
    <x v="11"/>
    <s v="Financial Services"/>
    <x v="1"/>
    <s v="USD"/>
    <n v="158589.97685000001"/>
    <n v="105811.52"/>
    <n v="52778.45"/>
    <n v="59567.01"/>
    <n v="23566.57"/>
    <n v="110215.67999999999"/>
    <n v="584"/>
    <n v="4.1799999999999997E-2"/>
    <n v="0.33279999999999998"/>
    <n v="0.21379999999999999"/>
    <s v="2024Q2"/>
    <x v="3"/>
    <x v="0"/>
  </r>
  <r>
    <s v="TXN-100191"/>
    <n v="44927"/>
    <x v="4"/>
    <s v="Energy"/>
    <x v="0"/>
    <s v="USD"/>
    <n v="891489.84"/>
    <n v="67443.94"/>
    <n v="824045.9"/>
    <n v="88305.21"/>
    <n v="266062.48"/>
    <n v="146191.15"/>
    <n v="1505"/>
    <n v="0.1174"/>
    <n v="0.92430000000000001"/>
    <n v="1.82"/>
    <s v="2023Q1"/>
    <x v="1"/>
    <x v="2"/>
  </r>
  <r>
    <s v="TXN-100192"/>
    <n v="44808"/>
    <x v="4"/>
    <s v="Energy"/>
    <x v="3"/>
    <s v="USD"/>
    <n v="94223.64"/>
    <n v="55066.3"/>
    <n v="39157.339999999997"/>
    <n v="19136.28"/>
    <n v="17690.849999999999"/>
    <n v="42456.86"/>
    <n v="1116"/>
    <n v="-7.7000000000000002E-3"/>
    <n v="0.41560000000000002"/>
    <n v="0.41670000000000001"/>
    <s v="2022Q3"/>
    <x v="2"/>
    <x v="1"/>
  </r>
  <r>
    <s v="TXN-100193"/>
    <n v="45962"/>
    <x v="10"/>
    <s v="Technology"/>
    <x v="0"/>
    <s v="USD"/>
    <n v="172150.57"/>
    <n v="123936.04"/>
    <n v="48214.53"/>
    <n v="30253.040000000001"/>
    <n v="25010.84"/>
    <n v="41411.61"/>
    <n v="717"/>
    <n v="8.4500000000000006E-2"/>
    <n v="0.28010000000000002"/>
    <n v="0.60399999999999998"/>
    <s v="2025Q4"/>
    <x v="0"/>
    <x v="2"/>
  </r>
  <r>
    <s v="TXN-100194"/>
    <n v="44717"/>
    <x v="7"/>
    <s v="Manufacturing"/>
    <x v="2"/>
    <s v="USD"/>
    <n v="50643.44"/>
    <n v="34373.64"/>
    <n v="16269.8"/>
    <n v="24649.3"/>
    <n v="97958.63"/>
    <n v="71666.070000000007"/>
    <n v="1552"/>
    <n v="0.1241"/>
    <n v="0.32129999999999997"/>
    <n v="1.3669"/>
    <s v="2022Q2"/>
    <x v="2"/>
    <x v="2"/>
  </r>
  <r>
    <s v="TXN-100195"/>
    <n v="45181"/>
    <x v="10"/>
    <s v="Technology"/>
    <x v="0"/>
    <s v="USD"/>
    <n v="95075.31"/>
    <n v="74599.179999999993"/>
    <n v="20476.13"/>
    <n v="32307.77"/>
    <n v="36241.050000000003"/>
    <n v="65413.120000000003"/>
    <n v="1537"/>
    <n v="-7.4099999999999999E-2"/>
    <n v="0.21540000000000001"/>
    <n v="0.55400000000000005"/>
    <s v="2023Q3"/>
    <x v="1"/>
    <x v="1"/>
  </r>
  <r>
    <s v="TXN-100196"/>
    <n v="45015"/>
    <x v="3"/>
    <s v="Telecommunications"/>
    <x v="0"/>
    <s v="USD"/>
    <n v="56311.64"/>
    <n v="48411.41"/>
    <n v="7900.23"/>
    <n v="47428.82"/>
    <n v="54016.12"/>
    <n v="69247.350000000006"/>
    <n v="950"/>
    <n v="0.15540000000000001"/>
    <n v="0.14030000000000001"/>
    <n v="0.78"/>
    <s v="2023Q1"/>
    <x v="1"/>
    <x v="2"/>
  </r>
  <r>
    <s v="TXN-100197"/>
    <n v="45094"/>
    <x v="10"/>
    <s v="Technology"/>
    <x v="1"/>
    <s v="USD"/>
    <n v="116943.32695"/>
    <n v="102015.01"/>
    <n v="14928.32"/>
    <n v="42664.05"/>
    <n v="54956.27"/>
    <n v="155760.95000000001"/>
    <n v="520"/>
    <n v="7.2599999999999998E-2"/>
    <n v="0.12770000000000001"/>
    <n v="0.3528"/>
    <s v="2023Q2"/>
    <x v="1"/>
    <x v="1"/>
  </r>
  <r>
    <s v="TXN-100198"/>
    <d v="2022-08-07T00:00:00"/>
    <x v="5"/>
    <s v="Retail"/>
    <x v="0"/>
    <s v="USD"/>
    <n v="39022.629999999997"/>
    <n v="27917.200000000001"/>
    <n v="11105.43"/>
    <n v="36501.01"/>
    <n v="65229.33"/>
    <n v="91206.22"/>
    <n v="337"/>
    <n v="7.3599999999999999E-2"/>
    <n v="0.28460000000000002"/>
    <n v="0.71519999999999995"/>
    <s v="2022Q3"/>
    <x v="2"/>
    <x v="2"/>
  </r>
  <r>
    <s v="TXN-100199"/>
    <n v="44842"/>
    <x v="6"/>
    <s v="Travel"/>
    <x v="1"/>
    <s v="USD"/>
    <n v="64327.874750000003"/>
    <n v="58378.2"/>
    <n v="5949.67"/>
    <n v="35890.6"/>
    <n v="42024.11"/>
    <n v="76554.25"/>
    <n v="1312"/>
    <n v="4.7100000000000003E-2"/>
    <n v="9.2499999999999999E-2"/>
    <n v="0.54890000000000005"/>
    <s v="2022Q4"/>
    <x v="2"/>
    <x v="1"/>
  </r>
  <r>
    <s v="TXN-100200"/>
    <n v="45658"/>
    <x v="0"/>
    <s v="Real Estate"/>
    <x v="0"/>
    <s v="USD"/>
    <n v="130304.69"/>
    <n v="85240.49"/>
    <n v="45064.2"/>
    <n v="22726.14"/>
    <n v="36092.120000000003"/>
    <n v="260395.98"/>
    <n v="811"/>
    <n v="-1.6199999999999999E-2"/>
    <n v="0.3458"/>
    <n v="0.1386"/>
    <s v="2025Q1"/>
    <x v="0"/>
    <x v="0"/>
  </r>
  <r>
    <s v="TXN-100201"/>
    <n v="44650"/>
    <x v="5"/>
    <s v="Retail"/>
    <x v="1"/>
    <s v="USD"/>
    <n v="1.145"/>
    <n v="104880.34"/>
    <n v="1.1499999999999999"/>
    <n v="20236.91"/>
    <n v="23149.37"/>
    <n v="144628.79999999999"/>
    <n v="1154"/>
    <n v="0.17899999999999999"/>
    <n v="1.0044"/>
    <n v="0.16009999999999999"/>
    <s v="2022Q1"/>
    <x v="2"/>
    <x v="0"/>
  </r>
  <r>
    <s v="TXN-100202"/>
    <n v="44829"/>
    <x v="5"/>
    <s v="Retail"/>
    <x v="2"/>
    <s v="USD"/>
    <n v="76537.33"/>
    <n v="43897.77"/>
    <n v="32639.56"/>
    <n v="74110.67"/>
    <n v="35526.15"/>
    <n v="217401.49"/>
    <n v="1011"/>
    <n v="5.8099999999999999E-2"/>
    <n v="0.42649999999999999"/>
    <n v="0.16339999999999999"/>
    <s v="2022Q3"/>
    <x v="2"/>
    <x v="0"/>
  </r>
  <r>
    <s v="TXN-100203"/>
    <n v="45041"/>
    <x v="5"/>
    <s v="Retail"/>
    <x v="2"/>
    <s v="USD"/>
    <n v="111818.7"/>
    <n v="79308.320000000007"/>
    <n v="32510.38"/>
    <n v="215620.25"/>
    <n v="15942.43"/>
    <n v="230789.5"/>
    <n v="1130"/>
    <n v="0.113"/>
    <n v="0.29070000000000001"/>
    <n v="6.9099999999999995E-2"/>
    <s v="2023Q2"/>
    <x v="1"/>
    <x v="0"/>
  </r>
  <r>
    <s v="TXN-100204"/>
    <n v="44967"/>
    <x v="7"/>
    <s v="Manufacturing"/>
    <x v="2"/>
    <s v="USD"/>
    <n v="208559.75"/>
    <n v="160367.42000000001"/>
    <n v="48192.33"/>
    <n v="82490.64"/>
    <n v="11949.74"/>
    <n v="190195.79"/>
    <n v="581"/>
    <n v="1.23E-2"/>
    <n v="0.2311"/>
    <n v="6.2799999999999995E-2"/>
    <s v="2023Q1"/>
    <x v="1"/>
    <x v="0"/>
  </r>
  <r>
    <s v="TXN-100205"/>
    <n v="45140"/>
    <x v="10"/>
    <s v="Technology"/>
    <x v="0"/>
    <s v="USD"/>
    <n v="96350.92"/>
    <n v="74406.12"/>
    <n v="21944.799999999999"/>
    <n v="36327.760000000002"/>
    <n v="27858.18"/>
    <n v="249805.59"/>
    <n v="678"/>
    <n v="2.46E-2"/>
    <n v="0.2278"/>
    <n v="0.1115"/>
    <s v="2023Q3"/>
    <x v="1"/>
    <x v="0"/>
  </r>
  <r>
    <s v="TXN-100206"/>
    <n v="45134"/>
    <x v="9"/>
    <s v="Media"/>
    <x v="2"/>
    <s v="USD"/>
    <n v="49136.14"/>
    <n v="29570.57"/>
    <n v="19565.57"/>
    <n v="0"/>
    <n v="22557.98"/>
    <n v="44715.51"/>
    <n v="1100"/>
    <n v="-8.3000000000000004E-2"/>
    <n v="0.3982"/>
    <n v="0.50449999999999995"/>
    <s v="2023Q3"/>
    <x v="1"/>
    <x v="1"/>
  </r>
  <r>
    <s v="TXN-100207"/>
    <n v="45214"/>
    <x v="4"/>
    <s v="Energy"/>
    <x v="2"/>
    <s v="USD"/>
    <n v="155338.19"/>
    <n v="88280.84"/>
    <n v="67057.350000000006"/>
    <n v="35767.06"/>
    <n v="34143.82"/>
    <n v="110117.83"/>
    <n v="780"/>
    <n v="-0.1246"/>
    <n v="0.43169999999999997"/>
    <n v="0.31009999999999999"/>
    <s v="2023Q4"/>
    <x v="1"/>
    <x v="1"/>
  </r>
  <r>
    <s v="TXN-100208"/>
    <n v="44879"/>
    <x v="1"/>
    <s v="Food &amp; Beverage"/>
    <x v="2"/>
    <s v="USD"/>
    <n v="60168.765299999999"/>
    <n v="39277.82"/>
    <n v="20890.95"/>
    <n v="34710.01"/>
    <n v="19356.48"/>
    <n v="164761.98000000001"/>
    <n v="952"/>
    <n v="0.10979999999999999"/>
    <n v="0.34720000000000001"/>
    <n v="0.11749999999999999"/>
    <s v="2022Q4"/>
    <x v="2"/>
    <x v="0"/>
  </r>
  <r>
    <s v="TXN-100209"/>
    <n v="45626"/>
    <x v="6"/>
    <s v="Travel"/>
    <x v="2"/>
    <s v="USD"/>
    <n v="80318.795899999997"/>
    <n v="71796"/>
    <n v="8522.7999999999993"/>
    <n v="24889.759999999998"/>
    <n v="22919.64"/>
    <n v="54408.11"/>
    <n v="1165"/>
    <n v="3.61E-2"/>
    <n v="0.1061"/>
    <n v="0.42130000000000001"/>
    <s v="2024Q4"/>
    <x v="3"/>
    <x v="1"/>
  </r>
  <r>
    <s v="TXN-100210"/>
    <n v="45006"/>
    <x v="1"/>
    <s v="Food &amp; Beverage"/>
    <x v="2"/>
    <s v="USD"/>
    <n v="133094.01"/>
    <n v="120233.45"/>
    <n v="12860.56"/>
    <n v="22479.06"/>
    <n v="18279.79"/>
    <n v="89321.58"/>
    <n v="1854"/>
    <n v="7.7299999999999994E-2"/>
    <n v="9.6600000000000005E-2"/>
    <n v="0.20469999999999999"/>
    <s v="2023Q1"/>
    <x v="1"/>
    <x v="0"/>
  </r>
  <r>
    <s v="TXN-100211"/>
    <n v="45200"/>
    <x v="8"/>
    <s v="Logistics"/>
    <x v="0"/>
    <s v="USD"/>
    <n v="47303.4"/>
    <n v="36453.839999999997"/>
    <n v="10849.56"/>
    <n v="39623.79"/>
    <n v="56150.91"/>
    <n v="104838.46"/>
    <n v="422"/>
    <n v="-5.7200000000000001E-2"/>
    <n v="0.22939999999999999"/>
    <n v="0.53559999999999997"/>
    <s v="2023Q4"/>
    <x v="1"/>
    <x v="1"/>
  </r>
  <r>
    <s v="TXN-100212"/>
    <n v="45520"/>
    <x v="9"/>
    <s v="Media"/>
    <x v="3"/>
    <s v="USD"/>
    <n v="173619.08"/>
    <n v="152537.29"/>
    <n v="21081.79"/>
    <n v="83189.63"/>
    <n v="28126.3"/>
    <n v="487575.55"/>
    <n v="784"/>
    <n v="-1.38E-2"/>
    <n v="0.12139999999999999"/>
    <n v="5.7700000000000001E-2"/>
    <s v="2024Q3"/>
    <x v="3"/>
    <x v="0"/>
  </r>
  <r>
    <s v="TXN-100213"/>
    <n v="44948"/>
    <x v="10"/>
    <s v="Technology"/>
    <x v="2"/>
    <s v="USD"/>
    <n v="34772.36"/>
    <n v="19275.41"/>
    <n v="15496.95"/>
    <n v="35454.019999999997"/>
    <n v="6921.05"/>
    <n v="72348.710000000006"/>
    <n v="2996"/>
    <n v="-2.64E-2"/>
    <n v="0.44569999999999999"/>
    <n v="9.5699999999999993E-2"/>
    <s v="2023Q1"/>
    <x v="1"/>
    <x v="0"/>
  </r>
  <r>
    <s v="TXN-100214"/>
    <n v="45135"/>
    <x v="7"/>
    <s v="Manufacturing"/>
    <x v="3"/>
    <s v="USD"/>
    <n v="20463.46"/>
    <n v="16775.830000000002"/>
    <n v="3687.63"/>
    <n v="54877.27"/>
    <n v="58428.89"/>
    <n v="137364.25"/>
    <n v="671"/>
    <n v="0.1431"/>
    <n v="0.1802"/>
    <n v="0.4254"/>
    <s v="2023Q3"/>
    <x v="1"/>
    <x v="1"/>
  </r>
  <r>
    <s v="TXN-100215"/>
    <n v="44634"/>
    <x v="2"/>
    <s v="Healthcare"/>
    <x v="2"/>
    <s v="USD"/>
    <n v="140137.38"/>
    <n v="100222.78"/>
    <n v="39914.6"/>
    <n v="20548.96"/>
    <n v="41046.25"/>
    <n v="106929.61"/>
    <n v="395"/>
    <n v="-4.2000000000000003E-2"/>
    <n v="0.2848"/>
    <n v="0.38390000000000002"/>
    <s v="2022Q1"/>
    <x v="2"/>
    <x v="1"/>
  </r>
  <r>
    <s v="TXN-100216"/>
    <n v="45703"/>
    <x v="7"/>
    <s v="Manufacturing"/>
    <x v="1"/>
    <s v="USD"/>
    <n v="163825.913"/>
    <n v="112808"/>
    <n v="51017.91"/>
    <n v="82792.960000000006"/>
    <n v="25154.720000000001"/>
    <n v="110365.07"/>
    <n v="581"/>
    <n v="-2.23E-2"/>
    <n v="0.31140000000000001"/>
    <n v="0.22789999999999999"/>
    <s v="2025Q1"/>
    <x v="0"/>
    <x v="0"/>
  </r>
  <r>
    <s v="TXN-100217"/>
    <n v="46004"/>
    <x v="7"/>
    <s v="Manufacturing"/>
    <x v="0"/>
    <s v="USD"/>
    <n v="50746.14"/>
    <n v="35601.599999999999"/>
    <n v="15144.54"/>
    <n v="28382.97"/>
    <n v="65397.67"/>
    <n v="53030.83"/>
    <n v="431"/>
    <n v="0.10539999999999999"/>
    <n v="0.2984"/>
    <n v="1.2332000000000001"/>
    <s v="2025Q4"/>
    <x v="0"/>
    <x v="2"/>
  </r>
  <r>
    <s v="TXN-100218"/>
    <n v="45394"/>
    <x v="4"/>
    <s v="Energy"/>
    <x v="1"/>
    <s v="USD"/>
    <n v="85269.581250000003"/>
    <n v="51182.38"/>
    <n v="34087.199999999997"/>
    <n v="50419.62"/>
    <n v="28112.639999999999"/>
    <n v="111346.61"/>
    <n v="839"/>
    <n v="6.5199999999999994E-2"/>
    <n v="0.39979999999999999"/>
    <n v="0.2525"/>
    <s v="2024Q2"/>
    <x v="3"/>
    <x v="0"/>
  </r>
  <r>
    <s v="TXN-100219"/>
    <n v="44686"/>
    <x v="2"/>
    <s v="Healthcare"/>
    <x v="2"/>
    <s v="USD"/>
    <s v="null"/>
    <n v="19993.189999999999"/>
    <s v="null"/>
    <n v="25629.75"/>
    <n v="46984.05"/>
    <n v="72242.78"/>
    <n v="1522"/>
    <n v="3.7699999999999997E-2"/>
    <s v="null"/>
    <n v="0.65039999999999998"/>
    <s v="2022Q2"/>
    <x v="2"/>
    <x v="2"/>
  </r>
  <r>
    <s v="TXN-100220"/>
    <n v="44620"/>
    <x v="5"/>
    <s v="Retail"/>
    <x v="2"/>
    <s v="USD"/>
    <n v="68203.67"/>
    <n v="47240.55"/>
    <n v="20963.12"/>
    <n v="44954.31"/>
    <n v="41075.47"/>
    <n v="57929.3"/>
    <n v="975"/>
    <n v="-7.85E-2"/>
    <n v="0.30740000000000001"/>
    <n v="0.70909999999999995"/>
    <s v="2022Q1"/>
    <x v="2"/>
    <x v="2"/>
  </r>
  <r>
    <s v="TXN-100221"/>
    <n v="45382"/>
    <x v="8"/>
    <s v="Logistics"/>
    <x v="2"/>
    <s v="USD"/>
    <n v="63420.89"/>
    <n v="41975.96"/>
    <n v="21444.93"/>
    <n v="77606.36"/>
    <n v="14325.16"/>
    <n v="115191.51"/>
    <n v="832"/>
    <n v="-2.5399999999999999E-2"/>
    <n v="0.33810000000000001"/>
    <n v="0.1244"/>
    <s v="2024Q1"/>
    <x v="3"/>
    <x v="0"/>
  </r>
  <r>
    <s v="TXN-100222"/>
    <n v="44700"/>
    <x v="3"/>
    <s v="Telecommunications"/>
    <x v="2"/>
    <s v="USD"/>
    <s v="null"/>
    <n v="15448.68"/>
    <s v="null"/>
    <n v="55466.65"/>
    <n v="23447.279999999999"/>
    <n v="81545.41"/>
    <n v="818"/>
    <n v="0.18509999999999999"/>
    <s v="null"/>
    <n v="0.28749999999999998"/>
    <s v="2022Q2"/>
    <x v="2"/>
    <x v="0"/>
  </r>
  <r>
    <s v="TXN-100223"/>
    <n v="45684"/>
    <x v="2"/>
    <s v="Healthcare"/>
    <x v="0"/>
    <s v="USD"/>
    <n v="88407.33"/>
    <n v="67248.77"/>
    <n v="21158.560000000001"/>
    <n v="61674.48"/>
    <n v="10060.379999999999"/>
    <n v="148575.44"/>
    <n v="728"/>
    <n v="2.0999999999999999E-3"/>
    <n v="0.23930000000000001"/>
    <n v="6.7699999999999996E-2"/>
    <s v="2025Q1"/>
    <x v="0"/>
    <x v="0"/>
  </r>
  <r>
    <s v="TXN-100224"/>
    <n v="44625"/>
    <x v="5"/>
    <s v="Retail"/>
    <x v="2"/>
    <s v="USD"/>
    <n v="215752.28"/>
    <n v="146879.94"/>
    <n v="68872.34"/>
    <n v="98059.97"/>
    <n v="17389.87"/>
    <n v="155772.23000000001"/>
    <n v="1040"/>
    <n v="0.13220000000000001"/>
    <n v="0.31919999999999998"/>
    <n v="0.1116"/>
    <s v="2022Q1"/>
    <x v="2"/>
    <x v="0"/>
  </r>
  <r>
    <s v="TXN-100225"/>
    <n v="45605"/>
    <x v="1"/>
    <s v="Food &amp; Beverage"/>
    <x v="0"/>
    <s v="USD"/>
    <n v="52036.26"/>
    <n v="47288.21"/>
    <n v="4748.05"/>
    <n v="32011.49"/>
    <n v="27310.44"/>
    <n v="129772.78"/>
    <n v="990"/>
    <n v="-1.6E-2"/>
    <n v="9.1200000000000003E-2"/>
    <n v="0.2104"/>
    <s v="2024Q4"/>
    <x v="3"/>
    <x v="0"/>
  </r>
  <r>
    <s v="TXN-100226"/>
    <n v="45813"/>
    <x v="10"/>
    <s v="Technology"/>
    <x v="1"/>
    <s v="USD"/>
    <n v="46475.412599999996"/>
    <n v="38661.279999999999"/>
    <n v="7814.13"/>
    <n v="23807.79"/>
    <n v="37338.550000000003"/>
    <n v="34973.42"/>
    <n v="3047"/>
    <n v="-1.0200000000000001E-2"/>
    <n v="0.1681"/>
    <n v="1.0676000000000001"/>
    <s v="2025Q2"/>
    <x v="0"/>
    <x v="2"/>
  </r>
  <r>
    <s v="TXN-100227"/>
    <n v="44643"/>
    <x v="2"/>
    <s v="Healthcare"/>
    <x v="0"/>
    <s v="USD"/>
    <n v="288292.34999999998"/>
    <n v="221645.07"/>
    <n v="66647.28"/>
    <n v="14501.67"/>
    <n v="24702.98"/>
    <n v="184377.09"/>
    <n v="566"/>
    <n v="-4.9599999999999998E-2"/>
    <n v="0.23119999999999999"/>
    <n v="0.13400000000000001"/>
    <s v="2022Q1"/>
    <x v="2"/>
    <x v="0"/>
  </r>
  <r>
    <s v="TXN-100228"/>
    <n v="45398"/>
    <x v="10"/>
    <s v="Technology"/>
    <x v="2"/>
    <s v="USD"/>
    <n v="333236.88"/>
    <n v="297501.08"/>
    <n v="35735.800000000003"/>
    <n v="37593.93"/>
    <n v="26503.52"/>
    <n v="82333.39"/>
    <n v="1488"/>
    <n v="8.1100000000000005E-2"/>
    <n v="0.1072"/>
    <n v="0.32190000000000002"/>
    <s v="2024Q2"/>
    <x v="3"/>
    <x v="1"/>
  </r>
  <r>
    <s v="TXN-100229"/>
    <n v="44881"/>
    <x v="10"/>
    <s v="Technology"/>
    <x v="1"/>
    <s v="USD"/>
    <n v="44525.958500000001"/>
    <n v="37742.06"/>
    <n v="6783.9"/>
    <n v="14323.72"/>
    <n v="15061.91"/>
    <n v="55369.15"/>
    <n v="705"/>
    <n v="7.4200000000000002E-2"/>
    <n v="0.15240000000000001"/>
    <n v="0.27200000000000002"/>
    <s v="2022Q4"/>
    <x v="2"/>
    <x v="0"/>
  </r>
  <r>
    <s v="TXN-100230"/>
    <n v="45877"/>
    <x v="0"/>
    <s v="Real Estate"/>
    <x v="2"/>
    <s v="USD"/>
    <n v="102209.28"/>
    <n v="61617.33"/>
    <n v="40591.949999999997"/>
    <n v="54228.44"/>
    <n v="51038.1"/>
    <n v="159649.57999999999"/>
    <n v="1533"/>
    <n v="6.3100000000000003E-2"/>
    <n v="0.39710000000000001"/>
    <n v="0.31969999999999998"/>
    <s v="2025Q3"/>
    <x v="0"/>
    <x v="1"/>
  </r>
  <r>
    <s v="TXN-100231"/>
    <n v="45264"/>
    <x v="4"/>
    <s v="Energy"/>
    <x v="0"/>
    <s v="USD"/>
    <n v="71880.56"/>
    <n v="41599.46"/>
    <n v="30281.1"/>
    <n v="17724.23"/>
    <n v="7242.97"/>
    <n v="35322.94"/>
    <n v="823"/>
    <n v="-3.1099999999999999E-2"/>
    <n v="0.42130000000000001"/>
    <n v="0.2051"/>
    <s v="2023Q4"/>
    <x v="1"/>
    <x v="0"/>
  </r>
  <r>
    <s v="TXN-100232"/>
    <n v="45875"/>
    <x v="2"/>
    <s v="Healthcare"/>
    <x v="0"/>
    <s v="USD"/>
    <n v="94268.14"/>
    <n v="55786.44"/>
    <n v="38481.699999999997"/>
    <n v="57242.57"/>
    <n v="18420.759999999998"/>
    <n v="153158.76999999999"/>
    <n v="531"/>
    <n v="4.5999999999999999E-3"/>
    <n v="0.40820000000000001"/>
    <n v="0.1203"/>
    <s v="2025Q3"/>
    <x v="0"/>
    <x v="0"/>
  </r>
  <r>
    <s v="TXN-100233"/>
    <n v="44672"/>
    <x v="7"/>
    <s v="Manufacturing"/>
    <x v="1"/>
    <s v="USD"/>
    <n v="110484.10715"/>
    <n v="77171.289999999994"/>
    <n v="33312.81"/>
    <n v="29675.38"/>
    <n v="16387.14"/>
    <n v="77835.33"/>
    <n v="1506"/>
    <n v="3.1E-2"/>
    <n v="0.30149999999999999"/>
    <n v="0.21049999999999999"/>
    <s v="2022Q2"/>
    <x v="2"/>
    <x v="0"/>
  </r>
  <r>
    <s v="TXN-100234"/>
    <d v="2023-03-13T00:00:00"/>
    <x v="5"/>
    <s v="Retail"/>
    <x v="0"/>
    <s v="USD"/>
    <n v="191531.02"/>
    <n v="118653.82"/>
    <n v="72877.2"/>
    <n v="23505.64"/>
    <n v="46274.9"/>
    <n v="104696.98"/>
    <n v="1612"/>
    <n v="-4.0000000000000001E-3"/>
    <n v="0.3805"/>
    <n v="0.442"/>
    <s v="2023Q1"/>
    <x v="1"/>
    <x v="1"/>
  </r>
  <r>
    <s v="TXN-100235"/>
    <n v="44721"/>
    <x v="10"/>
    <s v="Technology"/>
    <x v="2"/>
    <s v="USD"/>
    <n v="14182.06"/>
    <n v="9031.4500000000007"/>
    <n v="5150.6099999999997"/>
    <n v="115897.45"/>
    <n v="11297.91"/>
    <n v="143837.41"/>
    <n v="570"/>
    <n v="2.2599999999999999E-2"/>
    <n v="0.36320000000000002"/>
    <n v="7.85E-2"/>
    <s v="2022Q2"/>
    <x v="2"/>
    <x v="0"/>
  </r>
  <r>
    <s v="TXN-100236"/>
    <n v="45597"/>
    <x v="6"/>
    <s v="Travel"/>
    <x v="0"/>
    <s v="USD"/>
    <n v="22210.67"/>
    <n v="13315.67"/>
    <n v="8895"/>
    <n v="32219.96"/>
    <n v="17689.55"/>
    <n v="99341.89"/>
    <n v="620"/>
    <n v="9.4100000000000003E-2"/>
    <n v="0.40050000000000002"/>
    <n v="0.17810000000000001"/>
    <s v="2024Q4"/>
    <x v="3"/>
    <x v="0"/>
  </r>
  <r>
    <s v="TXN-100237"/>
    <n v="45739"/>
    <x v="5"/>
    <s v="Retail"/>
    <x v="1"/>
    <s v="USD"/>
    <n v="131455.75539999999"/>
    <n v="115867.59"/>
    <n v="15588.17"/>
    <n v="114996.9"/>
    <n v="14210.7"/>
    <n v="541652.26"/>
    <n v="1114"/>
    <n v="-3.0000000000000001E-3"/>
    <n v="0.1186"/>
    <n v="2.6200000000000001E-2"/>
    <s v="2025Q1"/>
    <x v="0"/>
    <x v="0"/>
  </r>
  <r>
    <s v="TXN-100238"/>
    <n v="45138"/>
    <x v="3"/>
    <s v="Telecommunications"/>
    <x v="2"/>
    <s v="USD"/>
    <n v="82469.64"/>
    <n v="71799.95"/>
    <n v="10669.69"/>
    <n v="15723.7"/>
    <n v="53466.5"/>
    <n v="82797.47"/>
    <n v="853"/>
    <n v="5.8099999999999999E-2"/>
    <n v="0.12939999999999999"/>
    <n v="0.64580000000000004"/>
    <s v="2023Q3"/>
    <x v="1"/>
    <x v="2"/>
  </r>
  <r>
    <s v="TXN-100239"/>
    <n v="45252"/>
    <x v="10"/>
    <s v="Technology"/>
    <x v="1"/>
    <s v="USD"/>
    <n v="99497.740550000002"/>
    <n v="72903.100000000006"/>
    <n v="26594.639999999999"/>
    <n v="25021.07"/>
    <n v="108058.45"/>
    <n v="50340.63"/>
    <n v="1135"/>
    <n v="-5.1200000000000002E-2"/>
    <n v="0.26729999999999998"/>
    <n v="2.1465000000000001"/>
    <s v="2023Q4"/>
    <x v="1"/>
    <x v="2"/>
  </r>
  <r>
    <s v="TXN-100240"/>
    <n v="45084"/>
    <x v="1"/>
    <s v="Food &amp; Beverage"/>
    <x v="3"/>
    <s v="USD"/>
    <n v="77468.56"/>
    <n v="51150.89"/>
    <n v="26317.67"/>
    <n v="37726.61"/>
    <n v="31654.71"/>
    <n v="86089.48"/>
    <n v="737"/>
    <n v="2.0500000000000001E-2"/>
    <n v="0.3397"/>
    <n v="0.36770000000000003"/>
    <s v="2023Q2"/>
    <x v="1"/>
    <x v="1"/>
  </r>
  <r>
    <s v="TXN-100241"/>
    <n v="45432"/>
    <x v="1"/>
    <s v="Food &amp; Beverage"/>
    <x v="1"/>
    <s v="USD"/>
    <n v="13283.3511"/>
    <n v="9555.3700000000008"/>
    <n v="3727.98"/>
    <n v="38071.769999999997"/>
    <n v="19830.47"/>
    <n v="65514.87"/>
    <n v="714"/>
    <n v="-1.1000000000000001E-3"/>
    <n v="0.28070000000000001"/>
    <n v="0.30270000000000002"/>
    <s v="2024Q2"/>
    <x v="3"/>
    <x v="1"/>
  </r>
  <r>
    <s v="TXN-100242"/>
    <n v="45302"/>
    <x v="9"/>
    <s v="Media"/>
    <x v="2"/>
    <s v="USD"/>
    <n v="90434.77"/>
    <n v="56832.63"/>
    <n v="33602.14"/>
    <n v="40551.660000000003"/>
    <n v="20000.8"/>
    <n v="330615"/>
    <n v="794"/>
    <n v="3.7400000000000003E-2"/>
    <n v="0.37159999999999999"/>
    <n v="6.0499999999999998E-2"/>
    <s v="2024Q1"/>
    <x v="3"/>
    <x v="0"/>
  </r>
  <r>
    <s v="TXN-100243"/>
    <n v="44723"/>
    <x v="0"/>
    <s v="Real Estate"/>
    <x v="0"/>
    <s v="USD"/>
    <n v="113252.6"/>
    <n v="67557.210000000006"/>
    <n v="45695.39"/>
    <n v="29287.279999999999"/>
    <n v="30050.63"/>
    <n v="75687.710000000006"/>
    <n v="2725"/>
    <n v="-6.4399999999999999E-2"/>
    <n v="0.40350000000000003"/>
    <n v="0.39700000000000002"/>
    <s v="2022Q2"/>
    <x v="2"/>
    <x v="1"/>
  </r>
  <r>
    <s v="TXN-100244"/>
    <n v="44788"/>
    <x v="1"/>
    <s v="Food &amp; Beverage"/>
    <x v="2"/>
    <s v="USD"/>
    <n v="140274.34"/>
    <n v="117738.66"/>
    <n v="22535.68"/>
    <n v="47194.74"/>
    <n v="12827.48"/>
    <n v="111797.83"/>
    <n v="551"/>
    <n v="6.9099999999999995E-2"/>
    <n v="0.16070000000000001"/>
    <n v="0.1147"/>
    <s v="2022Q3"/>
    <x v="2"/>
    <x v="0"/>
  </r>
  <r>
    <s v="TXN-100245"/>
    <n v="45429"/>
    <x v="10"/>
    <s v="Technology"/>
    <x v="2"/>
    <s v="USD"/>
    <n v="41839.360000000001"/>
    <n v="37038.06"/>
    <n v="4801.3"/>
    <n v="0"/>
    <n v="55894.29"/>
    <n v="105264.41"/>
    <n v="1694"/>
    <n v="-3.1300000000000001E-2"/>
    <n v="0.1148"/>
    <n v="0.53100000000000003"/>
    <s v="2024Q2"/>
    <x v="3"/>
    <x v="1"/>
  </r>
  <r>
    <s v="TXN-100246"/>
    <n v="45026"/>
    <x v="0"/>
    <s v="Real Estate"/>
    <x v="0"/>
    <s v="USD"/>
    <n v="97246.98"/>
    <s v="null"/>
    <s v="null"/>
    <n v="33313.96"/>
    <n v="22244.36"/>
    <n v="102473.83"/>
    <n v="1396"/>
    <n v="-4.5699999999999998E-2"/>
    <s v="null"/>
    <n v="0.21709999999999999"/>
    <s v="2023Q2"/>
    <x v="1"/>
    <x v="0"/>
  </r>
  <r>
    <s v="TXN-100247"/>
    <n v="44573"/>
    <x v="7"/>
    <s v="Manufacturing"/>
    <x v="2"/>
    <s v="USD"/>
    <n v="81397.070000000007"/>
    <n v="70279.25"/>
    <n v="11117.82"/>
    <n v="34051.230000000003"/>
    <n v="45989.85"/>
    <n v="133532.51"/>
    <n v="322"/>
    <n v="-6.0199999999999997E-2"/>
    <n v="0.1366"/>
    <n v="0.34439999999999998"/>
    <s v="2022Q1"/>
    <x v="2"/>
    <x v="1"/>
  </r>
  <r>
    <s v="TXN-100248"/>
    <n v="45050"/>
    <x v="4"/>
    <s v="Energy"/>
    <x v="0"/>
    <s v="USD"/>
    <n v="80626.89"/>
    <n v="58467.26"/>
    <n v="22159.63"/>
    <n v="51277.67"/>
    <n v="30886.52"/>
    <n v="94234.73"/>
    <n v="961"/>
    <n v="1.1900000000000001E-2"/>
    <n v="0.27479999999999999"/>
    <n v="0.32779999999999998"/>
    <s v="2023Q2"/>
    <x v="1"/>
    <x v="1"/>
  </r>
  <r>
    <s v="TXN-100249"/>
    <n v="45169"/>
    <x v="0"/>
    <s v="Real Estate"/>
    <x v="0"/>
    <s v="USD"/>
    <n v="169357.2"/>
    <n v="128318.33"/>
    <n v="41038.870000000003"/>
    <n v="84472.44"/>
    <n v="15730.1"/>
    <n v="180488.9"/>
    <n v="1268"/>
    <n v="0.1186"/>
    <n v="0.24229999999999999"/>
    <n v="8.72E-2"/>
    <s v="2023Q3"/>
    <x v="1"/>
    <x v="0"/>
  </r>
  <r>
    <s v="TXN-100250"/>
    <n v="45979"/>
    <x v="9"/>
    <s v="Media"/>
    <x v="0"/>
    <s v="USD"/>
    <n v="34921.5"/>
    <n v="31890.73"/>
    <n v="3030.77"/>
    <n v="17024.62"/>
    <n v="55423.51"/>
    <n v="79683.25"/>
    <n v="1093"/>
    <n v="-6.7400000000000002E-2"/>
    <n v="8.6800000000000002E-2"/>
    <n v="0.69550000000000001"/>
    <s v="2025Q4"/>
    <x v="0"/>
    <x v="2"/>
  </r>
  <r>
    <s v="TXN-100251"/>
    <n v="45125"/>
    <x v="5"/>
    <s v="Retail"/>
    <x v="2"/>
    <s v="USD"/>
    <n v="164073.41"/>
    <n v="122950.18"/>
    <n v="41123.230000000003"/>
    <n v="17515.310000000001"/>
    <n v="30715.64"/>
    <n v="62437.51"/>
    <n v="1099"/>
    <n v="2.4899999999999999E-2"/>
    <n v="0.25059999999999999"/>
    <n v="0.4919"/>
    <s v="2023Q3"/>
    <x v="1"/>
    <x v="1"/>
  </r>
  <r>
    <s v="TXN-100252"/>
    <n v="45020"/>
    <x v="4"/>
    <s v="Energy"/>
    <x v="0"/>
    <s v="USD"/>
    <n v="68495.28"/>
    <n v="45323.96"/>
    <n v="23171.32"/>
    <n v="22455.47"/>
    <n v="15380.25"/>
    <n v="175603.42"/>
    <n v="1205"/>
    <n v="2.3800000000000002E-2"/>
    <n v="0.33829999999999999"/>
    <n v="8.7599999999999997E-2"/>
    <s v="2023Q2"/>
    <x v="1"/>
    <x v="0"/>
  </r>
  <r>
    <s v="TXN-100253"/>
    <n v="44863"/>
    <x v="8"/>
    <s v="Logistics"/>
    <x v="1"/>
    <s v="USD"/>
    <n v="58046.484900000003"/>
    <n v="35485.42"/>
    <n v="22561.07"/>
    <n v="35499.75"/>
    <n v="9859.9699999999993"/>
    <n v="91629.17"/>
    <n v="740"/>
    <n v="5.4100000000000002E-2"/>
    <n v="0.38869999999999999"/>
    <n v="0.1076"/>
    <s v="2022Q4"/>
    <x v="2"/>
    <x v="0"/>
  </r>
  <r>
    <s v="TXN-100254"/>
    <n v="45141"/>
    <x v="10"/>
    <s v="Technology"/>
    <x v="2"/>
    <s v="USD"/>
    <n v="25879.83"/>
    <n v="18418.38"/>
    <n v="7461.45"/>
    <n v="45411.51"/>
    <n v="15164.13"/>
    <n v="112770.45"/>
    <n v="966"/>
    <n v="1.3100000000000001E-2"/>
    <n v="0.2883"/>
    <n v="0.13450000000000001"/>
    <s v="2023Q3"/>
    <x v="1"/>
    <x v="0"/>
  </r>
  <r>
    <s v="TXN-100255"/>
    <n v="45358"/>
    <x v="4"/>
    <s v="Energy"/>
    <x v="0"/>
    <s v="USD"/>
    <n v="74409.78"/>
    <n v="67832.25"/>
    <n v="6577.53"/>
    <n v="49043.6"/>
    <n v="16103.8"/>
    <n v="135371.16"/>
    <n v="2022"/>
    <n v="-4.3E-3"/>
    <n v="8.8400000000000006E-2"/>
    <n v="0.11899999999999999"/>
    <s v="2024Q1"/>
    <x v="3"/>
    <x v="0"/>
  </r>
  <r>
    <s v="TXN-100256"/>
    <n v="45154"/>
    <x v="5"/>
    <s v="Retail"/>
    <x v="1"/>
    <s v="USD"/>
    <n v="97373.170150000005"/>
    <n v="81355.48"/>
    <n v="16017.69"/>
    <n v="16207.21"/>
    <n v="23979.59"/>
    <n v="84726.68"/>
    <n v="511"/>
    <n v="5.5300000000000002E-2"/>
    <n v="0.16450000000000001"/>
    <n v="0.28299999999999997"/>
    <s v="2023Q3"/>
    <x v="1"/>
    <x v="0"/>
  </r>
  <r>
    <s v="TXN-100257"/>
    <n v="45017"/>
    <x v="3"/>
    <s v="Telecommunications"/>
    <x v="2"/>
    <s v="USD"/>
    <n v="49271.83"/>
    <n v="31580.720000000001"/>
    <n v="17691.11"/>
    <n v="55968.19"/>
    <n v="54561.78"/>
    <n v="106819.94"/>
    <n v="894"/>
    <n v="5.6099999999999997E-2"/>
    <n v="0.35909999999999997"/>
    <n v="0.51080000000000003"/>
    <s v="2023Q2"/>
    <x v="1"/>
    <x v="1"/>
  </r>
  <r>
    <s v="TXN-100258"/>
    <n v="45541"/>
    <x v="9"/>
    <s v="Media"/>
    <x v="0"/>
    <s v="USD"/>
    <n v="69219.23"/>
    <n v="45127.67"/>
    <n v="24091.56"/>
    <n v="20525.13"/>
    <n v="72820.33"/>
    <n v="34751.81"/>
    <n v="1490"/>
    <n v="-1.0500000000000001E-2"/>
    <n v="0.34799999999999998"/>
    <n v="2.0954000000000002"/>
    <s v="2024Q3"/>
    <x v="3"/>
    <x v="2"/>
  </r>
  <r>
    <s v="TXN-100259"/>
    <n v="45989"/>
    <x v="5"/>
    <s v="Retail"/>
    <x v="2"/>
    <s v="USD"/>
    <n v="73812.070000000007"/>
    <n v="46628.23"/>
    <n v="27183.84"/>
    <n v="16852.3"/>
    <n v="31924.31"/>
    <n v="68797.25"/>
    <n v="448"/>
    <n v="0.1588"/>
    <n v="0.36830000000000002"/>
    <n v="0.46400000000000002"/>
    <s v="2025Q4"/>
    <x v="0"/>
    <x v="1"/>
  </r>
  <r>
    <s v="TXN-100260"/>
    <n v="45149"/>
    <x v="2"/>
    <s v="Healthcare"/>
    <x v="1"/>
    <s v="USD"/>
    <n v="49616.743000000002"/>
    <n v="33770.57"/>
    <n v="15846.17"/>
    <n v="73564.820000000007"/>
    <n v="26479.03"/>
    <n v="210415.02"/>
    <n v="847"/>
    <n v="0.12330000000000001"/>
    <n v="0.31940000000000002"/>
    <n v="0.1258"/>
    <s v="2023Q3"/>
    <x v="1"/>
    <x v="0"/>
  </r>
  <r>
    <s v="TXN-100261"/>
    <n v="44782"/>
    <x v="8"/>
    <s v="Logistics"/>
    <x v="2"/>
    <s v="USD"/>
    <n v="41814.199999999997"/>
    <n v="32184.68"/>
    <n v="9629.52"/>
    <n v="15978.35"/>
    <n v="28962.11"/>
    <n v="63198.75"/>
    <n v="476"/>
    <n v="-5.9799999999999999E-2"/>
    <n v="0.2303"/>
    <n v="0.45829999999999999"/>
    <s v="2022Q3"/>
    <x v="2"/>
    <x v="1"/>
  </r>
  <r>
    <s v="TXN-100262"/>
    <n v="45268"/>
    <x v="2"/>
    <s v="Healthcare"/>
    <x v="1"/>
    <s v="USD"/>
    <n v="54774.601600000002"/>
    <n v="46841.69"/>
    <n v="7932.91"/>
    <n v="87971.8"/>
    <n v="2967.47"/>
    <n v="262748.26"/>
    <n v="832"/>
    <n v="0.06"/>
    <n v="0.14480000000000001"/>
    <n v="1.1299999999999999E-2"/>
    <s v="2023Q4"/>
    <x v="1"/>
    <x v="0"/>
  </r>
  <r>
    <s v="TXN-100263"/>
    <n v="45386"/>
    <x v="1"/>
    <s v="Food &amp; Beverage"/>
    <x v="0"/>
    <s v="USD"/>
    <n v="47935.71"/>
    <n v="32788.28"/>
    <n v="15147.43"/>
    <n v="36090.03"/>
    <n v="13451.74"/>
    <n v="133259.48000000001"/>
    <n v="1404"/>
    <n v="-2.2000000000000001E-3"/>
    <n v="0.316"/>
    <n v="0.1009"/>
    <s v="2024Q2"/>
    <x v="3"/>
    <x v="0"/>
  </r>
  <r>
    <s v="TXN-100264"/>
    <n v="45405"/>
    <x v="10"/>
    <s v="Technology"/>
    <x v="0"/>
    <s v="USD"/>
    <n v="113731.15"/>
    <n v="93771.520000000004"/>
    <n v="19959.63"/>
    <n v="14703.55"/>
    <n v="21995.99"/>
    <n v="154818.38"/>
    <n v="556"/>
    <n v="-7.9899999999999999E-2"/>
    <n v="0.17549999999999999"/>
    <n v="0.1421"/>
    <s v="2024Q2"/>
    <x v="3"/>
    <x v="0"/>
  </r>
  <r>
    <s v="TXN-100265"/>
    <n v="44767"/>
    <x v="9"/>
    <s v="Media"/>
    <x v="2"/>
    <s v="USD"/>
    <n v="57924.98"/>
    <n v="53281.2"/>
    <n v="4643.78"/>
    <n v="18456.259999999998"/>
    <n v="8942.91"/>
    <n v="60726.31"/>
    <n v="1006"/>
    <n v="0.12770000000000001"/>
    <n v="8.0199999999999994E-2"/>
    <n v="0.14729999999999999"/>
    <s v="2022Q3"/>
    <x v="2"/>
    <x v="0"/>
  </r>
  <r>
    <s v="TXN-100266"/>
    <n v="45499"/>
    <x v="11"/>
    <s v="Financial Services"/>
    <x v="0"/>
    <s v="USD"/>
    <n v="42625.64"/>
    <n v="35755.82"/>
    <n v="6869.82"/>
    <n v="47370.73"/>
    <n v="42394.94"/>
    <n v="112165.62"/>
    <n v="439"/>
    <n v="6.9500000000000006E-2"/>
    <n v="0.16120000000000001"/>
    <n v="0.378"/>
    <s v="2024Q3"/>
    <x v="3"/>
    <x v="1"/>
  </r>
  <r>
    <s v="TXN-100267"/>
    <n v="45430"/>
    <x v="9"/>
    <s v="Media"/>
    <x v="2"/>
    <s v="USD"/>
    <n v="74731.960000000006"/>
    <n v="55173.82"/>
    <n v="19558.14"/>
    <n v="16825.93"/>
    <n v="43712.02"/>
    <n v="69013.649999999994"/>
    <n v="1141"/>
    <n v="7.6600000000000001E-2"/>
    <n v="0.26169999999999999"/>
    <n v="0.63339999999999996"/>
    <s v="2024Q2"/>
    <x v="3"/>
    <x v="2"/>
  </r>
  <r>
    <s v="TXN-100268"/>
    <n v="45586"/>
    <x v="0"/>
    <s v="Real Estate"/>
    <x v="1"/>
    <s v="USD"/>
    <n v="63821.647349999999"/>
    <n v="35830.589999999997"/>
    <n v="27991.06"/>
    <n v="72763.62"/>
    <n v="51475.28"/>
    <n v="102496.68"/>
    <s v="null"/>
    <n v="9.5600000000000004E-2"/>
    <n v="0.43859999999999999"/>
    <n v="0.50219999999999998"/>
    <s v="2024Q4"/>
    <x v="3"/>
    <x v="1"/>
  </r>
  <r>
    <s v="TXN-100269"/>
    <n v="45524"/>
    <x v="0"/>
    <s v="Real Estate"/>
    <x v="1"/>
    <s v="USD"/>
    <n v="193845.54590000003"/>
    <n v="134388.81"/>
    <n v="59456.74"/>
    <n v="3514.44"/>
    <n v="22383.58"/>
    <n v="89358.94"/>
    <n v="1117"/>
    <n v="0.1036"/>
    <n v="0.30669999999999997"/>
    <n v="0.2505"/>
    <s v="2024Q3"/>
    <x v="3"/>
    <x v="0"/>
  </r>
  <r>
    <s v="TXN-100270"/>
    <n v="45289"/>
    <x v="8"/>
    <s v="Logistics"/>
    <x v="1"/>
    <s v="USD"/>
    <n v="149365.81105000002"/>
    <n v="112349.86"/>
    <n v="37015.949999999997"/>
    <n v="56277.39"/>
    <n v="132029.84"/>
    <n v="126917.75"/>
    <n v="806"/>
    <n v="3.0200000000000001E-2"/>
    <n v="0.24779999999999999"/>
    <n v="1.0403"/>
    <s v="2023Q4"/>
    <x v="1"/>
    <x v="2"/>
  </r>
  <r>
    <s v="TXN-100271"/>
    <n v="45452"/>
    <x v="2"/>
    <s v="Healthcare"/>
    <x v="3"/>
    <s v="USD"/>
    <n v="82591.05"/>
    <n v="66117.97"/>
    <n v="16473.080000000002"/>
    <n v="38597.72"/>
    <n v="8173.72"/>
    <n v="166777.51999999999"/>
    <n v="900"/>
    <n v="0.1115"/>
    <n v="0.19950000000000001"/>
    <n v="4.9000000000000002E-2"/>
    <s v="2024Q2"/>
    <x v="3"/>
    <x v="0"/>
  </r>
  <r>
    <s v="TXN-100272"/>
    <n v="44936"/>
    <x v="11"/>
    <s v="Financial Services"/>
    <x v="2"/>
    <s v="USD"/>
    <n v="160775.39000000001"/>
    <n v="142326.76999999999"/>
    <n v="18448.62"/>
    <n v="39453.39"/>
    <n v="28446.99"/>
    <n v="76509.06"/>
    <n v="571"/>
    <n v="-7.2599999999999998E-2"/>
    <n v="0.1147"/>
    <n v="0.37180000000000002"/>
    <s v="2023Q1"/>
    <x v="1"/>
    <x v="1"/>
  </r>
  <r>
    <s v="TXN-100273"/>
    <n v="45463"/>
    <x v="6"/>
    <s v="Travel"/>
    <x v="1"/>
    <s v="USD"/>
    <n v="184783.68385"/>
    <n v="129288.55"/>
    <n v="55495.14"/>
    <n v="20485.97"/>
    <n v="20065.62"/>
    <n v="39537.19"/>
    <n v="543"/>
    <n v="0.1027"/>
    <n v="0.30030000000000001"/>
    <n v="0.50749999999999995"/>
    <s v="2024Q2"/>
    <x v="3"/>
    <x v="1"/>
  </r>
  <r>
    <s v="TXN-100274"/>
    <n v="45013"/>
    <x v="8"/>
    <s v="Logistics"/>
    <x v="2"/>
    <s v="USD"/>
    <n v="50850.92"/>
    <n v="42662.32"/>
    <n v="8188.6"/>
    <n v="41691.040000000001"/>
    <n v="39288.93"/>
    <n v="204729.59"/>
    <n v="886"/>
    <n v="-0.01"/>
    <n v="0.161"/>
    <n v="0.19189999999999999"/>
    <s v="2023Q1"/>
    <x v="1"/>
    <x v="0"/>
  </r>
  <r>
    <s v="TXN-100275"/>
    <n v="45079"/>
    <x v="7"/>
    <s v="Manufacturing"/>
    <x v="2"/>
    <s v="USD"/>
    <n v="94118.57"/>
    <n v="71109.72"/>
    <n v="23008.85"/>
    <n v="33762.6"/>
    <n v="35344.629999999997"/>
    <n v="56559.06"/>
    <s v="null"/>
    <n v="-9.8299999999999998E-2"/>
    <n v="0.2445"/>
    <n v="0.62490000000000001"/>
    <s v="2023Q2"/>
    <x v="1"/>
    <x v="2"/>
  </r>
  <r>
    <s v="TXN-100276"/>
    <n v="45339"/>
    <x v="0"/>
    <s v="Real Estate"/>
    <x v="2"/>
    <s v="USD"/>
    <n v="221608.57"/>
    <n v="173599.11"/>
    <n v="48009.46"/>
    <n v="35720.15"/>
    <n v="120258.43"/>
    <n v="122137.35"/>
    <n v="1021"/>
    <n v="-7.0000000000000007E-2"/>
    <n v="0.21659999999999999"/>
    <n v="0.98460000000000003"/>
    <s v="2024Q1"/>
    <x v="3"/>
    <x v="2"/>
  </r>
  <r>
    <s v="TXN-100277"/>
    <n v="44791"/>
    <x v="6"/>
    <s v="Travel"/>
    <x v="2"/>
    <s v="USD"/>
    <n v="67791.39"/>
    <n v="54737.83"/>
    <n v="13053.56"/>
    <n v="19807.95"/>
    <n v="13243.16"/>
    <n v="75724.7"/>
    <n v="2254"/>
    <n v="6.7799999999999999E-2"/>
    <n v="0.19259999999999999"/>
    <n v="0.1749"/>
    <s v="2022Q3"/>
    <x v="2"/>
    <x v="0"/>
  </r>
  <r>
    <s v="TXN-100278"/>
    <n v="45868"/>
    <x v="10"/>
    <s v="Technology"/>
    <x v="3"/>
    <s v="USD"/>
    <n v="158489.31"/>
    <n v="122940.59"/>
    <n v="35548.720000000001"/>
    <n v="66807.66"/>
    <n v="10959.52"/>
    <n v="96895.39"/>
    <n v="1419"/>
    <n v="3.04E-2"/>
    <n v="0.2243"/>
    <n v="0.11310000000000001"/>
    <s v="2025Q3"/>
    <x v="0"/>
    <x v="0"/>
  </r>
  <r>
    <s v="TXN-100279"/>
    <n v="44827"/>
    <x v="5"/>
    <s v="Retail"/>
    <x v="2"/>
    <s v="USD"/>
    <n v="31495.02"/>
    <n v="28265.24"/>
    <n v="3229.78"/>
    <n v="46861.74"/>
    <n v="8470.85"/>
    <n v="221900.02"/>
    <n v="957"/>
    <n v="-2.76E-2"/>
    <n v="0.10249999999999999"/>
    <n v="3.8199999999999998E-2"/>
    <s v="2022Q3"/>
    <x v="2"/>
    <x v="0"/>
  </r>
  <r>
    <s v="TXN-100280"/>
    <n v="45722"/>
    <x v="4"/>
    <s v="Energy"/>
    <x v="3"/>
    <s v="USD"/>
    <n v="106068.18"/>
    <n v="73997.73"/>
    <n v="32070.45"/>
    <n v="31459.81"/>
    <n v="19765.5"/>
    <n v="113530.76"/>
    <n v="608"/>
    <n v="-5.9999999999999995E-4"/>
    <n v="0.3024"/>
    <n v="0.1741"/>
    <s v="2025Q1"/>
    <x v="0"/>
    <x v="0"/>
  </r>
  <r>
    <s v="TXN-100281"/>
    <n v="45994"/>
    <x v="6"/>
    <s v="Travel"/>
    <x v="2"/>
    <s v="USD"/>
    <s v="null"/>
    <n v="18306"/>
    <s v="null"/>
    <n v="24165.85"/>
    <n v="109061.49"/>
    <n v="192901.84"/>
    <n v="501"/>
    <n v="6.1699999999999998E-2"/>
    <s v="null"/>
    <n v="0.56540000000000001"/>
    <s v="2025Q4"/>
    <x v="0"/>
    <x v="1"/>
  </r>
  <r>
    <s v="TXN-100282"/>
    <n v="44600"/>
    <x v="4"/>
    <s v="Energy"/>
    <x v="2"/>
    <s v="USD"/>
    <n v="88543.19"/>
    <n v="72900.05"/>
    <n v="15643.14"/>
    <n v="27886.959999999999"/>
    <n v="15384.51"/>
    <n v="59053.87"/>
    <s v="null"/>
    <n v="-1.26E-2"/>
    <n v="0.1767"/>
    <n v="0.26050000000000001"/>
    <s v="2022Q1"/>
    <x v="2"/>
    <x v="0"/>
  </r>
  <r>
    <s v="TXN-100283"/>
    <n v="44899"/>
    <x v="7"/>
    <s v="Manufacturing"/>
    <x v="1"/>
    <s v="USD"/>
    <n v="32035.794700000002"/>
    <n v="28109.38"/>
    <n v="3926.41"/>
    <n v="17041.64"/>
    <n v="27671.75"/>
    <n v="28311.599999999999"/>
    <n v="1356"/>
    <n v="-4.2000000000000003E-2"/>
    <n v="0.1226"/>
    <n v="0.97740000000000005"/>
    <s v="2022Q4"/>
    <x v="2"/>
    <x v="2"/>
  </r>
  <r>
    <s v="TXN-100284"/>
    <n v="45394"/>
    <x v="2"/>
    <s v="Healthcare"/>
    <x v="0"/>
    <s v="USD"/>
    <n v="138056.63"/>
    <n v="97768.03"/>
    <n v="40288.6"/>
    <n v="19399.62"/>
    <n v="43395.98"/>
    <n v="57985.37"/>
    <n v="1318"/>
    <n v="-1.9199999999999998E-2"/>
    <n v="0.2918"/>
    <n v="0.74839999999999995"/>
    <s v="2024Q2"/>
    <x v="3"/>
    <x v="2"/>
  </r>
  <r>
    <s v="TXN-100285"/>
    <d v="2023-10-11T00:00:00"/>
    <x v="5"/>
    <s v="Retail"/>
    <x v="0"/>
    <s v="USD"/>
    <n v="140023.32999999999"/>
    <n v="110064.37"/>
    <n v="29958.959999999999"/>
    <n v="27834.91"/>
    <n v="26856.6"/>
    <n v="183279.44"/>
    <n v="534"/>
    <n v="1.8499999999999999E-2"/>
    <n v="0.214"/>
    <n v="0.14649999999999999"/>
    <s v="2023Q4"/>
    <x v="1"/>
    <x v="0"/>
  </r>
  <r>
    <s v="TXN-100286"/>
    <n v="44624"/>
    <x v="3"/>
    <s v="Telecommunications"/>
    <x v="1"/>
    <s v="USD"/>
    <n v="61329.818200000002"/>
    <n v="34228.65"/>
    <n v="27101.17"/>
    <n v="10872.06"/>
    <n v="31436.2"/>
    <n v="27118.83"/>
    <n v="892"/>
    <n v="-4.1700000000000001E-2"/>
    <n v="0.44190000000000002"/>
    <n v="1.1592"/>
    <s v="2022Q1"/>
    <x v="2"/>
    <x v="2"/>
  </r>
  <r>
    <s v="TXN-100287"/>
    <n v="45714"/>
    <x v="4"/>
    <s v="Energy"/>
    <x v="2"/>
    <s v="USD"/>
    <n v="53075.47"/>
    <n v="42057.760000000002"/>
    <n v="11017.71"/>
    <n v="90268.37"/>
    <n v="15376.71"/>
    <n v="131655.76"/>
    <n v="1146"/>
    <n v="-6.7900000000000002E-2"/>
    <n v="0.20760000000000001"/>
    <n v="0.1168"/>
    <s v="2025Q1"/>
    <x v="0"/>
    <x v="0"/>
  </r>
  <r>
    <s v="TXN-100288"/>
    <n v="44864"/>
    <x v="0"/>
    <s v="Real Estate"/>
    <x v="0"/>
    <s v="USD"/>
    <n v="46567.93"/>
    <n v="30595.1"/>
    <n v="15972.83"/>
    <n v="41397.910000000003"/>
    <n v="11292.34"/>
    <n v="73637.23"/>
    <n v="3384"/>
    <n v="0.10340000000000001"/>
    <n v="0.34300000000000003"/>
    <n v="0.15340000000000001"/>
    <s v="2022Q4"/>
    <x v="2"/>
    <x v="0"/>
  </r>
  <r>
    <s v="TXN-100289"/>
    <n v="44613"/>
    <x v="1"/>
    <s v="Food &amp; Beverage"/>
    <x v="0"/>
    <s v="USD"/>
    <n v="78585.58"/>
    <n v="49504.38"/>
    <n v="29081.200000000001"/>
    <n v="35881.96"/>
    <n v="42155.55"/>
    <n v="130237.1"/>
    <n v="481"/>
    <n v="0.1187"/>
    <n v="0.37009999999999998"/>
    <n v="0.32369999999999999"/>
    <s v="2022Q1"/>
    <x v="2"/>
    <x v="1"/>
  </r>
  <r>
    <s v="TXN-100290"/>
    <n v="44658"/>
    <x v="7"/>
    <s v="Manufacturing"/>
    <x v="3"/>
    <s v="USD"/>
    <n v="110705.95"/>
    <n v="64068.53"/>
    <n v="46637.42"/>
    <n v="26884.23"/>
    <n v="18402.5"/>
    <n v="156825.63"/>
    <n v="1722"/>
    <n v="1.7999999999999999E-2"/>
    <n v="0.42130000000000001"/>
    <n v="0.1173"/>
    <s v="2022Q2"/>
    <x v="2"/>
    <x v="0"/>
  </r>
  <r>
    <s v="TXN-100291"/>
    <n v="45032"/>
    <x v="0"/>
    <s v="Real Estate"/>
    <x v="0"/>
    <s v="USD"/>
    <n v="15731.5"/>
    <n v="8729.4599999999991"/>
    <n v="7002.04"/>
    <n v="15699.36"/>
    <n v="20054.66"/>
    <n v="30805.69"/>
    <n v="1840"/>
    <n v="-3.7900000000000003E-2"/>
    <n v="0.4451"/>
    <n v="0.65100000000000002"/>
    <s v="2023Q2"/>
    <x v="1"/>
    <x v="2"/>
  </r>
  <r>
    <s v="TXN-100292"/>
    <n v="45630"/>
    <x v="4"/>
    <s v="Energy"/>
    <x v="2"/>
    <s v="USD"/>
    <n v="137899.56"/>
    <n v="102118.12"/>
    <n v="35781.440000000002"/>
    <n v="62499.77"/>
    <n v="21486.59"/>
    <n v="144849.01"/>
    <n v="632"/>
    <n v="-1.1599999999999999E-2"/>
    <n v="0.25950000000000001"/>
    <n v="0.14829999999999999"/>
    <s v="2024Q4"/>
    <x v="3"/>
    <x v="0"/>
  </r>
  <r>
    <s v="TXN-100293"/>
    <n v="45819"/>
    <x v="4"/>
    <s v="Energy"/>
    <x v="2"/>
    <s v="USD"/>
    <n v="29101.48"/>
    <n v="16627.45"/>
    <n v="12474.03"/>
    <n v="50006.16"/>
    <n v="8936.56"/>
    <n v="89205.67"/>
    <n v="1421"/>
    <n v="0.1666"/>
    <n v="0.42859999999999998"/>
    <n v="0.1002"/>
    <s v="2025Q2"/>
    <x v="0"/>
    <x v="0"/>
  </r>
  <r>
    <s v="TXN-100294"/>
    <n v="44580"/>
    <x v="5"/>
    <s v="Retail"/>
    <x v="1"/>
    <s v="USD"/>
    <n v="48286.711000000003"/>
    <n v="40021.47"/>
    <n v="8265.24"/>
    <n v="1.1499999999999999"/>
    <n v="18790.189999999999"/>
    <n v="156321.38"/>
    <n v="2456"/>
    <n v="0.1138"/>
    <n v="0.17119999999999999"/>
    <n v="0.1202"/>
    <s v="2022Q1"/>
    <x v="2"/>
    <x v="0"/>
  </r>
  <r>
    <s v="TXN-100295"/>
    <n v="45902"/>
    <x v="5"/>
    <s v="Retail"/>
    <x v="1"/>
    <s v="USD"/>
    <n v="46790.2189"/>
    <n v="37716.07"/>
    <n v="9074.15"/>
    <n v="1.1499999999999999"/>
    <n v="21102.01"/>
    <n v="54437.5"/>
    <n v="846"/>
    <n v="2.3300000000000001E-2"/>
    <n v="0.19389999999999999"/>
    <n v="0.3876"/>
    <s v="2025Q3"/>
    <x v="0"/>
    <x v="1"/>
  </r>
  <r>
    <s v="TXN-100296"/>
    <n v="44754"/>
    <x v="5"/>
    <s v="Retail"/>
    <x v="3"/>
    <s v="USD"/>
    <n v="70990.039999999994"/>
    <n v="53771.47"/>
    <n v="17218.57"/>
    <n v="19235.36"/>
    <n v="86798.25"/>
    <n v="145690.65"/>
    <n v="1018"/>
    <n v="0.1419"/>
    <n v="0.24249999999999999"/>
    <n v="0.5958"/>
    <s v="2022Q3"/>
    <x v="2"/>
    <x v="1"/>
  </r>
  <r>
    <s v="TXN-100297"/>
    <n v="44897"/>
    <x v="5"/>
    <s v="Retail"/>
    <x v="1"/>
    <s v="USD"/>
    <n v="66896.304400000008"/>
    <n v="43859.77"/>
    <n v="23036.53"/>
    <n v="31038.25"/>
    <n v="71022.899999999994"/>
    <n v="743746.42"/>
    <s v="null"/>
    <n v="0.1011"/>
    <n v="0.34439999999999998"/>
    <n v="9.5500000000000002E-2"/>
    <s v="2022Q4"/>
    <x v="2"/>
    <x v="0"/>
  </r>
  <r>
    <s v="TXN-100298"/>
    <n v="45503"/>
    <x v="2"/>
    <s v="Healthcare"/>
    <x v="2"/>
    <s v="USD"/>
    <n v="163461.82999999999"/>
    <n v="144444.09"/>
    <n v="19017.740000000002"/>
    <n v="23858.33"/>
    <n v="21578.19"/>
    <n v="145097.70000000001"/>
    <n v="1122"/>
    <n v="1.3299999999999999E-2"/>
    <n v="0.1163"/>
    <n v="0.1487"/>
    <s v="2024Q3"/>
    <x v="3"/>
    <x v="0"/>
  </r>
  <r>
    <s v="TXN-100299"/>
    <n v="45634"/>
    <x v="3"/>
    <s v="Telecommunications"/>
    <x v="1"/>
    <s v="USD"/>
    <n v="73816.501199999999"/>
    <n v="62552.94"/>
    <n v="11263.56"/>
    <n v="1.1499999999999999"/>
    <n v="6864.8"/>
    <n v="132767.71"/>
    <n v="674"/>
    <n v="-7.9200000000000007E-2"/>
    <n v="0.15260000000000001"/>
    <n v="5.1700000000000003E-2"/>
    <s v="2024Q4"/>
    <x v="3"/>
    <x v="0"/>
  </r>
  <r>
    <s v="TXN-100300"/>
    <n v="45135"/>
    <x v="11"/>
    <s v="Financial Services"/>
    <x v="2"/>
    <s v="USD"/>
    <n v="28443.72"/>
    <n v="16120.99"/>
    <n v="12322.73"/>
    <n v="12357.14"/>
    <n v="42836.51"/>
    <n v="63766.37"/>
    <n v="1479"/>
    <n v="-2.0299999999999999E-2"/>
    <n v="0.43319999999999997"/>
    <n v="0.67179999999999995"/>
    <s v="2023Q3"/>
    <x v="1"/>
    <x v="2"/>
  </r>
  <r>
    <s v="TXN-100301"/>
    <n v="45232"/>
    <x v="5"/>
    <s v="Retail"/>
    <x v="1"/>
    <s v="USD"/>
    <n v="123577.15925"/>
    <n v="93043.1"/>
    <n v="30534.06"/>
    <n v="60068.62"/>
    <n v="94153.54"/>
    <n v="153631.66"/>
    <n v="1258"/>
    <n v="5.6800000000000003E-2"/>
    <n v="0.24709999999999999"/>
    <n v="0.6129"/>
    <s v="2023Q4"/>
    <x v="1"/>
    <x v="2"/>
  </r>
  <r>
    <s v="TXN-100302"/>
    <n v="45940"/>
    <x v="7"/>
    <s v="Manufacturing"/>
    <x v="0"/>
    <s v="USD"/>
    <n v="147010.71"/>
    <n v="121229.98"/>
    <n v="25780.73"/>
    <n v="95638.47"/>
    <n v="18874.46"/>
    <n v="137427.13"/>
    <n v="1026"/>
    <n v="4.4699999999999997E-2"/>
    <n v="0.1754"/>
    <n v="0.13730000000000001"/>
    <s v="2025Q4"/>
    <x v="0"/>
    <x v="0"/>
  </r>
  <r>
    <s v="TXN-100303"/>
    <n v="45552"/>
    <x v="5"/>
    <s v="Retail"/>
    <x v="2"/>
    <s v="USD"/>
    <n v="220791.1"/>
    <n v="194070.37"/>
    <n v="26720.73"/>
    <n v="69569.41"/>
    <n v="119575.12"/>
    <n v="207216.34"/>
    <n v="861"/>
    <n v="-8.1299999999999997E-2"/>
    <n v="0.121"/>
    <n v="0.57709999999999995"/>
    <s v="2024Q3"/>
    <x v="3"/>
    <x v="1"/>
  </r>
  <r>
    <s v="TXN-100304"/>
    <n v="45177"/>
    <x v="6"/>
    <s v="Travel"/>
    <x v="2"/>
    <s v="USD"/>
    <n v="36016.720000000001"/>
    <n v="22673.16"/>
    <n v="13343.56"/>
    <n v="18971"/>
    <n v="53131.12"/>
    <n v="72204.509999999995"/>
    <n v="484"/>
    <n v="1.23E-2"/>
    <n v="0.3705"/>
    <n v="0.73580000000000001"/>
    <s v="2023Q3"/>
    <x v="1"/>
    <x v="2"/>
  </r>
  <r>
    <s v="TXN-100305"/>
    <n v="45763"/>
    <x v="5"/>
    <s v="Retail"/>
    <x v="1"/>
    <s v="USD"/>
    <n v="177500.71669999999"/>
    <n v="140938.94"/>
    <n v="36561.769999999997"/>
    <n v="28022.07"/>
    <n v="18199.27"/>
    <n v="158153.26999999999"/>
    <n v="549"/>
    <n v="7.6799999999999993E-2"/>
    <n v="0.20599999999999999"/>
    <n v="0.11509999999999999"/>
    <s v="2025Q2"/>
    <x v="0"/>
    <x v="0"/>
  </r>
  <r>
    <s v="TXN-100306"/>
    <n v="44622"/>
    <x v="10"/>
    <s v="Technology"/>
    <x v="0"/>
    <s v="USD"/>
    <n v="34059.47"/>
    <n v="21138.77"/>
    <n v="12920.7"/>
    <n v="17561.27"/>
    <n v="11960.29"/>
    <n v="118866.14"/>
    <n v="451"/>
    <n v="5.6300000000000003E-2"/>
    <n v="0.37940000000000002"/>
    <n v="0.10059999999999999"/>
    <s v="2022Q1"/>
    <x v="2"/>
    <x v="0"/>
  </r>
  <r>
    <s v="TXN-100307"/>
    <n v="45792"/>
    <x v="0"/>
    <s v="Real Estate"/>
    <x v="0"/>
    <s v="USD"/>
    <n v="116216.31"/>
    <n v="71991.039999999994"/>
    <n v="44225.27"/>
    <n v="55920.29"/>
    <n v="33135.279999999999"/>
    <n v="95889.65"/>
    <n v="570"/>
    <n v="-0.13719999999999999"/>
    <n v="0.3805"/>
    <n v="0.34560000000000002"/>
    <s v="2025Q2"/>
    <x v="0"/>
    <x v="1"/>
  </r>
  <r>
    <s v="TXN-100308"/>
    <n v="45095"/>
    <x v="5"/>
    <s v="Retail"/>
    <x v="1"/>
    <s v="USD"/>
    <n v="105101.0156"/>
    <n v="59321.36"/>
    <n v="45779.65"/>
    <n v="12582.26"/>
    <n v="11465.87"/>
    <n v="176792.61"/>
    <n v="1214"/>
    <n v="-1.1900000000000001E-2"/>
    <n v="0.43559999999999999"/>
    <n v="6.4899999999999999E-2"/>
    <s v="2023Q2"/>
    <x v="1"/>
    <x v="0"/>
  </r>
  <r>
    <s v="TXN-100309"/>
    <n v="45843"/>
    <x v="11"/>
    <s v="Financial Services"/>
    <x v="0"/>
    <s v="USD"/>
    <n v="118600.95"/>
    <n v="96248.23"/>
    <n v="22352.720000000001"/>
    <n v="49660.44"/>
    <n v="43563.41"/>
    <n v="180455.78"/>
    <n v="892"/>
    <n v="-4.3E-3"/>
    <n v="0.1885"/>
    <n v="0.2414"/>
    <s v="2025Q3"/>
    <x v="0"/>
    <x v="0"/>
  </r>
  <r>
    <s v="TXN-100310"/>
    <n v="45020"/>
    <x v="5"/>
    <s v="Retail"/>
    <x v="3"/>
    <s v="USD"/>
    <n v="161073.82999999999"/>
    <n v="122333.45"/>
    <n v="38740.379999999997"/>
    <n v="21627.09"/>
    <n v="63921.65"/>
    <n v="44005.13"/>
    <n v="1187"/>
    <n v="0.10970000000000001"/>
    <n v="0.24049999999999999"/>
    <n v="1.4525999999999999"/>
    <s v="2023Q2"/>
    <x v="1"/>
    <x v="2"/>
  </r>
  <r>
    <s v="TXN-100311"/>
    <n v="44768"/>
    <x v="4"/>
    <s v="Energy"/>
    <x v="0"/>
    <s v="USD"/>
    <n v="64022.879999999997"/>
    <n v="57442.17"/>
    <n v="6580.71"/>
    <n v="32970.53"/>
    <n v="6626.98"/>
    <n v="52011"/>
    <n v="665"/>
    <n v="-2.7000000000000001E-3"/>
    <n v="0.1028"/>
    <n v="0.12740000000000001"/>
    <s v="2022Q3"/>
    <x v="2"/>
    <x v="0"/>
  </r>
  <r>
    <s v="TXN-100312"/>
    <n v="44635"/>
    <x v="2"/>
    <s v="Healthcare"/>
    <x v="1"/>
    <s v="USD"/>
    <n v="97473.941600000006"/>
    <n v="74149.33"/>
    <n v="23324.61"/>
    <n v="17765.650000000001"/>
    <n v="23953.74"/>
    <n v="158428.47"/>
    <n v="1678"/>
    <n v="-0.10299999999999999"/>
    <n v="0.23930000000000001"/>
    <n v="0.1512"/>
    <s v="2022Q1"/>
    <x v="2"/>
    <x v="0"/>
  </r>
  <r>
    <s v="TXN-100313"/>
    <n v="45341"/>
    <x v="6"/>
    <s v="Travel"/>
    <x v="1"/>
    <s v="USD"/>
    <n v="175775.12155000001"/>
    <n v="126669.13"/>
    <n v="49105.99"/>
    <n v="1.1499999999999999"/>
    <n v="30965"/>
    <n v="154374.42000000001"/>
    <n v="1369"/>
    <n v="-1.66E-2"/>
    <n v="0.27939999999999998"/>
    <n v="0.2006"/>
    <s v="2024Q1"/>
    <x v="3"/>
    <x v="0"/>
  </r>
  <r>
    <s v="TXN-100314"/>
    <n v="44838"/>
    <x v="11"/>
    <s v="Financial Services"/>
    <x v="3"/>
    <s v="USD"/>
    <n v="52176.87"/>
    <n v="41134.94"/>
    <n v="11041.93"/>
    <n v="36585.550000000003"/>
    <n v="97412.66"/>
    <n v="114723.12"/>
    <n v="765"/>
    <n v="0.10589999999999999"/>
    <n v="0.21160000000000001"/>
    <n v="0.84909999999999997"/>
    <s v="2022Q4"/>
    <x v="2"/>
    <x v="2"/>
  </r>
  <r>
    <s v="TXN-100315"/>
    <n v="45504"/>
    <x v="11"/>
    <s v="Financial Services"/>
    <x v="0"/>
    <s v="USD"/>
    <n v="110668.2"/>
    <n v="63349.11"/>
    <n v="47319.09"/>
    <n v="31356.67"/>
    <n v="23310.99"/>
    <n v="54489.06"/>
    <n v="2116"/>
    <n v="-2.47E-2"/>
    <n v="0.42759999999999998"/>
    <n v="0.42780000000000001"/>
    <s v="2024Q3"/>
    <x v="3"/>
    <x v="1"/>
  </r>
  <r>
    <s v="TXN-100316"/>
    <n v="45769"/>
    <x v="10"/>
    <s v="Technology"/>
    <x v="1"/>
    <s v="USD"/>
    <n v="180794.584"/>
    <n v="142421.6"/>
    <n v="38372.980000000003"/>
    <n v="46408.91"/>
    <n v="35333.050000000003"/>
    <n v="101136.24"/>
    <n v="979"/>
    <n v="-5.2699999999999997E-2"/>
    <n v="0.2122"/>
    <n v="0.34939999999999999"/>
    <s v="2025Q2"/>
    <x v="0"/>
    <x v="1"/>
  </r>
  <r>
    <s v="TXN-100317"/>
    <n v="44857"/>
    <x v="4"/>
    <s v="Energy"/>
    <x v="2"/>
    <s v="USD"/>
    <n v="81373.66"/>
    <n v="63311.67"/>
    <n v="18061.990000000002"/>
    <n v="30500.76"/>
    <n v="51434.5"/>
    <n v="57178.75"/>
    <n v="914"/>
    <n v="0.20219999999999999"/>
    <n v="0.222"/>
    <n v="0.89949999999999997"/>
    <s v="2022Q4"/>
    <x v="2"/>
    <x v="2"/>
  </r>
  <r>
    <s v="TXN-100318"/>
    <n v="45505"/>
    <x v="6"/>
    <s v="Travel"/>
    <x v="0"/>
    <s v="USD"/>
    <n v="160867.07"/>
    <n v="141128.01"/>
    <n v="19739.060000000001"/>
    <n v="23100.17"/>
    <n v="21955.11"/>
    <n v="70270.61"/>
    <n v="1223"/>
    <n v="-6.6600000000000006E-2"/>
    <n v="0.1227"/>
    <n v="0.31240000000000001"/>
    <s v="2024Q3"/>
    <x v="3"/>
    <x v="1"/>
  </r>
  <r>
    <s v="TXN-100319"/>
    <n v="45792"/>
    <x v="0"/>
    <s v="Real Estate"/>
    <x v="0"/>
    <s v="USD"/>
    <n v="52277.47"/>
    <n v="47618.34"/>
    <n v="4659.13"/>
    <n v="28637.53"/>
    <n v="35399.519999999997"/>
    <n v="104095.99"/>
    <n v="665"/>
    <n v="-3.3E-3"/>
    <n v="8.9099999999999999E-2"/>
    <n v="0.34010000000000001"/>
    <s v="2025Q2"/>
    <x v="0"/>
    <x v="1"/>
  </r>
  <r>
    <s v="TXN-100320"/>
    <n v="45324"/>
    <x v="3"/>
    <s v="Telecommunications"/>
    <x v="2"/>
    <s v="USD"/>
    <n v="23755.43"/>
    <n v="13953.03"/>
    <n v="9802.4"/>
    <n v="27955.32"/>
    <n v="21917.84"/>
    <n v="77910.27"/>
    <n v="873"/>
    <n v="4.5999999999999999E-2"/>
    <n v="0.41260000000000002"/>
    <n v="0.28129999999999999"/>
    <s v="2024Q1"/>
    <x v="3"/>
    <x v="0"/>
  </r>
  <r>
    <s v="TXN-100321"/>
    <n v="44671"/>
    <x v="11"/>
    <s v="Financial Services"/>
    <x v="2"/>
    <s v="USD"/>
    <n v="32309.13"/>
    <n v="18015.330000000002"/>
    <n v="14293.8"/>
    <n v="49505.72"/>
    <n v="18789"/>
    <n v="185154.7"/>
    <n v="488"/>
    <n v="-6.5199999999999994E-2"/>
    <n v="0.44240000000000002"/>
    <n v="0.10150000000000001"/>
    <s v="2022Q2"/>
    <x v="2"/>
    <x v="0"/>
  </r>
  <r>
    <s v="TXN-100322"/>
    <n v="45671"/>
    <x v="4"/>
    <s v="Energy"/>
    <x v="2"/>
    <s v="USD"/>
    <n v="83244.990000000005"/>
    <n v="48140.38"/>
    <n v="35104.61"/>
    <n v="40163.379999999997"/>
    <n v="53149.04"/>
    <n v="224667.77"/>
    <n v="867"/>
    <n v="-8.1299999999999997E-2"/>
    <n v="0.42170000000000002"/>
    <n v="0.2366"/>
    <s v="2025Q1"/>
    <x v="0"/>
    <x v="0"/>
  </r>
  <r>
    <s v="TXN-100323"/>
    <n v="44799"/>
    <x v="7"/>
    <s v="Manufacturing"/>
    <x v="1"/>
    <s v="USD"/>
    <n v="90317.77175"/>
    <n v="64436.87"/>
    <n v="25880.9"/>
    <n v="35055.14"/>
    <n v="29815.98"/>
    <n v="114065.05"/>
    <n v="573"/>
    <n v="8.3699999999999997E-2"/>
    <n v="0.28660000000000002"/>
    <n v="0.26140000000000002"/>
    <s v="2022Q3"/>
    <x v="2"/>
    <x v="0"/>
  </r>
  <r>
    <s v="TXN-100324"/>
    <n v="45674"/>
    <x v="8"/>
    <s v="Logistics"/>
    <x v="1"/>
    <s v="USD"/>
    <n v="275561.66544999997"/>
    <n v="230785.17"/>
    <n v="44776.5"/>
    <n v="66523.53"/>
    <n v="22117.13"/>
    <n v="191993.57"/>
    <n v="1557"/>
    <n v="2.0299999999999999E-2"/>
    <n v="0.16250000000000001"/>
    <n v="0.1152"/>
    <s v="2025Q1"/>
    <x v="0"/>
    <x v="0"/>
  </r>
  <r>
    <s v="TXN-100325"/>
    <d v="2022-02-09T00:00:00"/>
    <x v="5"/>
    <s v="Retail"/>
    <x v="0"/>
    <s v="USD"/>
    <n v="33865.97"/>
    <n v="24758.57"/>
    <n v="9107.4"/>
    <n v="23165.77"/>
    <n v="25798.62"/>
    <n v="238098.23"/>
    <n v="1573"/>
    <n v="5.3E-3"/>
    <n v="0.26889999999999997"/>
    <n v="0.1084"/>
    <s v="2022Q1"/>
    <x v="2"/>
    <x v="0"/>
  </r>
  <r>
    <s v="TXN-100326"/>
    <n v="44609"/>
    <x v="0"/>
    <s v="Real Estate"/>
    <x v="2"/>
    <s v="USD"/>
    <n v="24160.720000000001"/>
    <n v="17346.82"/>
    <n v="6813.9"/>
    <n v="17203.599999999999"/>
    <n v="18155.900000000001"/>
    <n v="94755.97"/>
    <n v="1010"/>
    <n v="-8.4099999999999994E-2"/>
    <n v="0.28199999999999997"/>
    <n v="0.19159999999999999"/>
    <s v="2022Q1"/>
    <x v="2"/>
    <x v="0"/>
  </r>
  <r>
    <s v="TXN-100327"/>
    <n v="44831"/>
    <x v="9"/>
    <s v="Media"/>
    <x v="1"/>
    <s v="USD"/>
    <n v="37563.190600000002"/>
    <n v="28340.87"/>
    <n v="9222.32"/>
    <n v="59749.19"/>
    <n v="100403.48"/>
    <n v="88303.71"/>
    <n v="989"/>
    <n v="-7.2300000000000003E-2"/>
    <n v="0.2455"/>
    <n v="1.137"/>
    <s v="2022Q3"/>
    <x v="2"/>
    <x v="2"/>
  </r>
  <r>
    <s v="TXN-100328"/>
    <n v="45997"/>
    <x v="3"/>
    <s v="Telecommunications"/>
    <x v="2"/>
    <s v="USD"/>
    <n v="13725.03"/>
    <n v="12135.41"/>
    <n v="1589.62"/>
    <n v="27499.86"/>
    <n v="81261.460000000006"/>
    <n v="271461.3"/>
    <n v="357"/>
    <n v="7.9899999999999999E-2"/>
    <n v="0.1158"/>
    <n v="0.29930000000000001"/>
    <s v="2025Q4"/>
    <x v="0"/>
    <x v="0"/>
  </r>
  <r>
    <s v="TXN-100329"/>
    <n v="45467"/>
    <x v="10"/>
    <s v="Technology"/>
    <x v="1"/>
    <s v="USD"/>
    <n v="52509.917550000006"/>
    <n v="39698.04"/>
    <n v="12811.87"/>
    <n v="32017.49"/>
    <n v="42474.239999999998"/>
    <n v="129423.31"/>
    <n v="1134"/>
    <n v="-6.3299999999999995E-2"/>
    <n v="0.24399999999999999"/>
    <n v="0.32819999999999999"/>
    <s v="2024Q2"/>
    <x v="3"/>
    <x v="1"/>
  </r>
  <r>
    <s v="TXN-100330"/>
    <n v="45286"/>
    <x v="9"/>
    <s v="Media"/>
    <x v="2"/>
    <s v="USD"/>
    <n v="57848.27"/>
    <n v="37451.06"/>
    <n v="20397.21"/>
    <n v="47917.85"/>
    <n v="41268.46"/>
    <n v="198420.41"/>
    <n v="673"/>
    <n v="4.4400000000000002E-2"/>
    <n v="0.35260000000000002"/>
    <n v="0.20799999999999999"/>
    <s v="2023Q4"/>
    <x v="1"/>
    <x v="0"/>
  </r>
  <r>
    <s v="TXN-100331"/>
    <n v="45858"/>
    <x v="5"/>
    <s v="Retail"/>
    <x v="1"/>
    <s v="USD"/>
    <n v="43720.18765"/>
    <n v="39389.53"/>
    <n v="4330.6499999999996"/>
    <n v="21740.65"/>
    <n v="34512.559999999998"/>
    <n v="127236.89"/>
    <n v="1253"/>
    <n v="8.4900000000000003E-2"/>
    <n v="9.9099999999999994E-2"/>
    <n v="0.2712"/>
    <s v="2025Q3"/>
    <x v="0"/>
    <x v="0"/>
  </r>
  <r>
    <s v="TXN-100332"/>
    <n v="45283"/>
    <x v="0"/>
    <s v="Real Estate"/>
    <x v="1"/>
    <s v="USD"/>
    <n v="285550.1531"/>
    <n v="255856.85"/>
    <n v="29693.31"/>
    <n v="40906.99"/>
    <n v="99173.45"/>
    <n v="76549.33"/>
    <n v="2231"/>
    <n v="-1.12E-2"/>
    <n v="0.104"/>
    <n v="1.2955000000000001"/>
    <s v="2023Q4"/>
    <x v="1"/>
    <x v="2"/>
  </r>
  <r>
    <s v="TXN-100333"/>
    <n v="45410"/>
    <x v="1"/>
    <s v="Food &amp; Beverage"/>
    <x v="0"/>
    <s v="USD"/>
    <n v="350295.24"/>
    <n v="310685.3"/>
    <n v="39609.94"/>
    <n v="38370.5"/>
    <n v="40401.21"/>
    <n v="1176251.45"/>
    <n v="351"/>
    <n v="0.1394"/>
    <n v="0.11310000000000001"/>
    <n v="3.4299999999999997E-2"/>
    <s v="2024Q2"/>
    <x v="3"/>
    <x v="0"/>
  </r>
  <r>
    <s v="TXN-100334"/>
    <n v="45629"/>
    <x v="10"/>
    <s v="Technology"/>
    <x v="3"/>
    <s v="USD"/>
    <n v="70998.710000000006"/>
    <n v="45287.74"/>
    <n v="25710.97"/>
    <n v="24416.99"/>
    <n v="32838.04"/>
    <n v="55051.43"/>
    <n v="622"/>
    <n v="-3.1E-2"/>
    <n v="0.36209999999999998"/>
    <n v="0.59650000000000003"/>
    <s v="2024Q4"/>
    <x v="3"/>
    <x v="1"/>
  </r>
  <r>
    <s v="TXN-100335"/>
    <d v="2024-12-01T00:00:00"/>
    <x v="5"/>
    <s v="Retail"/>
    <x v="0"/>
    <s v="USD"/>
    <n v="185150.83"/>
    <n v="110429.5"/>
    <n v="74721.33"/>
    <n v="21365.54"/>
    <n v="14991.44"/>
    <n v="127074.13"/>
    <n v="1222"/>
    <n v="0.14860000000000001"/>
    <n v="0.40360000000000001"/>
    <n v="0.11799999999999999"/>
    <s v="2024Q4"/>
    <x v="3"/>
    <x v="0"/>
  </r>
  <r>
    <s v="TXN-100336"/>
    <n v="44903"/>
    <x v="0"/>
    <s v="Real Estate"/>
    <x v="3"/>
    <s v="USD"/>
    <n v="77943.839999999997"/>
    <n v="65226.55"/>
    <n v="12717.29"/>
    <n v="81398.350000000006"/>
    <n v="15333.84"/>
    <n v="105655.82"/>
    <n v="1127"/>
    <n v="2.47E-2"/>
    <n v="0.16320000000000001"/>
    <n v="0.14510000000000001"/>
    <s v="2022Q4"/>
    <x v="2"/>
    <x v="0"/>
  </r>
  <r>
    <s v="TXN-100337"/>
    <n v="45591"/>
    <x v="3"/>
    <s v="Telecommunications"/>
    <x v="1"/>
    <s v="USD"/>
    <n v="39082.70865"/>
    <n v="33759.660000000003"/>
    <n v="5323.05"/>
    <n v="83970.44"/>
    <n v="15123.61"/>
    <n v="224318.39"/>
    <n v="1331"/>
    <n v="0.1205"/>
    <n v="0.13619999999999999"/>
    <n v="6.7400000000000002E-2"/>
    <s v="2024Q4"/>
    <x v="3"/>
    <x v="0"/>
  </r>
  <r>
    <s v="TXN-100338"/>
    <n v="45940"/>
    <x v="2"/>
    <s v="Healthcare"/>
    <x v="2"/>
    <s v="USD"/>
    <n v="55352.38"/>
    <n v="47842.6"/>
    <n v="7509.78"/>
    <n v="18502.71"/>
    <n v="34996.67"/>
    <n v="79638.460000000006"/>
    <n v="867"/>
    <n v="6.2600000000000003E-2"/>
    <n v="0.13569999999999999"/>
    <n v="0.43940000000000001"/>
    <s v="2025Q4"/>
    <x v="0"/>
    <x v="1"/>
  </r>
  <r>
    <s v="TXN-100339"/>
    <n v="44698"/>
    <x v="10"/>
    <s v="Technology"/>
    <x v="2"/>
    <s v="USD"/>
    <n v="122815.91"/>
    <n v="79952.11"/>
    <n v="42863.8"/>
    <n v="16467.64"/>
    <n v="16066.48"/>
    <n v="29878.11"/>
    <n v="1011"/>
    <n v="6.4399999999999999E-2"/>
    <n v="0.34899999999999998"/>
    <n v="0.53769999999999996"/>
    <s v="2022Q2"/>
    <x v="2"/>
    <x v="1"/>
  </r>
  <r>
    <s v="TXN-100340"/>
    <n v="44713"/>
    <x v="11"/>
    <s v="Financial Services"/>
    <x v="1"/>
    <s v="USD"/>
    <n v="120977.58560000001"/>
    <n v="69026.67"/>
    <n v="51950.92"/>
    <n v="61372.32"/>
    <n v="14418.56"/>
    <n v="315585.13"/>
    <n v="1365"/>
    <n v="-7.7000000000000002E-3"/>
    <n v="0.4294"/>
    <n v="4.5699999999999998E-2"/>
    <s v="2022Q2"/>
    <x v="2"/>
    <x v="0"/>
  </r>
  <r>
    <s v="TXN-100341"/>
    <n v="45717"/>
    <x v="4"/>
    <s v="Energy"/>
    <x v="0"/>
    <s v="USD"/>
    <n v="152993.85999999999"/>
    <n v="99523.16"/>
    <n v="53470.7"/>
    <n v="15147.56"/>
    <n v="18000.95"/>
    <n v="56522.62"/>
    <n v="616"/>
    <n v="-0.13139999999999999"/>
    <n v="0.34949999999999998"/>
    <n v="0.31850000000000001"/>
    <s v="2025Q1"/>
    <x v="0"/>
    <x v="1"/>
  </r>
  <r>
    <s v="TXN-100342"/>
    <d v="2023-03-22T00:00:00"/>
    <x v="5"/>
    <s v="Retail"/>
    <x v="0"/>
    <s v="USD"/>
    <n v="37435.47"/>
    <n v="30038.1"/>
    <n v="7397.37"/>
    <n v="31993.93"/>
    <n v="50041.79"/>
    <n v="199545.44"/>
    <n v="398"/>
    <n v="0.113"/>
    <n v="0.1976"/>
    <n v="0.25080000000000002"/>
    <s v="2023Q1"/>
    <x v="1"/>
    <x v="0"/>
  </r>
  <r>
    <s v="TXN-100343"/>
    <n v="45697"/>
    <x v="10"/>
    <s v="Technology"/>
    <x v="3"/>
    <s v="USD"/>
    <n v="40414.67"/>
    <n v="35282.699999999997"/>
    <n v="5131.97"/>
    <n v="37493.67"/>
    <n v="122654.89"/>
    <n v="108097.4"/>
    <n v="1680"/>
    <n v="-0.14369999999999999"/>
    <n v="0.127"/>
    <n v="1.1347"/>
    <s v="2025Q1"/>
    <x v="0"/>
    <x v="2"/>
  </r>
  <r>
    <s v="TXN-100344"/>
    <n v="45064"/>
    <x v="4"/>
    <s v="Energy"/>
    <x v="2"/>
    <s v="USD"/>
    <n v="124145.58"/>
    <n v="72815.45"/>
    <n v="51330.13"/>
    <n v="19913.2"/>
    <n v="22760.91"/>
    <n v="56947.62"/>
    <n v="971"/>
    <n v="-5.2699999999999997E-2"/>
    <n v="0.41349999999999998"/>
    <n v="0.3997"/>
    <s v="2023Q2"/>
    <x v="1"/>
    <x v="1"/>
  </r>
  <r>
    <s v="TXN-100345"/>
    <n v="45313"/>
    <x v="1"/>
    <s v="Food &amp; Beverage"/>
    <x v="2"/>
    <s v="USD"/>
    <n v="115021.59"/>
    <n v="89517.77"/>
    <n v="25503.82"/>
    <n v="65667.009999999995"/>
    <n v="20111.18"/>
    <n v="151316.01999999999"/>
    <n v="1024"/>
    <n v="3.8300000000000001E-2"/>
    <n v="0.22170000000000001"/>
    <n v="0.13289999999999999"/>
    <s v="2024Q1"/>
    <x v="3"/>
    <x v="0"/>
  </r>
  <r>
    <s v="TXN-100346"/>
    <n v="45454"/>
    <x v="11"/>
    <s v="Financial Services"/>
    <x v="2"/>
    <s v="USD"/>
    <n v="21161.21"/>
    <n v="12032.88"/>
    <n v="9128.33"/>
    <n v="17992.86"/>
    <n v="29839.86"/>
    <n v="65744.789999999994"/>
    <n v="452"/>
    <n v="-7.4999999999999997E-3"/>
    <n v="0.43140000000000001"/>
    <n v="0.45390000000000003"/>
    <s v="2024Q2"/>
    <x v="3"/>
    <x v="1"/>
  </r>
  <r>
    <s v="TXN-100347"/>
    <n v="45776"/>
    <x v="5"/>
    <s v="Retail"/>
    <x v="2"/>
    <s v="USD"/>
    <s v="null"/>
    <n v="91805.29"/>
    <s v="null"/>
    <n v="40705.17"/>
    <n v="18202"/>
    <n v="122755.53"/>
    <n v="931"/>
    <n v="-3.73E-2"/>
    <s v="null"/>
    <n v="0.14829999999999999"/>
    <s v="2025Q2"/>
    <x v="0"/>
    <x v="0"/>
  </r>
  <r>
    <s v="TXN-100348"/>
    <d v="2023-05-11T00:00:00"/>
    <x v="5"/>
    <s v="Retail"/>
    <x v="0"/>
    <s v="USD"/>
    <n v="163077.56"/>
    <n v="103041.91"/>
    <n v="60035.65"/>
    <n v="31405.32"/>
    <n v="70277.67"/>
    <n v="73708.990000000005"/>
    <n v="746"/>
    <n v="9.6500000000000002E-2"/>
    <n v="0.36809999999999998"/>
    <n v="0.95340000000000003"/>
    <s v="2023Q2"/>
    <x v="1"/>
    <x v="2"/>
  </r>
  <r>
    <s v="TXN-100349"/>
    <n v="45577"/>
    <x v="5"/>
    <s v="Retail"/>
    <x v="2"/>
    <s v="USD"/>
    <s v="null"/>
    <s v="null"/>
    <s v="null"/>
    <n v="45001.59"/>
    <n v="26331.85"/>
    <n v="85727.55"/>
    <n v="535"/>
    <n v="-1.34E-2"/>
    <s v="null"/>
    <n v="0.30719999999999997"/>
    <s v="2024Q4"/>
    <x v="3"/>
    <x v="1"/>
  </r>
  <r>
    <s v="TXN-100350"/>
    <n v="45346"/>
    <x v="8"/>
    <s v="Logistics"/>
    <x v="3"/>
    <s v="USD"/>
    <n v="45785.85"/>
    <n v="33860.980000000003"/>
    <n v="11924.87"/>
    <n v="19271.88"/>
    <n v="61420.22"/>
    <n v="183555.97"/>
    <n v="1251"/>
    <n v="-7.1900000000000006E-2"/>
    <n v="0.26040000000000002"/>
    <n v="0.33460000000000001"/>
    <s v="2024Q1"/>
    <x v="3"/>
    <x v="1"/>
  </r>
  <r>
    <s v="TXN-100351"/>
    <n v="45902"/>
    <x v="7"/>
    <s v="Manufacturing"/>
    <x v="0"/>
    <s v="USD"/>
    <n v="132337.96"/>
    <n v="119903.05"/>
    <n v="12434.91"/>
    <n v="29765.19"/>
    <n v="96455.67"/>
    <n v="75583.820000000007"/>
    <n v="2565"/>
    <n v="0.15659999999999999"/>
    <n v="9.4E-2"/>
    <n v="1.2761"/>
    <s v="2025Q3"/>
    <x v="0"/>
    <x v="2"/>
  </r>
  <r>
    <s v="TXN-100352"/>
    <n v="45369"/>
    <x v="1"/>
    <s v="Food &amp; Beverage"/>
    <x v="2"/>
    <s v="USD"/>
    <n v="89890.240000000005"/>
    <n v="50833.7"/>
    <n v="39056.54"/>
    <n v="26029.81"/>
    <n v="10302.19"/>
    <n v="74118.8"/>
    <n v="961"/>
    <n v="8.6400000000000005E-2"/>
    <n v="0.4345"/>
    <n v="0.13900000000000001"/>
    <s v="2024Q1"/>
    <x v="3"/>
    <x v="0"/>
  </r>
  <r>
    <s v="TXN-100353"/>
    <n v="44732"/>
    <x v="10"/>
    <s v="Technology"/>
    <x v="2"/>
    <s v="USD"/>
    <n v="41356.93"/>
    <s v="null"/>
    <s v="null"/>
    <n v="15057.8"/>
    <n v="25842.45"/>
    <n v="52131.28"/>
    <n v="453"/>
    <n v="-6.4699999999999994E-2"/>
    <s v="null"/>
    <n v="0.49569999999999997"/>
    <s v="2022Q2"/>
    <x v="2"/>
    <x v="1"/>
  </r>
  <r>
    <s v="TXN-100354"/>
    <n v="45815"/>
    <x v="2"/>
    <s v="Healthcare"/>
    <x v="2"/>
    <s v="USD"/>
    <n v="266573.64"/>
    <n v="188875.27"/>
    <n v="77698.37"/>
    <n v="42009.87"/>
    <n v="50017.31"/>
    <n v="132661.57"/>
    <n v="997"/>
    <n v="-8.6E-3"/>
    <n v="0.29149999999999998"/>
    <n v="0.377"/>
    <s v="2025Q2"/>
    <x v="0"/>
    <x v="1"/>
  </r>
  <r>
    <s v="TXN-100355"/>
    <n v="45055"/>
    <x v="10"/>
    <s v="Technology"/>
    <x v="3"/>
    <s v="USD"/>
    <n v="86272.65"/>
    <n v="63425.63"/>
    <n v="22847.02"/>
    <n v="25324.77"/>
    <n v="7675.85"/>
    <n v="69201.210000000006"/>
    <n v="413"/>
    <n v="3.7199999999999997E-2"/>
    <n v="0.26479999999999998"/>
    <n v="0.1109"/>
    <s v="2023Q2"/>
    <x v="1"/>
    <x v="0"/>
  </r>
  <r>
    <s v="TXN-100356"/>
    <n v="45185"/>
    <x v="7"/>
    <s v="Manufacturing"/>
    <x v="1"/>
    <s v="USD"/>
    <n v="92497.256350000011"/>
    <n v="79227.66"/>
    <n v="13269.6"/>
    <n v="75274.77"/>
    <n v="68688.55"/>
    <n v="229929.34"/>
    <n v="542"/>
    <n v="-4.5400000000000003E-2"/>
    <n v="0.14349999999999999"/>
    <n v="0.29870000000000002"/>
    <s v="2023Q3"/>
    <x v="1"/>
    <x v="0"/>
  </r>
  <r>
    <s v="TXN-100357"/>
    <n v="45287"/>
    <x v="2"/>
    <s v="Healthcare"/>
    <x v="2"/>
    <s v="USD"/>
    <n v="62624.11"/>
    <n v="37511.199999999997"/>
    <n v="25112.91"/>
    <n v="80869.77"/>
    <n v="88484.99"/>
    <n v="100775.2"/>
    <n v="1751"/>
    <n v="-8.0999999999999996E-3"/>
    <n v="0.40100000000000002"/>
    <n v="0.878"/>
    <s v="2023Q4"/>
    <x v="1"/>
    <x v="2"/>
  </r>
  <r>
    <s v="TXN-100358"/>
    <n v="45160"/>
    <x v="9"/>
    <s v="Media"/>
    <x v="0"/>
    <s v="USD"/>
    <n v="16001.85"/>
    <n v="10603.82"/>
    <n v="5398.03"/>
    <n v="12623.15"/>
    <n v="22989.26"/>
    <n v="134635.82999999999"/>
    <n v="1317"/>
    <n v="9.4999999999999998E-3"/>
    <n v="0.33729999999999999"/>
    <n v="0.17080000000000001"/>
    <s v="2023Q3"/>
    <x v="1"/>
    <x v="0"/>
  </r>
  <r>
    <s v="TXN-100359"/>
    <n v="45822"/>
    <x v="9"/>
    <s v="Media"/>
    <x v="2"/>
    <s v="USD"/>
    <n v="23466.17"/>
    <n v="19828.16"/>
    <n v="3638.01"/>
    <n v="131499.28"/>
    <n v="57198.16"/>
    <n v="269189.51"/>
    <n v="1461"/>
    <n v="-3.2500000000000001E-2"/>
    <n v="0.155"/>
    <n v="0.21249999999999999"/>
    <s v="2025Q2"/>
    <x v="0"/>
    <x v="0"/>
  </r>
  <r>
    <s v="TXN-100360"/>
    <n v="44677"/>
    <x v="9"/>
    <s v="Media"/>
    <x v="0"/>
    <s v="USD"/>
    <n v="50187.43"/>
    <n v="31966.78"/>
    <n v="18220.650000000001"/>
    <n v="28071.74"/>
    <n v="11352.24"/>
    <n v="58673.02"/>
    <n v="579"/>
    <n v="-6.2300000000000001E-2"/>
    <n v="0.36309999999999998"/>
    <n v="0.19350000000000001"/>
    <s v="2022Q2"/>
    <x v="2"/>
    <x v="0"/>
  </r>
  <r>
    <s v="TXN-100361"/>
    <n v="44615"/>
    <x v="9"/>
    <s v="Media"/>
    <x v="1"/>
    <s v="USD"/>
    <n v="65064.934150000001"/>
    <n v="36018.92"/>
    <n v="29046.02"/>
    <n v="14230.11"/>
    <n v="43586.94"/>
    <n v="127703.03"/>
    <n v="547"/>
    <n v="-5.0900000000000001E-2"/>
    <n v="0.44640000000000002"/>
    <n v="0.34129999999999999"/>
    <s v="2022Q1"/>
    <x v="2"/>
    <x v="1"/>
  </r>
  <r>
    <s v="TXN-100362"/>
    <n v="45918"/>
    <x v="7"/>
    <s v="Manufacturing"/>
    <x v="1"/>
    <s v="USD"/>
    <n v="77437.678200000009"/>
    <n v="44363.87"/>
    <n v="33073.81"/>
    <n v="38051.480000000003"/>
    <n v="215070.27"/>
    <n v="219847.31"/>
    <n v="697"/>
    <n v="3.8699999999999998E-2"/>
    <n v="0.42709999999999998"/>
    <n v="0.97829999999999995"/>
    <s v="2025Q3"/>
    <x v="0"/>
    <x v="2"/>
  </r>
  <r>
    <s v="TXN-100363"/>
    <n v="45561"/>
    <x v="0"/>
    <s v="Real Estate"/>
    <x v="1"/>
    <s v="USD"/>
    <n v="74311.702250000002"/>
    <n v="45362.43"/>
    <n v="28949.279999999999"/>
    <n v="20974.66"/>
    <n v="17595.72"/>
    <n v="51760.85"/>
    <n v="759"/>
    <n v="-6.1999999999999998E-3"/>
    <n v="0.3896"/>
    <n v="0.33989999999999998"/>
    <s v="2024Q3"/>
    <x v="3"/>
    <x v="1"/>
  </r>
  <r>
    <s v="TXN-100364"/>
    <n v="45357"/>
    <x v="7"/>
    <s v="Manufacturing"/>
    <x v="2"/>
    <s v="USD"/>
    <n v="80190.52"/>
    <n v="52629.91"/>
    <n v="27560.61"/>
    <n v="23092.34"/>
    <n v="12763.05"/>
    <n v="47036.61"/>
    <n v="1311"/>
    <n v="3.7699999999999997E-2"/>
    <n v="0.34370000000000001"/>
    <n v="0.27129999999999999"/>
    <s v="2024Q1"/>
    <x v="3"/>
    <x v="0"/>
  </r>
  <r>
    <s v="TXN-100365"/>
    <n v="44789"/>
    <x v="1"/>
    <s v="Food &amp; Beverage"/>
    <x v="0"/>
    <s v="USD"/>
    <n v="101327.93"/>
    <n v="63837.88"/>
    <n v="37490.050000000003"/>
    <n v="119375.84"/>
    <n v="15753.16"/>
    <n v="148574.29999999999"/>
    <n v="939"/>
    <n v="7.4899999999999994E-2"/>
    <n v="0.37"/>
    <n v="0.106"/>
    <s v="2022Q3"/>
    <x v="2"/>
    <x v="0"/>
  </r>
  <r>
    <s v="TXN-100366"/>
    <n v="45749"/>
    <x v="9"/>
    <s v="Media"/>
    <x v="2"/>
    <s v="USD"/>
    <n v="38436.04"/>
    <n v="23575.87"/>
    <n v="14860.17"/>
    <n v="27702.22"/>
    <n v="34579.379999999997"/>
    <n v="176154.36"/>
    <n v="1459"/>
    <n v="-3.3399999999999999E-2"/>
    <n v="0.3866"/>
    <n v="0.1963"/>
    <s v="2025Q2"/>
    <x v="0"/>
    <x v="0"/>
  </r>
  <r>
    <s v="TXN-100367"/>
    <n v="44782"/>
    <x v="6"/>
    <s v="Travel"/>
    <x v="0"/>
    <s v="USD"/>
    <n v="31540.17"/>
    <n v="20987.07"/>
    <n v="10553.1"/>
    <n v="13851.03"/>
    <n v="53634.44"/>
    <n v="91145.77"/>
    <n v="737"/>
    <n v="3.6600000000000001E-2"/>
    <n v="0.33460000000000001"/>
    <n v="0.58840000000000003"/>
    <s v="2022Q3"/>
    <x v="2"/>
    <x v="1"/>
  </r>
  <r>
    <s v="TXN-100368"/>
    <n v="45477"/>
    <x v="4"/>
    <s v="Energy"/>
    <x v="2"/>
    <s v="USD"/>
    <n v="99120.08"/>
    <n v="57524.22"/>
    <n v="41595.86"/>
    <n v="141052.68"/>
    <n v="25745.5"/>
    <n v="183272.01"/>
    <n v="563"/>
    <n v="1.09E-2"/>
    <n v="0.41970000000000002"/>
    <n v="0.14050000000000001"/>
    <s v="2024Q3"/>
    <x v="3"/>
    <x v="0"/>
  </r>
  <r>
    <s v="TXN-100369"/>
    <n v="44945"/>
    <x v="7"/>
    <s v="Manufacturing"/>
    <x v="0"/>
    <s v="USD"/>
    <n v="75229.17"/>
    <n v="59131.91"/>
    <n v="16097.26"/>
    <n v="101297.18"/>
    <n v="6990.03"/>
    <n v="114024.13"/>
    <n v="1795"/>
    <n v="9.2899999999999996E-2"/>
    <n v="0.214"/>
    <n v="6.13E-2"/>
    <s v="2023Q1"/>
    <x v="1"/>
    <x v="0"/>
  </r>
  <r>
    <s v="TXN-100370"/>
    <n v="45692"/>
    <x v="0"/>
    <s v="Real Estate"/>
    <x v="3"/>
    <s v="USD"/>
    <n v="47672.56"/>
    <n v="27975.8"/>
    <n v="19696.759999999998"/>
    <n v="24966.73"/>
    <n v="41959.95"/>
    <n v="395227.19"/>
    <n v="822"/>
    <n v="-0.1147"/>
    <n v="0.41320000000000001"/>
    <n v="0.1062"/>
    <s v="2025Q1"/>
    <x v="0"/>
    <x v="0"/>
  </r>
  <r>
    <s v="TXN-100371"/>
    <n v="44882"/>
    <x v="6"/>
    <s v="Travel"/>
    <x v="3"/>
    <s v="USD"/>
    <n v="157185.89000000001"/>
    <n v="132482.79999999999"/>
    <n v="24703.09"/>
    <n v="51336"/>
    <n v="33754.6"/>
    <n v="440833.76"/>
    <n v="843"/>
    <n v="-1.14E-2"/>
    <n v="0.15720000000000001"/>
    <n v="7.6600000000000001E-2"/>
    <s v="2022Q4"/>
    <x v="2"/>
    <x v="0"/>
  </r>
  <r>
    <s v="TXN-100372"/>
    <n v="45054"/>
    <x v="8"/>
    <s v="Logistics"/>
    <x v="0"/>
    <s v="USD"/>
    <n v="114049.41"/>
    <n v="76391.81"/>
    <n v="37657.599999999999"/>
    <n v="31608.67"/>
    <n v="72472.08"/>
    <n v="191678.74"/>
    <n v="1264"/>
    <n v="-8.4500000000000006E-2"/>
    <n v="0.33019999999999999"/>
    <n v="0.37809999999999999"/>
    <s v="2023Q2"/>
    <x v="1"/>
    <x v="1"/>
  </r>
  <r>
    <s v="TXN-100373"/>
    <n v="45315"/>
    <x v="10"/>
    <s v="Technology"/>
    <x v="2"/>
    <s v="USD"/>
    <n v="60717.69"/>
    <n v="54262.07"/>
    <n v="6455.62"/>
    <n v="7477.05"/>
    <n v="19257.82"/>
    <n v="20580.669999999998"/>
    <n v="554"/>
    <n v="0.15340000000000001"/>
    <n v="0.10630000000000001"/>
    <n v="0.93569999999999998"/>
    <s v="2024Q1"/>
    <x v="3"/>
    <x v="2"/>
  </r>
  <r>
    <s v="TXN-100374"/>
    <n v="45484"/>
    <x v="3"/>
    <s v="Telecommunications"/>
    <x v="0"/>
    <s v="USD"/>
    <n v="156135.13"/>
    <n v="108860.09"/>
    <n v="47275.040000000001"/>
    <n v="46942.34"/>
    <n v="36619.86"/>
    <n v="203510.14"/>
    <n v="1239"/>
    <n v="-0.14799999999999999"/>
    <n v="0.30280000000000001"/>
    <n v="0.1799"/>
    <s v="2024Q3"/>
    <x v="3"/>
    <x v="0"/>
  </r>
  <r>
    <s v="TXN-100375"/>
    <n v="45235"/>
    <x v="1"/>
    <s v="Food &amp; Beverage"/>
    <x v="0"/>
    <s v="USD"/>
    <n v="65360.86"/>
    <n v="39413.519999999997"/>
    <n v="25947.34"/>
    <n v="56406.75"/>
    <n v="12110.89"/>
    <n v="186692.46"/>
    <n v="2112"/>
    <n v="2.8400000000000002E-2"/>
    <n v="0.39700000000000002"/>
    <n v="6.4899999999999999E-2"/>
    <s v="2023Q4"/>
    <x v="1"/>
    <x v="0"/>
  </r>
  <r>
    <s v="TXN-100376"/>
    <n v="45681"/>
    <x v="4"/>
    <s v="Energy"/>
    <x v="0"/>
    <s v="USD"/>
    <n v="157700.37"/>
    <n v="141929.09"/>
    <n v="15771.28"/>
    <n v="74049.52"/>
    <n v="13295.03"/>
    <n v="109145.24"/>
    <n v="1531"/>
    <n v="0.1177"/>
    <n v="0.1"/>
    <n v="0.12180000000000001"/>
    <s v="2025Q1"/>
    <x v="0"/>
    <x v="0"/>
  </r>
  <r>
    <s v="TXN-100377"/>
    <n v="45271"/>
    <x v="0"/>
    <s v="Real Estate"/>
    <x v="2"/>
    <s v="USD"/>
    <n v="110314.16"/>
    <n v="94846.720000000001"/>
    <n v="15467.44"/>
    <n v="40254.080000000002"/>
    <n v="25166.9"/>
    <n v="45735.62"/>
    <n v="1220"/>
    <n v="-1.3599999999999999E-2"/>
    <n v="0.14019999999999999"/>
    <n v="0.55030000000000001"/>
    <s v="2023Q4"/>
    <x v="1"/>
    <x v="1"/>
  </r>
  <r>
    <s v="TXN-100378"/>
    <n v="44767"/>
    <x v="0"/>
    <s v="Real Estate"/>
    <x v="0"/>
    <s v="USD"/>
    <n v="40312.699999999997"/>
    <n v="25967.75"/>
    <n v="14344.95"/>
    <n v="84864.4"/>
    <n v="27443.54"/>
    <n v="132658.56"/>
    <n v="1180"/>
    <n v="0.21740000000000001"/>
    <n v="0.35580000000000001"/>
    <n v="0.2069"/>
    <s v="2022Q3"/>
    <x v="2"/>
    <x v="0"/>
  </r>
  <r>
    <s v="TXN-100379"/>
    <n v="45398"/>
    <x v="10"/>
    <s v="Technology"/>
    <x v="0"/>
    <s v="USD"/>
    <n v="29649.77"/>
    <n v="17349.18"/>
    <n v="12300.59"/>
    <n v="21664.44"/>
    <n v="16281.96"/>
    <n v="69905.75"/>
    <n v="1699"/>
    <n v="-0.17660000000000001"/>
    <n v="0.41489999999999999"/>
    <n v="0.2329"/>
    <s v="2024Q2"/>
    <x v="3"/>
    <x v="0"/>
  </r>
  <r>
    <s v="TXN-100380"/>
    <n v="44754"/>
    <x v="7"/>
    <s v="Manufacturing"/>
    <x v="2"/>
    <s v="USD"/>
    <n v="61715.4"/>
    <n v="41211.85"/>
    <n v="20503.55"/>
    <n v="8124.23"/>
    <n v="67352.11"/>
    <n v="66448.009999999995"/>
    <n v="1893"/>
    <n v="6.9000000000000006E-2"/>
    <n v="0.3322"/>
    <n v="1.0136000000000001"/>
    <s v="2022Q3"/>
    <x v="2"/>
    <x v="2"/>
  </r>
  <r>
    <s v="TXN-100381"/>
    <d v="2023-12-10T00:00:00"/>
    <x v="5"/>
    <s v="Retail"/>
    <x v="0"/>
    <s v="USD"/>
    <n v="225445.12"/>
    <n v="182436.11"/>
    <n v="43009.01"/>
    <n v="53745.61"/>
    <n v="41175.760000000002"/>
    <n v="132276.38"/>
    <n v="1983"/>
    <n v="0.01"/>
    <n v="0.1908"/>
    <n v="0.31130000000000002"/>
    <s v="2023Q4"/>
    <x v="1"/>
    <x v="1"/>
  </r>
  <r>
    <s v="TXN-100382"/>
    <n v="44749"/>
    <x v="6"/>
    <s v="Travel"/>
    <x v="2"/>
    <s v="USD"/>
    <n v="44791.16"/>
    <n v="32789.82"/>
    <n v="12001.34"/>
    <n v="68442.36"/>
    <n v="16184.64"/>
    <n v="169978.16"/>
    <n v="1018"/>
    <n v="-0.1027"/>
    <n v="0.26790000000000003"/>
    <n v="9.5200000000000007E-2"/>
    <s v="2022Q3"/>
    <x v="2"/>
    <x v="0"/>
  </r>
  <r>
    <s v="TXN-100383"/>
    <n v="45611"/>
    <x v="7"/>
    <s v="Manufacturing"/>
    <x v="2"/>
    <s v="USD"/>
    <n v="36787.480000000003"/>
    <n v="30734.45"/>
    <n v="6053.03"/>
    <n v="16771.599999999999"/>
    <n v="60759.839999999997"/>
    <n v="101652.95"/>
    <s v="null"/>
    <n v="4.3099999999999999E-2"/>
    <n v="0.16450000000000001"/>
    <n v="0.59770000000000001"/>
    <s v="2024Q4"/>
    <x v="3"/>
    <x v="1"/>
  </r>
  <r>
    <s v="TXN-100384"/>
    <n v="45227"/>
    <x v="0"/>
    <s v="Real Estate"/>
    <x v="2"/>
    <s v="USD"/>
    <n v="93632.14"/>
    <n v="69623.81"/>
    <n v="24008.33"/>
    <n v="28977.51"/>
    <n v="15691.28"/>
    <n v="48050.76"/>
    <n v="1920"/>
    <n v="9.1700000000000004E-2"/>
    <n v="0.25640000000000002"/>
    <n v="0.3266"/>
    <s v="2023Q4"/>
    <x v="1"/>
    <x v="1"/>
  </r>
  <r>
    <s v="TXN-100385"/>
    <n v="45817"/>
    <x v="3"/>
    <s v="Telecommunications"/>
    <x v="0"/>
    <s v="USD"/>
    <n v="35690.339999999997"/>
    <n v="31430.52"/>
    <n v="4259.82"/>
    <n v="36132.300000000003"/>
    <n v="15375.73"/>
    <n v="179310.27"/>
    <n v="916"/>
    <n v="6.2300000000000001E-2"/>
    <n v="0.11940000000000001"/>
    <n v="8.5699999999999998E-2"/>
    <s v="2025Q2"/>
    <x v="0"/>
    <x v="0"/>
  </r>
  <r>
    <s v="TXN-100386"/>
    <n v="45854"/>
    <x v="1"/>
    <s v="Food &amp; Beverage"/>
    <x v="2"/>
    <s v="USD"/>
    <n v="120334.11"/>
    <n v="80936.759999999995"/>
    <n v="39397.35"/>
    <n v="66655.289999999994"/>
    <n v="12434.57"/>
    <n v="269734.51"/>
    <n v="789"/>
    <n v="0.1293"/>
    <n v="0.32740000000000002"/>
    <n v="4.6100000000000002E-2"/>
    <s v="2025Q3"/>
    <x v="0"/>
    <x v="0"/>
  </r>
  <r>
    <s v="TXN-100387"/>
    <n v="45800"/>
    <x v="6"/>
    <s v="Travel"/>
    <x v="1"/>
    <s v="USD"/>
    <n v="54730.393150000004"/>
    <n v="41841.410000000003"/>
    <n v="12888.98"/>
    <n v="78046.259999999995"/>
    <n v="72312.42"/>
    <n v="124410.8"/>
    <n v="624"/>
    <n v="5.1999999999999998E-3"/>
    <n v="0.23549999999999999"/>
    <n v="0.58120000000000005"/>
    <s v="2025Q2"/>
    <x v="0"/>
    <x v="1"/>
  </r>
  <r>
    <s v="TXN-100388"/>
    <n v="44834"/>
    <x v="2"/>
    <s v="Healthcare"/>
    <x v="0"/>
    <s v="USD"/>
    <n v="89344.56"/>
    <n v="49145.68"/>
    <n v="40198.879999999997"/>
    <n v="32168.09"/>
    <n v="90280.39"/>
    <n v="214054.35"/>
    <n v="324"/>
    <n v="-6.0100000000000001E-2"/>
    <n v="0.44990000000000002"/>
    <n v="0.42180000000000001"/>
    <s v="2022Q3"/>
    <x v="2"/>
    <x v="1"/>
  </r>
  <r>
    <s v="TXN-100389"/>
    <n v="45863"/>
    <x v="0"/>
    <s v="Real Estate"/>
    <x v="1"/>
    <s v="USD"/>
    <n v="69044.187000000005"/>
    <n v="42585.88"/>
    <n v="26458.31"/>
    <n v="29286.16"/>
    <n v="35625.480000000003"/>
    <n v="48309.51"/>
    <n v="615"/>
    <n v="-2.7799999999999998E-2"/>
    <n v="0.38319999999999999"/>
    <n v="0.73740000000000006"/>
    <s v="2025Q3"/>
    <x v="0"/>
    <x v="2"/>
  </r>
  <r>
    <s v="TXN-100390"/>
    <n v="45474"/>
    <x v="3"/>
    <s v="Telecommunications"/>
    <x v="2"/>
    <s v="USD"/>
    <n v="193962.94"/>
    <n v="122103.38"/>
    <n v="71859.56"/>
    <n v="62058.66"/>
    <n v="24414.68"/>
    <n v="106164.06"/>
    <n v="610"/>
    <n v="-6.7100000000000007E-2"/>
    <n v="0.3705"/>
    <n v="0.23"/>
    <s v="2024Q3"/>
    <x v="3"/>
    <x v="0"/>
  </r>
  <r>
    <s v="TXN-100391"/>
    <n v="45868"/>
    <x v="4"/>
    <s v="Energy"/>
    <x v="2"/>
    <s v="USD"/>
    <n v="35981.71"/>
    <n v="22080.959999999999"/>
    <n v="13900.75"/>
    <n v="40195.33"/>
    <n v="30504.68"/>
    <n v="168805.28"/>
    <n v="775"/>
    <n v="0.08"/>
    <n v="0.38629999999999998"/>
    <n v="0.1807"/>
    <s v="2025Q3"/>
    <x v="0"/>
    <x v="0"/>
  </r>
  <r>
    <s v="TXN-100392"/>
    <n v="44865"/>
    <x v="1"/>
    <s v="Food &amp; Beverage"/>
    <x v="2"/>
    <s v="USD"/>
    <n v="59063.58"/>
    <n v="43466.16"/>
    <n v="15597.42"/>
    <n v="8240.36"/>
    <n v="16336.21"/>
    <n v="36339.760000000002"/>
    <n v="479"/>
    <n v="-6.5799999999999997E-2"/>
    <n v="0.2641"/>
    <n v="0.44950000000000001"/>
    <s v="2022Q4"/>
    <x v="2"/>
    <x v="1"/>
  </r>
  <r>
    <s v="TXN-100393"/>
    <n v="44944"/>
    <x v="0"/>
    <s v="Real Estate"/>
    <x v="0"/>
    <s v="USD"/>
    <n v="105211.21"/>
    <n v="59434.400000000001"/>
    <n v="45776.81"/>
    <n v="18592.78"/>
    <n v="38130.9"/>
    <n v="27555.38"/>
    <n v="1220"/>
    <n v="1.95E-2"/>
    <n v="0.43509999999999999"/>
    <n v="1.3837999999999999"/>
    <s v="2023Q1"/>
    <x v="1"/>
    <x v="2"/>
  </r>
  <r>
    <s v="TXN-100394"/>
    <n v="45814"/>
    <x v="9"/>
    <s v="Media"/>
    <x v="0"/>
    <s v="USD"/>
    <n v="103108.45"/>
    <n v="69751.16"/>
    <n v="33357.29"/>
    <n v="80577.5"/>
    <n v="35897.11"/>
    <n v="100413.63"/>
    <n v="1533"/>
    <n v="-0.11"/>
    <n v="0.32350000000000001"/>
    <n v="0.35749999999999998"/>
    <s v="2025Q2"/>
    <x v="0"/>
    <x v="1"/>
  </r>
  <r>
    <s v="TXN-100395"/>
    <n v="44835"/>
    <x v="0"/>
    <s v="Real Estate"/>
    <x v="1"/>
    <s v="USD"/>
    <n v="144622.4768"/>
    <n v="100048.34"/>
    <n v="44574.14"/>
    <n v="43515.23"/>
    <n v="24359.58"/>
    <n v="66632.61"/>
    <n v="1039"/>
    <n v="0.10059999999999999"/>
    <n v="0.30819999999999997"/>
    <n v="0.36559999999999998"/>
    <s v="2022Q4"/>
    <x v="2"/>
    <x v="1"/>
  </r>
  <r>
    <s v="TXN-100396"/>
    <n v="44583"/>
    <x v="5"/>
    <s v="Retail"/>
    <x v="1"/>
    <s v="USD"/>
    <n v="17209.040850000001"/>
    <n v="9557.73"/>
    <n v="7651.31"/>
    <n v="13072.2"/>
    <n v="48304.49"/>
    <n v="64326.49"/>
    <n v="785"/>
    <n v="-7.8299999999999995E-2"/>
    <n v="0.4446"/>
    <n v="0.75090000000000001"/>
    <s v="2022Q1"/>
    <x v="2"/>
    <x v="2"/>
  </r>
  <r>
    <s v="TXN-100397"/>
    <n v="44826"/>
    <x v="2"/>
    <s v="Healthcare"/>
    <x v="0"/>
    <s v="USD"/>
    <n v="101154.91"/>
    <n v="66240.759999999995"/>
    <n v="34914.15"/>
    <n v="48748.12"/>
    <n v="30506.25"/>
    <n v="199616.11"/>
    <n v="1710"/>
    <n v="-9.8199999999999996E-2"/>
    <n v="0.34520000000000001"/>
    <n v="0.15279999999999999"/>
    <s v="2022Q3"/>
    <x v="2"/>
    <x v="0"/>
  </r>
  <r>
    <s v="TXN-100398"/>
    <n v="45924"/>
    <x v="6"/>
    <s v="Travel"/>
    <x v="2"/>
    <s v="USD"/>
    <n v="41841"/>
    <n v="32270.43"/>
    <n v="9570.57"/>
    <n v="58074.6"/>
    <n v="61340.29"/>
    <n v="104694.44"/>
    <n v="618"/>
    <n v="-3.6600000000000001E-2"/>
    <n v="0.22869999999999999"/>
    <n v="0.58589999999999998"/>
    <s v="2025Q3"/>
    <x v="0"/>
    <x v="1"/>
  </r>
  <r>
    <s v="TXN-100399"/>
    <n v="45012"/>
    <x v="4"/>
    <s v="Energy"/>
    <x v="2"/>
    <s v="USD"/>
    <n v="79398.92"/>
    <n v="60297.67"/>
    <n v="19101.25"/>
    <n v="19649.54"/>
    <n v="30496.13"/>
    <n v="148659.9"/>
    <n v="971"/>
    <n v="-9.0300000000000005E-2"/>
    <n v="0.24060000000000001"/>
    <n v="0.2051"/>
    <s v="2023Q1"/>
    <x v="1"/>
    <x v="0"/>
  </r>
  <r>
    <s v="TXN-100400"/>
    <n v="44827"/>
    <x v="1"/>
    <s v="Food &amp; Beverage"/>
    <x v="1"/>
    <s v="USD"/>
    <n v="62314.449500000002"/>
    <n v="38189.919999999998"/>
    <n v="24124.53"/>
    <n v="32284.66"/>
    <n v="8310.8799999999992"/>
    <n v="107274.26"/>
    <n v="1036"/>
    <n v="1.9800000000000002E-2"/>
    <n v="0.3871"/>
    <n v="7.7499999999999999E-2"/>
    <s v="2022Q3"/>
    <x v="2"/>
    <x v="0"/>
  </r>
  <r>
    <s v="TXN-100401"/>
    <n v="45219"/>
    <x v="8"/>
    <s v="Logistics"/>
    <x v="3"/>
    <s v="USD"/>
    <n v="39127.35"/>
    <n v="22322.31"/>
    <n v="16805.04"/>
    <n v="46709.98"/>
    <n v="67375.14"/>
    <n v="81379.240000000005"/>
    <n v="2001"/>
    <n v="-6.54E-2"/>
    <n v="0.42949999999999999"/>
    <n v="0.82789999999999997"/>
    <s v="2023Q4"/>
    <x v="1"/>
    <x v="2"/>
  </r>
  <r>
    <s v="TXN-100402"/>
    <n v="45375"/>
    <x v="3"/>
    <s v="Telecommunications"/>
    <x v="2"/>
    <s v="USD"/>
    <n v="75660.160000000003"/>
    <n v="68576.009999999995"/>
    <n v="7084.15"/>
    <n v="46331.62"/>
    <n v="26361.98"/>
    <n v="74186.789999999994"/>
    <n v="508"/>
    <n v="4.8099999999999997E-2"/>
    <n v="9.3600000000000003E-2"/>
    <n v="0.3553"/>
    <s v="2024Q1"/>
    <x v="3"/>
    <x v="1"/>
  </r>
  <r>
    <s v="TXN-100403"/>
    <n v="45955"/>
    <x v="7"/>
    <s v="Manufacturing"/>
    <x v="1"/>
    <s v="USD"/>
    <n v="172898.14874999999"/>
    <n v="123053.18"/>
    <n v="49844.959999999999"/>
    <n v="23613.8"/>
    <n v="99565.32"/>
    <n v="201378.67"/>
    <n v="729"/>
    <n v="7.8100000000000003E-2"/>
    <n v="0.2883"/>
    <n v="0.49440000000000001"/>
    <s v="2025Q4"/>
    <x v="0"/>
    <x v="1"/>
  </r>
  <r>
    <s v="TXN-100404"/>
    <n v="44935"/>
    <x v="7"/>
    <s v="Manufacturing"/>
    <x v="0"/>
    <s v="USD"/>
    <n v="69544.009999999995"/>
    <n v="54478.38"/>
    <n v="15065.63"/>
    <n v="112520.7"/>
    <n v="46226.96"/>
    <n v="289425.25"/>
    <n v="683"/>
    <n v="7.1900000000000006E-2"/>
    <n v="0.21659999999999999"/>
    <n v="0.15970000000000001"/>
    <s v="2023Q1"/>
    <x v="1"/>
    <x v="0"/>
  </r>
  <r>
    <s v="TXN-100405"/>
    <n v="45476"/>
    <x v="3"/>
    <s v="Telecommunications"/>
    <x v="1"/>
    <s v="USD"/>
    <n v="51087.094750000004"/>
    <n v="31523.46"/>
    <n v="19563.63"/>
    <n v="38652.22"/>
    <n v="19829.18"/>
    <n v="364329.59"/>
    <n v="1431"/>
    <n v="0.12520000000000001"/>
    <n v="0.38290000000000002"/>
    <n v="5.4399999999999997E-2"/>
    <s v="2024Q3"/>
    <x v="3"/>
    <x v="0"/>
  </r>
  <r>
    <s v="TXN-100406"/>
    <n v="45089"/>
    <x v="3"/>
    <s v="Telecommunications"/>
    <x v="3"/>
    <s v="USD"/>
    <n v="168264.93"/>
    <n v="154435.26999999999"/>
    <n v="13829.66"/>
    <n v="51183.19"/>
    <n v="6741.06"/>
    <n v="297028.26"/>
    <n v="804"/>
    <n v="-6.5100000000000005E-2"/>
    <n v="8.2199999999999995E-2"/>
    <n v="2.2700000000000001E-2"/>
    <s v="2023Q2"/>
    <x v="1"/>
    <x v="0"/>
  </r>
  <r>
    <s v="TXN-100407"/>
    <n v="44625"/>
    <x v="10"/>
    <s v="Technology"/>
    <x v="1"/>
    <s v="USD"/>
    <n v="152239.93280000001"/>
    <n v="116910.74"/>
    <n v="35329.19"/>
    <n v="78898.11"/>
    <n v="26716.97"/>
    <n v="180143.48"/>
    <n v="1254"/>
    <n v="-8.1600000000000006E-2"/>
    <n v="0.2321"/>
    <n v="0.14829999999999999"/>
    <s v="2022Q1"/>
    <x v="2"/>
    <x v="0"/>
  </r>
  <r>
    <s v="TXN-100408"/>
    <n v="45374"/>
    <x v="0"/>
    <s v="Real Estate"/>
    <x v="1"/>
    <s v="USD"/>
    <n v="59073.320899999999"/>
    <n v="42829.34"/>
    <n v="16243.98"/>
    <n v="62111.23"/>
    <n v="31978.59"/>
    <n v="125373.23"/>
    <n v="1529"/>
    <n v="-5.1499999999999997E-2"/>
    <n v="0.27500000000000002"/>
    <n v="0.25509999999999999"/>
    <s v="2024Q1"/>
    <x v="3"/>
    <x v="0"/>
  </r>
  <r>
    <s v="TXN-100409"/>
    <n v="45675"/>
    <x v="9"/>
    <s v="Media"/>
    <x v="0"/>
    <s v="USD"/>
    <n v="35819.25"/>
    <n v="25539.1"/>
    <n v="10280.15"/>
    <n v="33772.71"/>
    <n v="43108.67"/>
    <n v="82988.899999999994"/>
    <n v="966"/>
    <n v="-1.77E-2"/>
    <n v="0.28699999999999998"/>
    <n v="0.51949999999999996"/>
    <s v="2025Q1"/>
    <x v="0"/>
    <x v="1"/>
  </r>
  <r>
    <s v="TXN-100410"/>
    <n v="44858"/>
    <x v="8"/>
    <s v="Logistics"/>
    <x v="2"/>
    <s v="USD"/>
    <n v="22113.63"/>
    <n v="18173.09"/>
    <n v="3940.54"/>
    <n v="32125.439999999999"/>
    <n v="28320.29"/>
    <n v="77828.5"/>
    <n v="601"/>
    <n v="5.4000000000000003E-3"/>
    <n v="0.1782"/>
    <n v="0.3639"/>
    <s v="2022Q4"/>
    <x v="2"/>
    <x v="1"/>
  </r>
  <r>
    <s v="TXN-100411"/>
    <n v="45454"/>
    <x v="8"/>
    <s v="Logistics"/>
    <x v="0"/>
    <s v="USD"/>
    <n v="57769.04"/>
    <n v="45497.279999999999"/>
    <n v="12271.76"/>
    <n v="22334.94"/>
    <n v="25979.59"/>
    <n v="37985.43"/>
    <n v="994"/>
    <n v="-6.3399999999999998E-2"/>
    <n v="0.21240000000000001"/>
    <n v="0.68389999999999995"/>
    <s v="2024Q2"/>
    <x v="3"/>
    <x v="2"/>
  </r>
  <r>
    <s v="TXN-100412"/>
    <n v="45284"/>
    <x v="8"/>
    <s v="Logistics"/>
    <x v="0"/>
    <s v="USD"/>
    <n v="26972.9"/>
    <n v="17387.41"/>
    <n v="9585.49"/>
    <n v="59108.71"/>
    <n v="12640.28"/>
    <n v="100698.2"/>
    <n v="1133"/>
    <n v="-3.2599999999999997E-2"/>
    <n v="0.35539999999999999"/>
    <n v="0.1255"/>
    <s v="2023Q4"/>
    <x v="1"/>
    <x v="0"/>
  </r>
  <r>
    <s v="TXN-100413"/>
    <n v="44606"/>
    <x v="8"/>
    <s v="Logistics"/>
    <x v="2"/>
    <s v="USD"/>
    <n v="26598.75"/>
    <n v="20686"/>
    <n v="5912.75"/>
    <n v="121045.59"/>
    <n v="28481.3"/>
    <n v="143739.9"/>
    <n v="656"/>
    <n v="-5.8900000000000001E-2"/>
    <n v="0.2223"/>
    <n v="0.1981"/>
    <s v="2022Q1"/>
    <x v="2"/>
    <x v="0"/>
  </r>
  <r>
    <s v="TXN-100414"/>
    <n v="45040"/>
    <x v="4"/>
    <s v="Energy"/>
    <x v="1"/>
    <s v="USD"/>
    <n v="167686.46369999999"/>
    <n v="150099.26"/>
    <n v="17587.2"/>
    <n v="57428.12"/>
    <n v="28269"/>
    <n v="202497.72"/>
    <n v="2114"/>
    <n v="6.6600000000000006E-2"/>
    <n v="0.10489999999999999"/>
    <n v="0.1396"/>
    <s v="2023Q2"/>
    <x v="1"/>
    <x v="0"/>
  </r>
  <r>
    <s v="TXN-100415"/>
    <n v="45333"/>
    <x v="8"/>
    <s v="Logistics"/>
    <x v="0"/>
    <s v="USD"/>
    <n v="111543.87"/>
    <n v="63380.54"/>
    <n v="48163.33"/>
    <n v="25470"/>
    <n v="35204.03"/>
    <n v="75953.039999999994"/>
    <n v="619"/>
    <n v="-4.3900000000000002E-2"/>
    <n v="0.43180000000000002"/>
    <n v="0.46350000000000002"/>
    <s v="2024Q1"/>
    <x v="3"/>
    <x v="1"/>
  </r>
  <r>
    <s v="TXN-100416"/>
    <n v="44937"/>
    <x v="7"/>
    <s v="Manufacturing"/>
    <x v="0"/>
    <s v="USD"/>
    <n v="22502.880000000001"/>
    <n v="19967.669999999998"/>
    <n v="2535.21"/>
    <n v="15661.69"/>
    <n v="27235.919999999998"/>
    <n v="54466.52"/>
    <n v="1111"/>
    <n v="2.4899999999999999E-2"/>
    <n v="0.11269999999999999"/>
    <n v="0.5"/>
    <s v="2023Q1"/>
    <x v="1"/>
    <x v="1"/>
  </r>
  <r>
    <s v="TXN-100417"/>
    <n v="45736"/>
    <x v="0"/>
    <s v="Real Estate"/>
    <x v="3"/>
    <s v="USD"/>
    <n v="26870.400000000001"/>
    <n v="23590.240000000002"/>
    <n v="3280.16"/>
    <n v="12386.28"/>
    <n v="23450"/>
    <n v="65015.21"/>
    <n v="749"/>
    <n v="-1.6000000000000001E-3"/>
    <n v="0.1221"/>
    <n v="0.36070000000000002"/>
    <s v="2025Q1"/>
    <x v="0"/>
    <x v="1"/>
  </r>
  <r>
    <s v="TXN-100418"/>
    <n v="45432"/>
    <x v="8"/>
    <s v="Logistics"/>
    <x v="3"/>
    <s v="USD"/>
    <n v="180404.35"/>
    <n v="123716.92"/>
    <n v="56687.43"/>
    <n v="57974.69"/>
    <n v="19933.490000000002"/>
    <n v="100678.1"/>
    <n v="1430"/>
    <n v="-9.6500000000000002E-2"/>
    <n v="0.31419999999999998"/>
    <n v="0.19800000000000001"/>
    <s v="2024Q2"/>
    <x v="3"/>
    <x v="0"/>
  </r>
  <r>
    <s v="TXN-100419"/>
    <n v="45455"/>
    <x v="10"/>
    <s v="Technology"/>
    <x v="1"/>
    <s v="USD"/>
    <n v="123388.28005"/>
    <n v="109374.27"/>
    <n v="14014.01"/>
    <n v="24134.66"/>
    <n v="90088.71"/>
    <n v="64910.239999999998"/>
    <n v="455"/>
    <n v="-7.6799999999999993E-2"/>
    <n v="0.11360000000000001"/>
    <n v="1.3878999999999999"/>
    <s v="2024Q2"/>
    <x v="3"/>
    <x v="2"/>
  </r>
  <r>
    <s v="TXN-100420"/>
    <n v="45575"/>
    <x v="9"/>
    <s v="Media"/>
    <x v="3"/>
    <s v="USD"/>
    <n v="60487.65"/>
    <n v="40361.519999999997"/>
    <n v="20126.13"/>
    <n v="23912.98"/>
    <n v="33088.1"/>
    <n v="94144.66"/>
    <n v="1277"/>
    <n v="-2.23E-2"/>
    <n v="0.3327"/>
    <n v="0.35149999999999998"/>
    <s v="2024Q4"/>
    <x v="3"/>
    <x v="1"/>
  </r>
  <r>
    <s v="TXN-100421"/>
    <n v="45109"/>
    <x v="6"/>
    <s v="Travel"/>
    <x v="0"/>
    <s v="USD"/>
    <n v="97645.9"/>
    <n v="87848.01"/>
    <n v="9797.89"/>
    <n v="18435.669999999998"/>
    <n v="10856.11"/>
    <n v="169027.85"/>
    <n v="2438"/>
    <n v="1.0699999999999999E-2"/>
    <n v="0.1003"/>
    <n v="6.4199999999999993E-2"/>
    <s v="2023Q3"/>
    <x v="1"/>
    <x v="0"/>
  </r>
  <r>
    <s v="TXN-100422"/>
    <n v="45455"/>
    <x v="7"/>
    <s v="Manufacturing"/>
    <x v="2"/>
    <s v="USD"/>
    <n v="139164.1"/>
    <n v="120895.29"/>
    <n v="18268.810000000001"/>
    <n v="21361.99"/>
    <n v="69855.78"/>
    <n v="44671.09"/>
    <n v="1247"/>
    <n v="5.4300000000000001E-2"/>
    <n v="0.1313"/>
    <n v="1.5638000000000001"/>
    <s v="2024Q2"/>
    <x v="3"/>
    <x v="2"/>
  </r>
  <r>
    <s v="TXN-100423"/>
    <n v="45644"/>
    <x v="4"/>
    <s v="Energy"/>
    <x v="2"/>
    <s v="USD"/>
    <n v="44617.77"/>
    <n v="35218.14"/>
    <n v="9399.6299999999992"/>
    <n v="37217.78"/>
    <n v="87486.28"/>
    <n v="199759.66"/>
    <n v="1283"/>
    <n v="-2.1899999999999999E-2"/>
    <n v="0.2107"/>
    <n v="0.438"/>
    <s v="2024Q4"/>
    <x v="3"/>
    <x v="1"/>
  </r>
  <r>
    <s v="TXN-100424"/>
    <n v="45815"/>
    <x v="5"/>
    <s v="Retail"/>
    <x v="1"/>
    <s v="USD"/>
    <n v="118877.43805"/>
    <n v="93358.91"/>
    <n v="25518.52"/>
    <n v="74627.45"/>
    <n v="99154.25"/>
    <n v="91824.07"/>
    <n v="809"/>
    <n v="-0.1351"/>
    <n v="0.2147"/>
    <n v="1.0798000000000001"/>
    <s v="2025Q2"/>
    <x v="0"/>
    <x v="2"/>
  </r>
  <r>
    <s v="TXN-100425"/>
    <n v="44564"/>
    <x v="1"/>
    <s v="Food &amp; Beverage"/>
    <x v="3"/>
    <s v="USD"/>
    <n v="49736.94"/>
    <n v="42792.46"/>
    <n v="6944.48"/>
    <n v="40957.67"/>
    <n v="71293.17"/>
    <n v="173283.99"/>
    <n v="1329"/>
    <n v="-1.3599999999999999E-2"/>
    <n v="0.1396"/>
    <n v="0.41139999999999999"/>
    <s v="2022Q1"/>
    <x v="2"/>
    <x v="1"/>
  </r>
  <r>
    <s v="TXN-100426"/>
    <n v="45635"/>
    <x v="11"/>
    <s v="Financial Services"/>
    <x v="2"/>
    <s v="USD"/>
    <n v="36255.620000000003"/>
    <n v="20891.900000000001"/>
    <n v="15363.72"/>
    <n v="14161.87"/>
    <n v="55697.85"/>
    <n v="59292.54"/>
    <n v="1263"/>
    <n v="-6.7900000000000002E-2"/>
    <n v="0.42380000000000001"/>
    <n v="0.93940000000000001"/>
    <s v="2024Q4"/>
    <x v="3"/>
    <x v="2"/>
  </r>
  <r>
    <s v="TXN-100427"/>
    <n v="44913"/>
    <x v="9"/>
    <s v="Media"/>
    <x v="2"/>
    <s v="USD"/>
    <n v="69038.78"/>
    <n v="39405.949999999997"/>
    <n v="29632.83"/>
    <n v="36012.65"/>
    <n v="31290.73"/>
    <n v="53070.41"/>
    <n v="760"/>
    <n v="-1.7399999999999999E-2"/>
    <n v="0.42920000000000003"/>
    <n v="0.58960000000000001"/>
    <s v="2022Q4"/>
    <x v="2"/>
    <x v="1"/>
  </r>
  <r>
    <s v="TXN-100428"/>
    <n v="45326"/>
    <x v="0"/>
    <s v="Real Estate"/>
    <x v="0"/>
    <s v="USD"/>
    <n v="47278.03"/>
    <n v="32943.300000000003"/>
    <n v="14334.73"/>
    <n v="30017.27"/>
    <n v="3309.68"/>
    <n v="51015.61"/>
    <n v="934"/>
    <n v="9.1899999999999996E-2"/>
    <n v="0.30320000000000003"/>
    <n v="6.4899999999999999E-2"/>
    <s v="2024Q1"/>
    <x v="3"/>
    <x v="0"/>
  </r>
  <r>
    <s v="TXN-100429"/>
    <n v="45318"/>
    <x v="4"/>
    <s v="Energy"/>
    <x v="1"/>
    <s v="USD"/>
    <n v="110840.7403"/>
    <n v="66595.75"/>
    <n v="44244.99"/>
    <n v="69573.67"/>
    <n v="36216.35"/>
    <n v="172520.93"/>
    <n v="615"/>
    <n v="9.2299999999999993E-2"/>
    <n v="0.3992"/>
    <n v="0.2099"/>
    <s v="2024Q1"/>
    <x v="3"/>
    <x v="0"/>
  </r>
  <r>
    <s v="TXN-100430"/>
    <n v="45009"/>
    <x v="9"/>
    <s v="Media"/>
    <x v="1"/>
    <s v="USD"/>
    <n v="62180.896699999998"/>
    <n v="38898.480000000003"/>
    <n v="23282.42"/>
    <n v="33652.79"/>
    <n v="9977.82"/>
    <n v="84112.35"/>
    <n v="1113"/>
    <n v="6.0999999999999999E-2"/>
    <n v="0.37440000000000001"/>
    <n v="0.1186"/>
    <s v="2023Q1"/>
    <x v="1"/>
    <x v="0"/>
  </r>
  <r>
    <s v="TXN-100431"/>
    <n v="44812"/>
    <x v="0"/>
    <s v="Real Estate"/>
    <x v="0"/>
    <s v="USD"/>
    <n v="80589.42"/>
    <n v="72019.460000000006"/>
    <n v="8569.9599999999991"/>
    <n v="26852.799999999999"/>
    <n v="12135.39"/>
    <n v="79106.850000000006"/>
    <n v="337"/>
    <n v="2.3400000000000001E-2"/>
    <n v="0.10630000000000001"/>
    <n v="0.15340000000000001"/>
    <s v="2022Q3"/>
    <x v="2"/>
    <x v="0"/>
  </r>
  <r>
    <s v="TXN-100432"/>
    <n v="44722"/>
    <x v="6"/>
    <s v="Travel"/>
    <x v="0"/>
    <s v="USD"/>
    <n v="49968.45"/>
    <n v="28140.65"/>
    <n v="21827.8"/>
    <n v="41372.629999999997"/>
    <n v="24706.2"/>
    <n v="83974.59"/>
    <n v="693"/>
    <n v="9.1999999999999998E-2"/>
    <n v="0.43680000000000002"/>
    <n v="0.29420000000000002"/>
    <s v="2022Q2"/>
    <x v="2"/>
    <x v="0"/>
  </r>
  <r>
    <s v="TXN-100433"/>
    <n v="44750"/>
    <x v="1"/>
    <s v="Food &amp; Beverage"/>
    <x v="0"/>
    <s v="USD"/>
    <n v="153272.10999999999"/>
    <n v="133413.13"/>
    <n v="19858.98"/>
    <n v="33510.33"/>
    <n v="33586.74"/>
    <n v="92392.33"/>
    <n v="1037"/>
    <n v="9.1999999999999998E-3"/>
    <n v="0.12959999999999999"/>
    <n v="0.36349999999999999"/>
    <s v="2022Q3"/>
    <x v="2"/>
    <x v="1"/>
  </r>
  <r>
    <s v="TXN-100434"/>
    <n v="44754"/>
    <x v="11"/>
    <s v="Financial Services"/>
    <x v="2"/>
    <s v="USD"/>
    <n v="62558.16"/>
    <n v="54380.63"/>
    <n v="8177.53"/>
    <n v="62394.720000000001"/>
    <n v="33002.78"/>
    <n v="78919.12"/>
    <n v="744"/>
    <n v="7.4200000000000002E-2"/>
    <n v="0.13070000000000001"/>
    <n v="0.41820000000000002"/>
    <s v="2022Q3"/>
    <x v="2"/>
    <x v="1"/>
  </r>
  <r>
    <s v="TXN-100435"/>
    <n v="45252"/>
    <x v="7"/>
    <s v="Manufacturing"/>
    <x v="2"/>
    <s v="USD"/>
    <n v="30624.17"/>
    <n v="21694.7"/>
    <n v="8929.4699999999993"/>
    <n v="36747.31"/>
    <n v="13108.11"/>
    <n v="50077.52"/>
    <n v="1011"/>
    <n v="0.13689999999999999"/>
    <n v="0.29160000000000003"/>
    <n v="0.26179999999999998"/>
    <s v="2023Q4"/>
    <x v="1"/>
    <x v="0"/>
  </r>
  <r>
    <s v="TXN-100436"/>
    <n v="44673"/>
    <x v="5"/>
    <s v="Retail"/>
    <x v="3"/>
    <s v="USD"/>
    <n v="152009.81"/>
    <n v="131092.73000000001"/>
    <n v="20917.080000000002"/>
    <n v="14194.42"/>
    <n v="32418.16"/>
    <n v="97773.55"/>
    <n v="582"/>
    <n v="-7.9799999999999996E-2"/>
    <n v="0.1376"/>
    <n v="0.33160000000000001"/>
    <s v="2022Q2"/>
    <x v="2"/>
    <x v="1"/>
  </r>
  <r>
    <s v="TXN-100437"/>
    <n v="45458"/>
    <x v="8"/>
    <s v="Logistics"/>
    <x v="3"/>
    <s v="USD"/>
    <n v="82264.160000000003"/>
    <n v="47615.06"/>
    <n v="34649.1"/>
    <n v="81821.440000000002"/>
    <n v="22871.94"/>
    <n v="152455.23000000001"/>
    <n v="1819"/>
    <n v="1.5100000000000001E-2"/>
    <n v="0.42120000000000002"/>
    <n v="0.15"/>
    <s v="2024Q2"/>
    <x v="3"/>
    <x v="0"/>
  </r>
  <r>
    <s v="TXN-100438"/>
    <n v="45858"/>
    <x v="7"/>
    <s v="Manufacturing"/>
    <x v="1"/>
    <s v="USD"/>
    <n v="55265.531799999997"/>
    <n v="36304.949999999997"/>
    <n v="18960.580000000002"/>
    <n v="20166.580000000002"/>
    <n v="10143.31"/>
    <n v="40811.019999999997"/>
    <n v="519"/>
    <n v="2.1999999999999999E-2"/>
    <n v="0.34310000000000002"/>
    <n v="0.2485"/>
    <s v="2025Q3"/>
    <x v="0"/>
    <x v="0"/>
  </r>
  <r>
    <s v="TXN-100439"/>
    <n v="44995"/>
    <x v="2"/>
    <s v="Healthcare"/>
    <x v="0"/>
    <s v="USD"/>
    <n v="74799.31"/>
    <n v="63181.71"/>
    <n v="11617.6"/>
    <n v="8283.7199999999993"/>
    <n v="50630.16"/>
    <n v="167082.81"/>
    <n v="966"/>
    <n v="-7.9699999999999993E-2"/>
    <n v="0.15529999999999999"/>
    <n v="0.30299999999999999"/>
    <s v="2023Q1"/>
    <x v="1"/>
    <x v="1"/>
  </r>
  <r>
    <s v="TXN-100440"/>
    <n v="45463"/>
    <x v="10"/>
    <s v="Technology"/>
    <x v="0"/>
    <s v="USD"/>
    <n v="52718.53"/>
    <n v="34339.56"/>
    <n v="18378.97"/>
    <n v="30753.63"/>
    <n v="19806.12"/>
    <n v="85321.65"/>
    <n v="750"/>
    <n v="-7.8799999999999995E-2"/>
    <n v="0.34860000000000002"/>
    <n v="0.2321"/>
    <s v="2024Q2"/>
    <x v="3"/>
    <x v="0"/>
  </r>
  <r>
    <s v="TXN-100441"/>
    <n v="45715"/>
    <x v="9"/>
    <s v="Media"/>
    <x v="0"/>
    <s v="USD"/>
    <n v="56391.040000000001"/>
    <n v="51488.7"/>
    <n v="4902.34"/>
    <n v="39676.18"/>
    <n v="77020.27"/>
    <n v="78854.02"/>
    <n v="1538"/>
    <n v="-0.1007"/>
    <n v="8.6900000000000005E-2"/>
    <n v="0.97670000000000001"/>
    <s v="2025Q1"/>
    <x v="0"/>
    <x v="2"/>
  </r>
  <r>
    <s v="TXN-100442"/>
    <n v="44730"/>
    <x v="0"/>
    <s v="Real Estate"/>
    <x v="0"/>
    <s v="USD"/>
    <n v="215550.24"/>
    <n v="184424.39"/>
    <n v="31125.85"/>
    <n v="38077.65"/>
    <n v="39216.730000000003"/>
    <n v="108605.28"/>
    <n v="1003"/>
    <n v="0.1062"/>
    <n v="0.1444"/>
    <n v="0.36109999999999998"/>
    <s v="2022Q2"/>
    <x v="2"/>
    <x v="1"/>
  </r>
  <r>
    <s v="TXN-100443"/>
    <n v="45688"/>
    <x v="4"/>
    <s v="Energy"/>
    <x v="0"/>
    <s v="USD"/>
    <n v="153368.32000000001"/>
    <n v="123440.01"/>
    <n v="29928.31"/>
    <n v="44029.64"/>
    <n v="7661.64"/>
    <n v="119908.25"/>
    <n v="1104"/>
    <n v="4.4999999999999997E-3"/>
    <n v="0.1951"/>
    <n v="6.3899999999999998E-2"/>
    <s v="2025Q1"/>
    <x v="0"/>
    <x v="0"/>
  </r>
  <r>
    <s v="TXN-100444"/>
    <n v="44617"/>
    <x v="7"/>
    <s v="Manufacturing"/>
    <x v="1"/>
    <s v="USD"/>
    <n v="136794.10034999999"/>
    <n v="113668.38"/>
    <n v="23125.73"/>
    <n v="217213.56"/>
    <n v="15133.02"/>
    <n v="326010.53999999998"/>
    <n v="333"/>
    <n v="-0.16239999999999999"/>
    <n v="0.1691"/>
    <n v="4.6399999999999997E-2"/>
    <s v="2022Q1"/>
    <x v="2"/>
    <x v="0"/>
  </r>
  <r>
    <s v="TXN-100445"/>
    <n v="44574"/>
    <x v="4"/>
    <s v="Energy"/>
    <x v="1"/>
    <s v="USD"/>
    <n v="194433.5263"/>
    <n v="108762.03"/>
    <n v="85671.5"/>
    <n v="1.1499999999999999"/>
    <n v="12675.7"/>
    <n v="179390.04"/>
    <n v="957"/>
    <n v="-3.3300000000000003E-2"/>
    <n v="0.44059999999999999"/>
    <n v="7.0699999999999999E-2"/>
    <s v="2022Q1"/>
    <x v="2"/>
    <x v="0"/>
  </r>
  <r>
    <s v="TXN-100446"/>
    <n v="44602"/>
    <x v="6"/>
    <s v="Travel"/>
    <x v="2"/>
    <s v="USD"/>
    <n v="51610.9"/>
    <n v="45779.16"/>
    <n v="5831.74"/>
    <n v="27314.52"/>
    <n v="26751.99"/>
    <n v="78248.87"/>
    <n v="759"/>
    <n v="-4.4600000000000001E-2"/>
    <n v="0.113"/>
    <n v="0.34189999999999998"/>
    <s v="2022Q1"/>
    <x v="2"/>
    <x v="1"/>
  </r>
  <r>
    <s v="TXN-100447"/>
    <n v="45379"/>
    <x v="5"/>
    <s v="Retail"/>
    <x v="2"/>
    <s v="USD"/>
    <n v="90011.35"/>
    <n v="78963.100000000006"/>
    <n v="11048.25"/>
    <n v="104561.65"/>
    <n v="92614.94"/>
    <n v="470662.08"/>
    <n v="726"/>
    <n v="-2.2200000000000001E-2"/>
    <n v="0.1227"/>
    <n v="0.1968"/>
    <s v="2024Q1"/>
    <x v="3"/>
    <x v="0"/>
  </r>
  <r>
    <s v="TXN-100448"/>
    <n v="44634"/>
    <x v="1"/>
    <s v="Food &amp; Beverage"/>
    <x v="2"/>
    <s v="USD"/>
    <n v="83773.020450000011"/>
    <n v="64149.79"/>
    <n v="19623.23"/>
    <n v="33275.96"/>
    <n v="18718.77"/>
    <n v="107748.16"/>
    <n v="894"/>
    <n v="-0.13919999999999999"/>
    <n v="0.23419999999999999"/>
    <n v="0.17369999999999999"/>
    <s v="2022Q1"/>
    <x v="2"/>
    <x v="0"/>
  </r>
  <r>
    <s v="TXN-100449"/>
    <n v="45092"/>
    <x v="3"/>
    <s v="Telecommunications"/>
    <x v="2"/>
    <s v="USD"/>
    <n v="71872.62"/>
    <n v="57916.68"/>
    <n v="13955.94"/>
    <n v="17827.580000000002"/>
    <n v="48194.85"/>
    <n v="38819.17"/>
    <n v="738"/>
    <n v="4.4699999999999997E-2"/>
    <n v="0.19420000000000001"/>
    <n v="1.2415"/>
    <s v="2023Q2"/>
    <x v="1"/>
    <x v="2"/>
  </r>
  <r>
    <s v="TXN-100450"/>
    <n v="44834"/>
    <x v="5"/>
    <s v="Retail"/>
    <x v="3"/>
    <s v="USD"/>
    <n v="49427.55"/>
    <n v="32894.58"/>
    <n v="16532.97"/>
    <n v="9652.85"/>
    <n v="53768.7"/>
    <n v="107699.51"/>
    <n v="1102"/>
    <n v="0.1085"/>
    <n v="0.33450000000000002"/>
    <n v="0.49919999999999998"/>
    <s v="2022Q3"/>
    <x v="2"/>
    <x v="1"/>
  </r>
  <r>
    <s v="TXN-100451"/>
    <n v="45774"/>
    <x v="4"/>
    <s v="Energy"/>
    <x v="0"/>
    <s v="USD"/>
    <n v="57941.05"/>
    <n v="32296.84"/>
    <n v="25644.21"/>
    <n v="102315.25"/>
    <n v="23694.7"/>
    <n v="140005.20000000001"/>
    <s v="null"/>
    <n v="0.19009999999999999"/>
    <n v="0.44259999999999999"/>
    <n v="0.16919999999999999"/>
    <s v="2025Q2"/>
    <x v="0"/>
    <x v="0"/>
  </r>
  <r>
    <s v="TXN-100452"/>
    <n v="45921"/>
    <x v="10"/>
    <s v="Technology"/>
    <x v="0"/>
    <s v="USD"/>
    <n v="34827.449999999997"/>
    <n v="20609.21"/>
    <n v="14218.24"/>
    <n v="52049.06"/>
    <n v="19523.39"/>
    <n v="449687.09"/>
    <n v="867"/>
    <n v="-1.2699999999999999E-2"/>
    <n v="0.40820000000000001"/>
    <n v="4.3400000000000001E-2"/>
    <s v="2025Q3"/>
    <x v="0"/>
    <x v="0"/>
  </r>
  <r>
    <s v="TXN-100453"/>
    <n v="45020"/>
    <x v="2"/>
    <s v="Healthcare"/>
    <x v="3"/>
    <s v="USD"/>
    <n v="162372.54"/>
    <n v="107308.34"/>
    <n v="55064.2"/>
    <n v="45163.96"/>
    <n v="27830.33"/>
    <n v="135555.99"/>
    <n v="1789"/>
    <n v="8.5300000000000001E-2"/>
    <n v="0.33910000000000001"/>
    <n v="0.20530000000000001"/>
    <s v="2023Q2"/>
    <x v="1"/>
    <x v="0"/>
  </r>
  <r>
    <s v="TXN-100454"/>
    <n v="45485"/>
    <x v="3"/>
    <s v="Telecommunications"/>
    <x v="2"/>
    <s v="USD"/>
    <n v="48609.85"/>
    <n v="27132.65"/>
    <n v="21477.200000000001"/>
    <n v="30631.47"/>
    <n v="8898.6200000000008"/>
    <n v="55325.64"/>
    <n v="570"/>
    <n v="-1.35E-2"/>
    <n v="0.44180000000000003"/>
    <n v="0.1608"/>
    <s v="2024Q3"/>
    <x v="3"/>
    <x v="0"/>
  </r>
  <r>
    <s v="TXN-100455"/>
    <n v="45119"/>
    <x v="8"/>
    <s v="Logistics"/>
    <x v="2"/>
    <s v="USD"/>
    <n v="196254.38"/>
    <n v="163834.38"/>
    <n v="32420"/>
    <n v="52097.63"/>
    <n v="28227.98"/>
    <n v="132213.88"/>
    <n v="1575"/>
    <n v="-0.09"/>
    <n v="0.16520000000000001"/>
    <n v="0.2135"/>
    <s v="2023Q3"/>
    <x v="1"/>
    <x v="0"/>
  </r>
  <r>
    <s v="TXN-100456"/>
    <n v="45941"/>
    <x v="10"/>
    <s v="Technology"/>
    <x v="1"/>
    <s v="USD"/>
    <n v="66720.604149999999"/>
    <n v="56834.33"/>
    <n v="9886.27"/>
    <n v="21907.98"/>
    <n v="8257.9500000000007"/>
    <n v="233955.06"/>
    <n v="1516"/>
    <n v="3.5000000000000001E-3"/>
    <n v="0.1482"/>
    <n v="3.5299999999999998E-2"/>
    <s v="2025Q4"/>
    <x v="0"/>
    <x v="0"/>
  </r>
  <r>
    <s v="TXN-100457"/>
    <n v="45126"/>
    <x v="10"/>
    <s v="Technology"/>
    <x v="2"/>
    <s v="USD"/>
    <n v="77888.27"/>
    <n v="67263.73"/>
    <n v="10624.54"/>
    <n v="29702.85"/>
    <n v="21504.240000000002"/>
    <n v="52644.91"/>
    <n v="1132"/>
    <n v="-5.2600000000000001E-2"/>
    <n v="0.13639999999999999"/>
    <n v="0.40849999999999997"/>
    <s v="2023Q3"/>
    <x v="1"/>
    <x v="1"/>
  </r>
  <r>
    <s v="TXN-100458"/>
    <n v="45972"/>
    <x v="1"/>
    <s v="Food &amp; Beverage"/>
    <x v="2"/>
    <s v="USD"/>
    <n v="50140.21"/>
    <n v="28346.97"/>
    <n v="21793.24"/>
    <n v="21418.93"/>
    <n v="44538.93"/>
    <n v="36072.82"/>
    <n v="1080"/>
    <n v="7.5999999999999998E-2"/>
    <n v="0.43459999999999999"/>
    <n v="1.2346999999999999"/>
    <s v="2025Q4"/>
    <x v="0"/>
    <x v="2"/>
  </r>
  <r>
    <s v="TXN-100459"/>
    <n v="45599"/>
    <x v="2"/>
    <s v="Healthcare"/>
    <x v="2"/>
    <s v="USD"/>
    <n v="39494.65"/>
    <n v="23076.9"/>
    <n v="16417.75"/>
    <n v="50202.54"/>
    <n v="76990.399999999994"/>
    <n v="116291.17"/>
    <n v="951"/>
    <n v="-3.2000000000000002E-3"/>
    <n v="0.41570000000000001"/>
    <n v="0.66200000000000003"/>
    <s v="2024Q4"/>
    <x v="3"/>
    <x v="2"/>
  </r>
  <r>
    <s v="TXN-100460"/>
    <n v="45432"/>
    <x v="2"/>
    <s v="Healthcare"/>
    <x v="1"/>
    <s v="USD"/>
    <n v="39647.880649999999"/>
    <n v="27376.97"/>
    <n v="12270.91"/>
    <n v="47956.52"/>
    <n v="40678.46"/>
    <n v="121118.26"/>
    <n v="1053"/>
    <n v="2.4400000000000002E-2"/>
    <n v="0.3095"/>
    <n v="0.33589999999999998"/>
    <s v="2024Q2"/>
    <x v="3"/>
    <x v="1"/>
  </r>
  <r>
    <s v="TXN-100461"/>
    <d v="2024-02-13T00:00:00"/>
    <x v="5"/>
    <s v="Retail"/>
    <x v="0"/>
    <s v="USD"/>
    <n v="105795.9"/>
    <n v="82589.62"/>
    <n v="23206.28"/>
    <n v="15760.17"/>
    <n v="22037.67"/>
    <n v="406670.62"/>
    <n v="355"/>
    <n v="3.6700000000000003E-2"/>
    <n v="0.21929999999999999"/>
    <n v="5.4199999999999998E-2"/>
    <s v="2024Q1"/>
    <x v="3"/>
    <x v="0"/>
  </r>
  <r>
    <s v="TXN-100462"/>
    <n v="45030"/>
    <x v="1"/>
    <s v="Food &amp; Beverage"/>
    <x v="0"/>
    <s v="USD"/>
    <n v="52091.68"/>
    <n v="30288.06"/>
    <n v="21803.62"/>
    <n v="46855.06"/>
    <n v="125336.4"/>
    <n v="80346.28"/>
    <n v="419"/>
    <n v="-2.53E-2"/>
    <n v="0.41860000000000003"/>
    <n v="1.56"/>
    <s v="2023Q2"/>
    <x v="1"/>
    <x v="2"/>
  </r>
  <r>
    <s v="TXN-100463"/>
    <n v="45039"/>
    <x v="1"/>
    <s v="Food &amp; Beverage"/>
    <x v="2"/>
    <s v="USD"/>
    <n v="19104.82"/>
    <n v="15718.28"/>
    <n v="3386.54"/>
    <n v="33520.76"/>
    <n v="26270.63"/>
    <n v="73272.81"/>
    <n v="1174"/>
    <n v="-7.4000000000000003E-3"/>
    <n v="0.17730000000000001"/>
    <n v="0.35849999999999999"/>
    <s v="2023Q2"/>
    <x v="1"/>
    <x v="1"/>
  </r>
  <r>
    <s v="TXN-100464"/>
    <n v="45636"/>
    <x v="7"/>
    <s v="Manufacturing"/>
    <x v="2"/>
    <s v="USD"/>
    <n v="68256.12"/>
    <n v="39697.699999999997"/>
    <n v="28558.42"/>
    <n v="108364.49"/>
    <n v="27293.759999999998"/>
    <n v="193710.82"/>
    <n v="485"/>
    <n v="5.4399999999999997E-2"/>
    <n v="0.41839999999999999"/>
    <n v="0.1409"/>
    <s v="2024Q4"/>
    <x v="3"/>
    <x v="0"/>
  </r>
  <r>
    <s v="TXN-100465"/>
    <n v="45603"/>
    <x v="11"/>
    <s v="Financial Services"/>
    <x v="1"/>
    <s v="USD"/>
    <n v="60963.257899999997"/>
    <n v="37927.35"/>
    <n v="23035.91"/>
    <n v="58614.27"/>
    <n v="108631.45"/>
    <n v="128666.59"/>
    <n v="946"/>
    <n v="-4.0599999999999997E-2"/>
    <n v="0.37790000000000001"/>
    <n v="0.84430000000000005"/>
    <s v="2024Q4"/>
    <x v="3"/>
    <x v="2"/>
  </r>
  <r>
    <s v="TXN-100466"/>
    <n v="44618"/>
    <x v="6"/>
    <s v="Travel"/>
    <x v="0"/>
    <s v="USD"/>
    <n v="157220.42000000001"/>
    <n v="101735.94"/>
    <n v="55484.480000000003"/>
    <n v="28316.36"/>
    <n v="17780.29"/>
    <n v="84362.559999999998"/>
    <n v="2383"/>
    <n v="-9.6799999999999997E-2"/>
    <n v="0.35289999999999999"/>
    <n v="0.21079999999999999"/>
    <s v="2022Q1"/>
    <x v="2"/>
    <x v="0"/>
  </r>
  <r>
    <s v="TXN-100467"/>
    <n v="44649"/>
    <x v="10"/>
    <s v="Technology"/>
    <x v="0"/>
    <s v="USD"/>
    <n v="130608.86"/>
    <n v="83015.289999999994"/>
    <n v="47593.57"/>
    <n v="39745.699999999997"/>
    <n v="31219.89"/>
    <n v="172392.37"/>
    <n v="394"/>
    <n v="2.06E-2"/>
    <n v="0.3644"/>
    <n v="0.18110000000000001"/>
    <s v="2022Q1"/>
    <x v="2"/>
    <x v="0"/>
  </r>
  <r>
    <s v="TXN-100468"/>
    <n v="45476"/>
    <x v="9"/>
    <s v="Media"/>
    <x v="2"/>
    <s v="USD"/>
    <n v="34803.71"/>
    <n v="21736.37"/>
    <n v="13067.34"/>
    <n v="66519.820000000007"/>
    <n v="14795.78"/>
    <n v="106713.98"/>
    <n v="830"/>
    <n v="-5.4600000000000003E-2"/>
    <n v="0.3755"/>
    <n v="0.1386"/>
    <s v="2024Q3"/>
    <x v="3"/>
    <x v="0"/>
  </r>
  <r>
    <s v="TXN-100469"/>
    <n v="44618"/>
    <x v="9"/>
    <s v="Media"/>
    <x v="1"/>
    <s v="USD"/>
    <n v="37500.524749999997"/>
    <n v="21511.63"/>
    <n v="15988.89"/>
    <n v="1.1499999999999999"/>
    <n v="13154.09"/>
    <n v="83231.61"/>
    <n v="584"/>
    <n v="1.2800000000000001E-2"/>
    <n v="0.4264"/>
    <n v="0.158"/>
    <s v="2022Q1"/>
    <x v="2"/>
    <x v="0"/>
  </r>
  <r>
    <s v="TXN-100470"/>
    <n v="45693"/>
    <x v="3"/>
    <s v="Telecommunications"/>
    <x v="3"/>
    <s v="USD"/>
    <n v="68334.990000000005"/>
    <n v="52835.85"/>
    <n v="15499.14"/>
    <n v="0"/>
    <n v="32475.93"/>
    <n v="83205.91"/>
    <n v="949"/>
    <n v="6.3200000000000006E-2"/>
    <n v="0.2268"/>
    <n v="0.39029999999999998"/>
    <s v="2025Q1"/>
    <x v="0"/>
    <x v="1"/>
  </r>
  <r>
    <s v="TXN-100471"/>
    <n v="45773"/>
    <x v="0"/>
    <s v="Real Estate"/>
    <x v="1"/>
    <s v="USD"/>
    <n v="61999.116499999996"/>
    <n v="46425.94"/>
    <n v="15573.18"/>
    <n v="50182.34"/>
    <n v="50304.61"/>
    <n v="86113.18"/>
    <n v="594"/>
    <n v="-7.5399999999999995E-2"/>
    <n v="0.25119999999999998"/>
    <n v="0.58420000000000005"/>
    <s v="2025Q2"/>
    <x v="0"/>
    <x v="1"/>
  </r>
  <r>
    <s v="TXN-100472"/>
    <n v="45625"/>
    <x v="7"/>
    <s v="Manufacturing"/>
    <x v="1"/>
    <s v="USD"/>
    <n v="29365.986750000004"/>
    <n v="22947.37"/>
    <n v="6418.62"/>
    <n v="21807.78"/>
    <n v="22678.77"/>
    <n v="53228.31"/>
    <n v="1211"/>
    <n v="-6.4100000000000004E-2"/>
    <n v="0.21859999999999999"/>
    <n v="0.42609999999999998"/>
    <s v="2024Q4"/>
    <x v="3"/>
    <x v="1"/>
  </r>
  <r>
    <s v="TXN-100473"/>
    <n v="45057"/>
    <x v="1"/>
    <s v="Food &amp; Beverage"/>
    <x v="3"/>
    <s v="USD"/>
    <n v="57479"/>
    <n v="49632.52"/>
    <n v="7846.48"/>
    <n v="10693.31"/>
    <n v="37003.03"/>
    <n v="93803.56"/>
    <n v="454"/>
    <n v="-5.7500000000000002E-2"/>
    <n v="0.13650000000000001"/>
    <n v="0.39450000000000002"/>
    <s v="2023Q2"/>
    <x v="1"/>
    <x v="1"/>
  </r>
  <r>
    <s v="TXN-100474"/>
    <n v="45085"/>
    <x v="5"/>
    <s v="Retail"/>
    <x v="2"/>
    <s v="USD"/>
    <n v="221437.45"/>
    <n v="172685.55"/>
    <n v="48751.9"/>
    <n v="13907.37"/>
    <n v="22349.05"/>
    <n v="36052.03"/>
    <n v="1660"/>
    <n v="6.1000000000000004E-3"/>
    <n v="0.22020000000000001"/>
    <n v="0.61990000000000001"/>
    <s v="2023Q2"/>
    <x v="1"/>
    <x v="2"/>
  </r>
  <r>
    <s v="TXN-100475"/>
    <n v="45397"/>
    <x v="6"/>
    <s v="Travel"/>
    <x v="3"/>
    <s v="USD"/>
    <n v="32453.81"/>
    <n v="25384.17"/>
    <n v="7069.64"/>
    <n v="48761.88"/>
    <n v="13488.22"/>
    <n v="66488.11"/>
    <n v="643"/>
    <n v="-3.8300000000000001E-2"/>
    <n v="0.21779999999999999"/>
    <n v="0.2029"/>
    <s v="2024Q2"/>
    <x v="3"/>
    <x v="0"/>
  </r>
  <r>
    <s v="TXN-100476"/>
    <n v="45409"/>
    <x v="10"/>
    <s v="Technology"/>
    <x v="3"/>
    <s v="USD"/>
    <n v="160797.82999999999"/>
    <n v="114291.31"/>
    <n v="46506.52"/>
    <n v="23267.17"/>
    <n v="22918.92"/>
    <n v="94512.29"/>
    <n v="1503"/>
    <n v="-4.8300000000000003E-2"/>
    <n v="0.28920000000000001"/>
    <n v="0.24249999999999999"/>
    <s v="2024Q2"/>
    <x v="3"/>
    <x v="0"/>
  </r>
  <r>
    <s v="TXN-100477"/>
    <n v="45840"/>
    <x v="4"/>
    <s v="Energy"/>
    <x v="1"/>
    <s v="USD"/>
    <n v="241511.41500000001"/>
    <n v="153234.78"/>
    <n v="88276.64"/>
    <n v="28984.94"/>
    <n v="27424.81"/>
    <n v="82890.289999999994"/>
    <n v="506"/>
    <n v="2.5999999999999999E-3"/>
    <n v="0.36549999999999999"/>
    <n v="0.33090000000000003"/>
    <s v="2025Q3"/>
    <x v="0"/>
    <x v="1"/>
  </r>
  <r>
    <s v="TXN-100478"/>
    <n v="44812"/>
    <x v="7"/>
    <s v="Manufacturing"/>
    <x v="2"/>
    <s v="USD"/>
    <n v="79042.36"/>
    <n v="69336.509999999995"/>
    <n v="9705.85"/>
    <n v="21061.54"/>
    <n v="34411.339999999997"/>
    <n v="47388.81"/>
    <n v="604"/>
    <n v="0.1449"/>
    <n v="0.12280000000000001"/>
    <n v="0.72609999999999997"/>
    <s v="2022Q3"/>
    <x v="2"/>
    <x v="2"/>
  </r>
  <r>
    <s v="TXN-100479"/>
    <n v="45397"/>
    <x v="5"/>
    <s v="Retail"/>
    <x v="2"/>
    <s v="USD"/>
    <n v="62443.05"/>
    <n v="50325.13"/>
    <n v="12117.92"/>
    <n v="32912.29"/>
    <n v="21473.14"/>
    <n v="97377.04"/>
    <n v="962"/>
    <n v="6.7999999999999996E-3"/>
    <n v="0.19409999999999999"/>
    <n v="0.2205"/>
    <s v="2024Q2"/>
    <x v="3"/>
    <x v="0"/>
  </r>
  <r>
    <s v="TXN-100480"/>
    <n v="45250"/>
    <x v="2"/>
    <s v="Healthcare"/>
    <x v="1"/>
    <s v="USD"/>
    <n v="125201.628"/>
    <n v="105818.87"/>
    <n v="19382.75"/>
    <n v="118451.21"/>
    <n v="27745.11"/>
    <n v="275468.49"/>
    <n v="310"/>
    <n v="-2.86E-2"/>
    <n v="0.15479999999999999"/>
    <n v="0.1007"/>
    <s v="2023Q4"/>
    <x v="1"/>
    <x v="0"/>
  </r>
  <r>
    <s v="TXN-100481"/>
    <n v="45954"/>
    <x v="4"/>
    <s v="Energy"/>
    <x v="0"/>
    <s v="USD"/>
    <n v="44454.59"/>
    <s v="null"/>
    <s v="null"/>
    <n v="32075.08"/>
    <n v="59404.959999999999"/>
    <n v="82951.34"/>
    <n v="1137"/>
    <n v="-2.58E-2"/>
    <s v="null"/>
    <n v="0.71609999999999996"/>
    <s v="2025Q4"/>
    <x v="0"/>
    <x v="2"/>
  </r>
  <r>
    <s v="TXN-100482"/>
    <n v="44712"/>
    <x v="1"/>
    <s v="Food &amp; Beverage"/>
    <x v="2"/>
    <s v="USD"/>
    <n v="73742.8"/>
    <n v="48495.07"/>
    <n v="25247.73"/>
    <n v="45976.19"/>
    <n v="67301.820000000007"/>
    <n v="101607.98"/>
    <n v="585"/>
    <n v="-3.5299999999999998E-2"/>
    <n v="0.34239999999999998"/>
    <n v="0.66239999999999999"/>
    <s v="2022Q2"/>
    <x v="2"/>
    <x v="2"/>
  </r>
  <r>
    <s v="TXN-100483"/>
    <n v="45381"/>
    <x v="4"/>
    <s v="Energy"/>
    <x v="2"/>
    <s v="USD"/>
    <n v="153592.57999999999"/>
    <n v="84881.8"/>
    <n v="68710.78"/>
    <n v="24112.639999999999"/>
    <n v="5518.6"/>
    <n v="65210.17"/>
    <n v="869"/>
    <n v="-3.8199999999999998E-2"/>
    <n v="0.44740000000000002"/>
    <n v="8.4599999999999995E-2"/>
    <s v="2024Q1"/>
    <x v="3"/>
    <x v="0"/>
  </r>
  <r>
    <s v="TXN-100484"/>
    <n v="45713"/>
    <x v="7"/>
    <s v="Manufacturing"/>
    <x v="0"/>
    <s v="USD"/>
    <n v="38874.78"/>
    <n v="24032.06"/>
    <n v="14842.72"/>
    <n v="65357.25"/>
    <n v="18342.810000000001"/>
    <n v="143759.42000000001"/>
    <n v="2583"/>
    <n v="-4.3700000000000003E-2"/>
    <n v="0.38179999999999997"/>
    <n v="0.12759999999999999"/>
    <s v="2025Q1"/>
    <x v="0"/>
    <x v="0"/>
  </r>
  <r>
    <s v="TXN-100485"/>
    <n v="44708"/>
    <x v="10"/>
    <s v="Technology"/>
    <x v="1"/>
    <s v="USD"/>
    <n v="108301.46234999999"/>
    <n v="76910.36"/>
    <n v="31391.1"/>
    <n v="45246.93"/>
    <n v="7855.03"/>
    <n v="540921.96"/>
    <n v="1342"/>
    <n v="-9.1999999999999998E-3"/>
    <n v="0.2898"/>
    <n v="1.4500000000000001E-2"/>
    <s v="2022Q2"/>
    <x v="2"/>
    <x v="0"/>
  </r>
  <r>
    <s v="TXN-100486"/>
    <d v="2022-08-07T00:00:00"/>
    <x v="5"/>
    <s v="Retail"/>
    <x v="0"/>
    <s v="USD"/>
    <n v="113569.25"/>
    <n v="102889.39"/>
    <n v="10679.86"/>
    <n v="37338.14"/>
    <n v="2425.75"/>
    <n v="129231.54"/>
    <n v="1001"/>
    <n v="-7.1800000000000003E-2"/>
    <n v="9.4E-2"/>
    <n v="1.8800000000000001E-2"/>
    <s v="2022Q3"/>
    <x v="2"/>
    <x v="0"/>
  </r>
  <r>
    <s v="TXN-100487"/>
    <n v="44580"/>
    <x v="10"/>
    <s v="Technology"/>
    <x v="3"/>
    <s v="USD"/>
    <n v="78578.070000000007"/>
    <n v="45618.63"/>
    <n v="32959.440000000002"/>
    <n v="21196.240000000002"/>
    <n v="22829.69"/>
    <n v="46034.31"/>
    <n v="416"/>
    <n v="1.55E-2"/>
    <n v="0.4194"/>
    <n v="0.49590000000000001"/>
    <s v="2022Q1"/>
    <x v="2"/>
    <x v="1"/>
  </r>
  <r>
    <s v="TXN-100488"/>
    <n v="45769"/>
    <x v="4"/>
    <s v="Energy"/>
    <x v="2"/>
    <s v="USD"/>
    <n v="122835.15"/>
    <n v="108899.53"/>
    <n v="13935.62"/>
    <n v="8941.5499999999993"/>
    <n v="20819.18"/>
    <n v="69938.100000000006"/>
    <n v="770"/>
    <n v="-0.1132"/>
    <n v="0.1134"/>
    <n v="0.29770000000000002"/>
    <s v="2025Q2"/>
    <x v="0"/>
    <x v="0"/>
  </r>
  <r>
    <s v="TXN-100489"/>
    <n v="45398"/>
    <x v="4"/>
    <s v="Energy"/>
    <x v="0"/>
    <s v="USD"/>
    <n v="266310.21000000002"/>
    <n v="186440.78"/>
    <n v="79869.429999999993"/>
    <n v="162161.74"/>
    <n v="26783.78"/>
    <n v="307074.11"/>
    <n v="483"/>
    <n v="4.9000000000000002E-2"/>
    <n v="0.2999"/>
    <n v="8.72E-2"/>
    <s v="2024Q2"/>
    <x v="3"/>
    <x v="0"/>
  </r>
  <r>
    <s v="TXN-100490"/>
    <n v="45731"/>
    <x v="2"/>
    <s v="Healthcare"/>
    <x v="2"/>
    <s v="USD"/>
    <n v="86888.34"/>
    <n v="52074.87"/>
    <n v="34813.47"/>
    <n v="20901.560000000001"/>
    <n v="34508.5"/>
    <n v="98468.87"/>
    <n v="872"/>
    <n v="-3.3E-3"/>
    <n v="0.4007"/>
    <n v="0.35049999999999998"/>
    <s v="2025Q1"/>
    <x v="0"/>
    <x v="1"/>
  </r>
  <r>
    <s v="TXN-100491"/>
    <n v="45796"/>
    <x v="2"/>
    <s v="Healthcare"/>
    <x v="1"/>
    <s v="USD"/>
    <n v="190394.42430000001"/>
    <n v="117925.85"/>
    <n v="72468.570000000007"/>
    <n v="18730.599999999999"/>
    <n v="16019.75"/>
    <n v="141399.46"/>
    <n v="785"/>
    <n v="-1.52E-2"/>
    <n v="0.38059999999999999"/>
    <n v="0.1133"/>
    <s v="2025Q2"/>
    <x v="0"/>
    <x v="0"/>
  </r>
  <r>
    <s v="TXN-100492"/>
    <n v="45731"/>
    <x v="0"/>
    <s v="Real Estate"/>
    <x v="1"/>
    <s v="USD"/>
    <n v="157513.05854999999"/>
    <n v="137482.5"/>
    <n v="20030.560000000001"/>
    <n v="93695.74"/>
    <n v="24058.93"/>
    <n v="114589.21"/>
    <n v="989"/>
    <n v="5.3199999999999997E-2"/>
    <n v="0.12720000000000001"/>
    <n v="0.21"/>
    <s v="2025Q1"/>
    <x v="0"/>
    <x v="0"/>
  </r>
  <r>
    <s v="TXN-100493"/>
    <n v="45623"/>
    <x v="4"/>
    <s v="Energy"/>
    <x v="2"/>
    <s v="USD"/>
    <n v="103689.31"/>
    <n v="84581.67"/>
    <n v="19107.64"/>
    <n v="10941.85"/>
    <n v="33055.53"/>
    <n v="39851.47"/>
    <s v="null"/>
    <n v="0.22720000000000001"/>
    <n v="0.18429999999999999"/>
    <n v="0.82950000000000002"/>
    <s v="2024Q4"/>
    <x v="3"/>
    <x v="2"/>
  </r>
  <r>
    <s v="TXN-100494"/>
    <n v="45521"/>
    <x v="4"/>
    <s v="Energy"/>
    <x v="0"/>
    <s v="USD"/>
    <n v="21441.94"/>
    <n v="15966.85"/>
    <n v="5475.09"/>
    <n v="21644.52"/>
    <n v="10970.94"/>
    <n v="141861.98000000001"/>
    <n v="846"/>
    <n v="-2.93E-2"/>
    <n v="0.25530000000000003"/>
    <n v="7.7299999999999994E-2"/>
    <s v="2024Q3"/>
    <x v="3"/>
    <x v="0"/>
  </r>
  <r>
    <s v="TXN-100495"/>
    <d v="2025-10-06T00:00:00"/>
    <x v="5"/>
    <s v="Retail"/>
    <x v="0"/>
    <s v="USD"/>
    <n v="19649.97"/>
    <n v="12205.29"/>
    <n v="7444.68"/>
    <n v="30610.66"/>
    <n v="9351.2000000000007"/>
    <n v="42786.85"/>
    <n v="1022"/>
    <n v="1.34E-2"/>
    <n v="0.37890000000000001"/>
    <n v="0.21859999999999999"/>
    <s v="2025Q4"/>
    <x v="0"/>
    <x v="0"/>
  </r>
  <r>
    <s v="TXN-100496"/>
    <n v="45370"/>
    <x v="4"/>
    <s v="Energy"/>
    <x v="1"/>
    <s v="USD"/>
    <n v="137221.87234999999"/>
    <n v="79969.34"/>
    <n v="57252.53"/>
    <n v="109745.31"/>
    <n v="21360.49"/>
    <n v="188545.52"/>
    <n v="1770"/>
    <n v="5.5399999999999998E-2"/>
    <n v="0.41720000000000002"/>
    <n v="0.1133"/>
    <s v="2024Q1"/>
    <x v="3"/>
    <x v="0"/>
  </r>
  <r>
    <s v="TXN-100497"/>
    <n v="45663"/>
    <x v="8"/>
    <s v="Logistics"/>
    <x v="0"/>
    <s v="USD"/>
    <n v="58910.49"/>
    <s v="null"/>
    <s v="null"/>
    <n v="79805.490000000005"/>
    <n v="31046.84"/>
    <n v="163249.34"/>
    <n v="453"/>
    <n v="3.3E-3"/>
    <s v="null"/>
    <n v="0.19020000000000001"/>
    <s v="2025Q1"/>
    <x v="0"/>
    <x v="0"/>
  </r>
  <r>
    <s v="TXN-100498"/>
    <n v="45723"/>
    <x v="11"/>
    <s v="Financial Services"/>
    <x v="0"/>
    <s v="USD"/>
    <n v="38560.14"/>
    <n v="24254.75"/>
    <n v="14305.39"/>
    <n v="18868.21"/>
    <n v="100692.54"/>
    <n v="53799.54"/>
    <n v="689"/>
    <n v="-8.3000000000000004E-2"/>
    <n v="0.371"/>
    <n v="1.8715999999999999"/>
    <s v="2025Q1"/>
    <x v="0"/>
    <x v="2"/>
  </r>
  <r>
    <s v="TXN-100499"/>
    <n v="44713"/>
    <x v="11"/>
    <s v="Financial Services"/>
    <x v="0"/>
    <s v="USD"/>
    <n v="34920.660000000003"/>
    <n v="25743.25"/>
    <n v="9177.41"/>
    <n v="17588.830000000002"/>
    <n v="39965.21"/>
    <n v="97412.57"/>
    <n v="746"/>
    <n v="8.5400000000000004E-2"/>
    <n v="0.26279999999999998"/>
    <n v="0.4103"/>
    <s v="2022Q2"/>
    <x v="2"/>
    <x v="1"/>
  </r>
  <r>
    <s v="TXN-100500"/>
    <n v="45826"/>
    <x v="5"/>
    <s v="Retail"/>
    <x v="1"/>
    <s v="USD"/>
    <n v="80855.66"/>
    <n v="44764.62"/>
    <n v="36091.040000000001"/>
    <n v="25962.62"/>
    <n v="6789"/>
    <n v="56081.09"/>
    <n v="1437"/>
    <n v="6.7000000000000004E-2"/>
    <n v="0.44640000000000002"/>
    <n v="0.1211"/>
    <s v="2025Q2"/>
    <x v="0"/>
    <x v="0"/>
  </r>
  <r>
    <s v="TXN-100501"/>
    <n v="44788"/>
    <x v="6"/>
    <s v="Travel"/>
    <x v="0"/>
    <s v="USD"/>
    <n v="153461.29999999999"/>
    <n v="110407.18"/>
    <n v="43054.12"/>
    <n v="188944.23"/>
    <n v="9436.0300000000007"/>
    <n v="202659.73"/>
    <n v="952"/>
    <n v="-0.1181"/>
    <n v="0.28060000000000002"/>
    <n v="4.6600000000000003E-2"/>
    <s v="2022Q3"/>
    <x v="2"/>
    <x v="0"/>
  </r>
  <r>
    <s v="TXN-100502"/>
    <n v="45701"/>
    <x v="0"/>
    <s v="Real Estate"/>
    <x v="2"/>
    <s v="USD"/>
    <n v="47808.85"/>
    <n v="30413.97"/>
    <n v="17394.88"/>
    <n v="33493.93"/>
    <n v="5581.75"/>
    <n v="89760.42"/>
    <n v="904"/>
    <n v="-9.0800000000000006E-2"/>
    <n v="0.36380000000000001"/>
    <n v="6.2199999999999998E-2"/>
    <s v="2025Q1"/>
    <x v="0"/>
    <x v="0"/>
  </r>
  <r>
    <s v="TXN-100503"/>
    <n v="45025"/>
    <x v="9"/>
    <s v="Media"/>
    <x v="2"/>
    <s v="USD"/>
    <n v="35783.040000000001"/>
    <n v="31963.77"/>
    <n v="3819.27"/>
    <n v="30467.13"/>
    <n v="37174.199999999997"/>
    <n v="132894.01999999999"/>
    <n v="994"/>
    <n v="-1.43E-2"/>
    <n v="0.1067"/>
    <n v="0.2797"/>
    <s v="2023Q2"/>
    <x v="1"/>
    <x v="0"/>
  </r>
  <r>
    <s v="TXN-100504"/>
    <n v="45920"/>
    <x v="8"/>
    <s v="Logistics"/>
    <x v="0"/>
    <s v="USD"/>
    <n v="143319.79999999999"/>
    <n v="109441.98"/>
    <n v="33877.82"/>
    <n v="44886.63"/>
    <n v="16692.2"/>
    <n v="333676.46999999997"/>
    <n v="708"/>
    <n v="1.24E-2"/>
    <n v="0.2364"/>
    <n v="0.05"/>
    <s v="2025Q3"/>
    <x v="0"/>
    <x v="0"/>
  </r>
  <r>
    <s v="TXN-100505"/>
    <n v="45040"/>
    <x v="10"/>
    <s v="Technology"/>
    <x v="2"/>
    <s v="USD"/>
    <n v="37136.269999999997"/>
    <n v="26360.95"/>
    <n v="10775.32"/>
    <n v="0"/>
    <n v="31357.05"/>
    <n v="48096.95"/>
    <n v="3610"/>
    <n v="-9.98E-2"/>
    <n v="0.29020000000000001"/>
    <n v="0.65200000000000002"/>
    <s v="2023Q2"/>
    <x v="1"/>
    <x v="2"/>
  </r>
  <r>
    <s v="TXN-100506"/>
    <n v="45960"/>
    <x v="9"/>
    <s v="Media"/>
    <x v="2"/>
    <s v="USD"/>
    <n v="36960.81"/>
    <n v="30479.75"/>
    <n v="6481.06"/>
    <n v="28927.54"/>
    <n v="8926.02"/>
    <n v="162622"/>
    <n v="502"/>
    <n v="5.1900000000000002E-2"/>
    <n v="0.17530000000000001"/>
    <n v="5.4899999999999997E-2"/>
    <s v="2025Q4"/>
    <x v="0"/>
    <x v="0"/>
  </r>
  <r>
    <s v="TXN-100507"/>
    <n v="45126"/>
    <x v="0"/>
    <s v="Real Estate"/>
    <x v="2"/>
    <s v="USD"/>
    <n v="60012.26"/>
    <n v="51239.83"/>
    <n v="8772.43"/>
    <n v="16504.560000000001"/>
    <n v="25908.13"/>
    <n v="102327.16"/>
    <n v="3117"/>
    <n v="3.0099999999999998E-2"/>
    <n v="0.1462"/>
    <n v="0.25319999999999998"/>
    <s v="2023Q3"/>
    <x v="1"/>
    <x v="0"/>
  </r>
  <r>
    <s v="TXN-100508"/>
    <n v="44740"/>
    <x v="10"/>
    <s v="Technology"/>
    <x v="0"/>
    <s v="USD"/>
    <n v="29947.119999999999"/>
    <n v="25214.44"/>
    <n v="4732.68"/>
    <n v="6068.73"/>
    <n v="101287.06"/>
    <n v="143270.76999999999"/>
    <n v="728"/>
    <n v="-9.4399999999999998E-2"/>
    <n v="0.158"/>
    <n v="0.70699999999999996"/>
    <s v="2022Q2"/>
    <x v="2"/>
    <x v="2"/>
  </r>
  <r>
    <s v="TXN-100509"/>
    <n v="45164"/>
    <x v="10"/>
    <s v="Technology"/>
    <x v="3"/>
    <s v="USD"/>
    <n v="87305.600000000006"/>
    <n v="76422.960000000006"/>
    <n v="10882.64"/>
    <n v="21366.240000000002"/>
    <n v="287934.06"/>
    <n v="155520.17000000001"/>
    <n v="1307"/>
    <n v="-4.7300000000000002E-2"/>
    <n v="0.1246"/>
    <n v="1.8513999999999999"/>
    <s v="2023Q3"/>
    <x v="1"/>
    <x v="2"/>
  </r>
  <r>
    <s v="TXN-100510"/>
    <n v="45264"/>
    <x v="6"/>
    <s v="Travel"/>
    <x v="1"/>
    <s v="USD"/>
    <n v="169147.04859999998"/>
    <n v="136933.78"/>
    <n v="32213.27"/>
    <n v="27335.29"/>
    <n v="18046.88"/>
    <n v="92821.7"/>
    <n v="557"/>
    <n v="-0.1774"/>
    <n v="0.19040000000000001"/>
    <n v="0.19439999999999999"/>
    <s v="2023Q4"/>
    <x v="1"/>
    <x v="0"/>
  </r>
  <r>
    <s v="TXN-100511"/>
    <n v="45237"/>
    <x v="7"/>
    <s v="Manufacturing"/>
    <x v="2"/>
    <s v="USD"/>
    <n v="45000.3"/>
    <n v="40943.53"/>
    <n v="4056.77"/>
    <n v="33877.620000000003"/>
    <n v="20319.18"/>
    <n v="45219.29"/>
    <n v="1662"/>
    <n v="-7.1499999999999994E-2"/>
    <n v="9.01E-2"/>
    <n v="0.44929999999999998"/>
    <s v="2023Q4"/>
    <x v="1"/>
    <x v="1"/>
  </r>
  <r>
    <s v="TXN-100512"/>
    <n v="44797"/>
    <x v="7"/>
    <s v="Manufacturing"/>
    <x v="0"/>
    <s v="USD"/>
    <n v="65630.100000000006"/>
    <n v="52291.85"/>
    <n v="13338.25"/>
    <n v="23650.57"/>
    <n v="37922.74"/>
    <n v="58628.35"/>
    <n v="1473"/>
    <n v="8.6999999999999994E-3"/>
    <n v="0.20319999999999999"/>
    <n v="0.64680000000000004"/>
    <s v="2022Q3"/>
    <x v="2"/>
    <x v="2"/>
  </r>
  <r>
    <s v="TXN-100513"/>
    <n v="44919"/>
    <x v="6"/>
    <s v="Travel"/>
    <x v="0"/>
    <s v="USD"/>
    <n v="89505.72"/>
    <n v="55602.96"/>
    <n v="33902.76"/>
    <n v="10882.68"/>
    <n v="41835.839999999997"/>
    <n v="110607.77"/>
    <n v="375"/>
    <n v="-4.7100000000000003E-2"/>
    <n v="0.37880000000000003"/>
    <n v="0.37819999999999998"/>
    <s v="2022Q4"/>
    <x v="2"/>
    <x v="1"/>
  </r>
  <r>
    <s v="TXN-100514"/>
    <n v="45979"/>
    <x v="9"/>
    <s v="Media"/>
    <x v="2"/>
    <s v="USD"/>
    <n v="31954.99"/>
    <n v="19800.78"/>
    <n v="12154.21"/>
    <n v="41544.269999999997"/>
    <n v="67490.2"/>
    <n v="116333.77"/>
    <n v="1588"/>
    <n v="3.1699999999999999E-2"/>
    <n v="0.38040000000000002"/>
    <n v="0.58009999999999995"/>
    <s v="2025Q4"/>
    <x v="0"/>
    <x v="1"/>
  </r>
  <r>
    <s v="TXN-100515"/>
    <n v="45834"/>
    <x v="5"/>
    <s v="Retail"/>
    <x v="1"/>
    <s v="USD"/>
    <n v="30543.939850000002"/>
    <n v="17099.88"/>
    <n v="13444.06"/>
    <n v="59804.78"/>
    <n v="55997.53"/>
    <n v="255506.69"/>
    <n v="1809"/>
    <n v="4.9000000000000002E-2"/>
    <n v="0.44019999999999998"/>
    <n v="0.21920000000000001"/>
    <s v="2025Q2"/>
    <x v="0"/>
    <x v="0"/>
  </r>
  <r>
    <s v="TXN-100516"/>
    <n v="45627"/>
    <x v="1"/>
    <s v="Food &amp; Beverage"/>
    <x v="0"/>
    <s v="USD"/>
    <n v="41563.85"/>
    <n v="24857.14"/>
    <n v="16706.71"/>
    <n v="25846.34"/>
    <n v="53106.97"/>
    <n v="107746.86"/>
    <n v="942"/>
    <n v="3.9100000000000003E-2"/>
    <n v="0.40200000000000002"/>
    <n v="0.4929"/>
    <s v="2024Q4"/>
    <x v="3"/>
    <x v="1"/>
  </r>
  <r>
    <s v="TXN-100517"/>
    <n v="45710"/>
    <x v="4"/>
    <s v="Energy"/>
    <x v="2"/>
    <s v="USD"/>
    <n v="90225.79"/>
    <n v="70264.73"/>
    <n v="19961.060000000001"/>
    <n v="80714.36"/>
    <n v="47370.22"/>
    <n v="205504.55"/>
    <s v="null"/>
    <n v="4.3700000000000003E-2"/>
    <n v="0.22120000000000001"/>
    <n v="0.23050000000000001"/>
    <s v="2025Q1"/>
    <x v="0"/>
    <x v="0"/>
  </r>
  <r>
    <s v="TXN-100518"/>
    <n v="45794"/>
    <x v="4"/>
    <s v="Energy"/>
    <x v="0"/>
    <s v="USD"/>
    <n v="53674.54"/>
    <n v="48465.78"/>
    <n v="5208.76"/>
    <n v="31303.61"/>
    <n v="44568.37"/>
    <n v="68533.88"/>
    <n v="655"/>
    <n v="6.1100000000000002E-2"/>
    <n v="9.7000000000000003E-2"/>
    <n v="0.65029999999999999"/>
    <s v="2025Q2"/>
    <x v="0"/>
    <x v="2"/>
  </r>
  <r>
    <s v="TXN-100519"/>
    <n v="45406"/>
    <x v="3"/>
    <s v="Telecommunications"/>
    <x v="2"/>
    <s v="USD"/>
    <n v="54201.24"/>
    <n v="45031.55"/>
    <n v="9169.69"/>
    <n v="25301"/>
    <n v="54443.43"/>
    <n v="85234.7"/>
    <n v="1072"/>
    <n v="-6.1800000000000001E-2"/>
    <n v="0.16919999999999999"/>
    <n v="0.63870000000000005"/>
    <s v="2024Q2"/>
    <x v="3"/>
    <x v="2"/>
  </r>
  <r>
    <s v="TXN-100520"/>
    <n v="45856"/>
    <x v="10"/>
    <s v="Technology"/>
    <x v="0"/>
    <s v="USD"/>
    <n v="127625.65"/>
    <n v="105838.18"/>
    <n v="21787.47"/>
    <n v="106315.24"/>
    <n v="17922.52"/>
    <n v="121160.57"/>
    <n v="995"/>
    <n v="6.6E-3"/>
    <n v="0.17069999999999999"/>
    <n v="0.1479"/>
    <s v="2025Q3"/>
    <x v="0"/>
    <x v="0"/>
  </r>
  <r>
    <s v="TXN-100521"/>
    <n v="44858"/>
    <x v="8"/>
    <s v="Logistics"/>
    <x v="3"/>
    <s v="USD"/>
    <n v="128608.92"/>
    <n v="82741.759999999995"/>
    <n v="45867.16"/>
    <n v="8358.33"/>
    <n v="22668.82"/>
    <n v="87941.19"/>
    <n v="1225"/>
    <n v="2.9899999999999999E-2"/>
    <n v="0.35659999999999997"/>
    <n v="0.25779999999999997"/>
    <s v="2022Q4"/>
    <x v="2"/>
    <x v="0"/>
  </r>
  <r>
    <s v="TXN-100522"/>
    <n v="44837"/>
    <x v="0"/>
    <s v="Real Estate"/>
    <x v="2"/>
    <s v="USD"/>
    <n v="112144.79"/>
    <n v="89763.31"/>
    <n v="22381.48"/>
    <n v="31298.560000000001"/>
    <n v="12805.92"/>
    <n v="69743.95"/>
    <n v="693"/>
    <n v="-1.0699999999999999E-2"/>
    <n v="0.1996"/>
    <n v="0.18360000000000001"/>
    <s v="2022Q4"/>
    <x v="2"/>
    <x v="0"/>
  </r>
  <r>
    <s v="TXN-100523"/>
    <n v="45156"/>
    <x v="9"/>
    <s v="Media"/>
    <x v="1"/>
    <s v="USD"/>
    <n v="63836.143049999999"/>
    <n v="38187.97"/>
    <n v="25648.17"/>
    <n v="47869.91"/>
    <n v="12339.46"/>
    <n v="150782.87"/>
    <n v="1645"/>
    <n v="-8.4599999999999995E-2"/>
    <n v="0.40179999999999999"/>
    <n v="8.1799999999999998E-2"/>
    <s v="2023Q3"/>
    <x v="1"/>
    <x v="0"/>
  </r>
  <r>
    <s v="TXN-100524"/>
    <n v="44945"/>
    <x v="10"/>
    <s v="Technology"/>
    <x v="2"/>
    <s v="USD"/>
    <n v="96266.07"/>
    <n v="57954.01"/>
    <n v="38312.06"/>
    <n v="4712.84"/>
    <n v="6125.63"/>
    <n v="35678.300000000003"/>
    <n v="2153"/>
    <n v="-1.5900000000000001E-2"/>
    <n v="0.39800000000000002"/>
    <n v="0.17169999999999999"/>
    <s v="2023Q1"/>
    <x v="1"/>
    <x v="0"/>
  </r>
  <r>
    <s v="TXN-100525"/>
    <n v="45056"/>
    <x v="7"/>
    <s v="Manufacturing"/>
    <x v="0"/>
    <s v="USD"/>
    <n v="58853.17"/>
    <n v="37238.559999999998"/>
    <n v="21614.61"/>
    <n v="49139"/>
    <n v="33778.959999999999"/>
    <n v="125274.99"/>
    <n v="681"/>
    <n v="-0.2102"/>
    <n v="0.36730000000000002"/>
    <n v="0.26960000000000001"/>
    <s v="2023Q2"/>
    <x v="1"/>
    <x v="0"/>
  </r>
  <r>
    <s v="TXN-100526"/>
    <n v="45974"/>
    <x v="0"/>
    <s v="Real Estate"/>
    <x v="2"/>
    <s v="USD"/>
    <n v="93026.32"/>
    <n v="59867.07"/>
    <n v="33159.25"/>
    <n v="49464.959999999999"/>
    <n v="24295.09"/>
    <n v="99561.08"/>
    <n v="997"/>
    <n v="6.4100000000000004E-2"/>
    <n v="0.35649999999999998"/>
    <n v="0.24399999999999999"/>
    <s v="2025Q4"/>
    <x v="0"/>
    <x v="0"/>
  </r>
  <r>
    <s v="TXN-100527"/>
    <n v="45193"/>
    <x v="9"/>
    <s v="Media"/>
    <x v="2"/>
    <s v="USD"/>
    <n v="111386.53"/>
    <n v="73608.210000000006"/>
    <n v="37778.32"/>
    <n v="68267.759999999995"/>
    <n v="13050.16"/>
    <n v="124045.95"/>
    <n v="1297"/>
    <n v="2.18E-2"/>
    <n v="0.3392"/>
    <n v="0.1052"/>
    <s v="2023Q3"/>
    <x v="1"/>
    <x v="0"/>
  </r>
  <r>
    <s v="TXN-100528"/>
    <n v="45546"/>
    <x v="4"/>
    <s v="Energy"/>
    <x v="0"/>
    <s v="USD"/>
    <n v="225269.67"/>
    <n v="143635.35"/>
    <n v="81634.320000000007"/>
    <n v="18316.080000000002"/>
    <n v="29092.59"/>
    <n v="71792.03"/>
    <n v="714"/>
    <n v="-3.5000000000000001E-3"/>
    <n v="0.3624"/>
    <n v="0.4052"/>
    <s v="2024Q3"/>
    <x v="3"/>
    <x v="1"/>
  </r>
  <r>
    <s v="TXN-100529"/>
    <n v="45103"/>
    <x v="5"/>
    <s v="Retail"/>
    <x v="2"/>
    <s v="USD"/>
    <n v="111909.85"/>
    <n v="69987.25"/>
    <n v="41922.6"/>
    <n v="20611.07"/>
    <n v="19384.96"/>
    <n v="70598.23"/>
    <n v="465"/>
    <n v="-0.12590000000000001"/>
    <n v="0.37459999999999999"/>
    <n v="0.27460000000000001"/>
    <s v="2023Q2"/>
    <x v="1"/>
    <x v="0"/>
  </r>
  <r>
    <s v="TXN-100530"/>
    <n v="45726"/>
    <x v="4"/>
    <s v="Energy"/>
    <x v="1"/>
    <s v="USD"/>
    <n v="108904.07584999999"/>
    <n v="89210.57"/>
    <n v="19693.509999999998"/>
    <n v="19866.650000000001"/>
    <n v="17826.59"/>
    <n v="141483.20000000001"/>
    <n v="832"/>
    <n v="-0.1351"/>
    <n v="0.18079999999999999"/>
    <n v="0.126"/>
    <s v="2025Q1"/>
    <x v="0"/>
    <x v="0"/>
  </r>
  <r>
    <s v="TXN-100531"/>
    <n v="45329"/>
    <x v="7"/>
    <s v="Manufacturing"/>
    <x v="0"/>
    <s v="USD"/>
    <n v="73140.97"/>
    <n v="43686.400000000001"/>
    <n v="29454.57"/>
    <n v="104403.12"/>
    <n v="6943.3"/>
    <n v="205294.84"/>
    <n v="938"/>
    <n v="-1.54E-2"/>
    <n v="0.4027"/>
    <n v="3.3799999999999997E-2"/>
    <s v="2024Q1"/>
    <x v="3"/>
    <x v="0"/>
  </r>
  <r>
    <s v="TXN-100532"/>
    <n v="45372"/>
    <x v="11"/>
    <s v="Financial Services"/>
    <x v="1"/>
    <s v="USD"/>
    <n v="148182.63675000001"/>
    <n v="126108.64"/>
    <n v="22074"/>
    <n v="31664.28"/>
    <n v="14094.42"/>
    <n v="160029.01"/>
    <n v="783"/>
    <n v="1.61E-2"/>
    <n v="0.14899999999999999"/>
    <n v="8.8099999999999998E-2"/>
    <s v="2024Q1"/>
    <x v="3"/>
    <x v="0"/>
  </r>
  <r>
    <s v="TXN-100533"/>
    <n v="45052"/>
    <x v="3"/>
    <s v="Telecommunications"/>
    <x v="0"/>
    <s v="USD"/>
    <n v="41389.379999999997"/>
    <n v="30513.77"/>
    <n v="10875.61"/>
    <n v="73417.100000000006"/>
    <n v="85268.13"/>
    <n v="114187.82"/>
    <n v="920"/>
    <n v="-1.32E-2"/>
    <n v="0.26279999999999998"/>
    <n v="0.74670000000000003"/>
    <s v="2023Q2"/>
    <x v="1"/>
    <x v="2"/>
  </r>
  <r>
    <s v="TXN-100534"/>
    <n v="45243"/>
    <x v="2"/>
    <s v="Healthcare"/>
    <x v="1"/>
    <s v="USD"/>
    <n v="143878.43290000001"/>
    <n v="86879.75"/>
    <n v="56998.68"/>
    <n v="68058.36"/>
    <n v="23039.66"/>
    <n v="175134.51"/>
    <n v="881"/>
    <n v="2.2599999999999999E-2"/>
    <n v="0.3962"/>
    <n v="0.13159999999999999"/>
    <s v="2023Q4"/>
    <x v="1"/>
    <x v="0"/>
  </r>
  <r>
    <s v="TXN-100535"/>
    <n v="44667"/>
    <x v="3"/>
    <s v="Telecommunications"/>
    <x v="1"/>
    <s v="USD"/>
    <n v="170731.95759999999"/>
    <n v="120158.12"/>
    <n v="50573.84"/>
    <n v="50672.04"/>
    <n v="49786.54"/>
    <n v="101642.09"/>
    <n v="686"/>
    <n v="0.15609999999999999"/>
    <n v="0.29620000000000002"/>
    <n v="0.48980000000000001"/>
    <s v="2022Q2"/>
    <x v="2"/>
    <x v="1"/>
  </r>
  <r>
    <s v="TXN-100536"/>
    <n v="44678"/>
    <x v="6"/>
    <s v="Travel"/>
    <x v="0"/>
    <s v="USD"/>
    <n v="28224.54"/>
    <n v="25921.1"/>
    <n v="2303.44"/>
    <n v="82484.88"/>
    <n v="5356.84"/>
    <n v="89641.23"/>
    <n v="1295"/>
    <n v="1.9599999999999999E-2"/>
    <n v="8.1600000000000006E-2"/>
    <n v="5.9799999999999999E-2"/>
    <s v="2022Q2"/>
    <x v="2"/>
    <x v="0"/>
  </r>
  <r>
    <s v="TXN-100537"/>
    <n v="45801"/>
    <x v="8"/>
    <s v="Logistics"/>
    <x v="1"/>
    <s v="USD"/>
    <n v="233925.24039999998"/>
    <n v="182212.87"/>
    <n v="51712.37"/>
    <n v="60495.61"/>
    <n v="53455.63"/>
    <n v="106962.29"/>
    <n v="553"/>
    <n v="-0.2155"/>
    <n v="0.22109999999999999"/>
    <n v="0.49980000000000002"/>
    <s v="2025Q2"/>
    <x v="0"/>
    <x v="1"/>
  </r>
  <r>
    <s v="TXN-100538"/>
    <n v="45863"/>
    <x v="3"/>
    <s v="Telecommunications"/>
    <x v="0"/>
    <s v="USD"/>
    <n v="68445.2"/>
    <n v="41429.29"/>
    <n v="27015.91"/>
    <n v="63172.37"/>
    <n v="25373.8"/>
    <n v="169180.15"/>
    <n v="695"/>
    <n v="-5.8400000000000001E-2"/>
    <n v="0.3947"/>
    <n v="0.15"/>
    <s v="2025Q3"/>
    <x v="0"/>
    <x v="0"/>
  </r>
  <r>
    <s v="TXN-100539"/>
    <n v="45459"/>
    <x v="9"/>
    <s v="Media"/>
    <x v="2"/>
    <s v="USD"/>
    <n v="59261.73"/>
    <n v="51345.02"/>
    <n v="7916.71"/>
    <n v="31050.94"/>
    <n v="77875.259999999995"/>
    <n v="51518.63"/>
    <n v="700"/>
    <n v="0.13700000000000001"/>
    <n v="0.1336"/>
    <n v="1.5116000000000001"/>
    <s v="2024Q2"/>
    <x v="3"/>
    <x v="2"/>
  </r>
  <r>
    <s v="TXN-100540"/>
    <n v="44694"/>
    <x v="9"/>
    <s v="Media"/>
    <x v="2"/>
    <s v="USD"/>
    <n v="99146.93"/>
    <n v="54709.4"/>
    <n v="44437.53"/>
    <n v="32398.79"/>
    <n v="13350.2"/>
    <n v="84265.24"/>
    <n v="733"/>
    <n v="1.06E-2"/>
    <n v="0.44819999999999999"/>
    <n v="0.15840000000000001"/>
    <s v="2022Q2"/>
    <x v="2"/>
    <x v="0"/>
  </r>
  <r>
    <s v="TXN-100541"/>
    <n v="44917"/>
    <x v="11"/>
    <s v="Financial Services"/>
    <x v="1"/>
    <s v="USD"/>
    <n v="108446.08730000001"/>
    <n v="61312.94"/>
    <n v="47133.15"/>
    <n v="76653.100000000006"/>
    <n v="16242.88"/>
    <n v="132632.19"/>
    <n v="558"/>
    <n v="8.9899999999999994E-2"/>
    <n v="0.43459999999999999"/>
    <n v="0.1225"/>
    <s v="2022Q4"/>
    <x v="2"/>
    <x v="0"/>
  </r>
  <r>
    <s v="TXN-100542"/>
    <n v="44727"/>
    <x v="11"/>
    <s v="Financial Services"/>
    <x v="2"/>
    <s v="USD"/>
    <n v="61219.97"/>
    <n v="55875.26"/>
    <n v="5344.71"/>
    <n v="69200.3"/>
    <n v="74613.33"/>
    <n v="177553.61"/>
    <n v="1280"/>
    <n v="2.9700000000000001E-2"/>
    <n v="8.7300000000000003E-2"/>
    <n v="0.42020000000000002"/>
    <s v="2022Q2"/>
    <x v="2"/>
    <x v="1"/>
  </r>
  <r>
    <s v="TXN-100543"/>
    <n v="45322"/>
    <x v="10"/>
    <s v="Technology"/>
    <x v="0"/>
    <s v="USD"/>
    <n v="76229.56"/>
    <n v="42973.04"/>
    <n v="33256.519999999997"/>
    <n v="14811.11"/>
    <n v="32543.03"/>
    <n v="53599.96"/>
    <n v="552"/>
    <n v="0.1066"/>
    <n v="0.43630000000000002"/>
    <n v="0.60709999999999997"/>
    <s v="2024Q1"/>
    <x v="3"/>
    <x v="2"/>
  </r>
  <r>
    <s v="TXN-100544"/>
    <n v="45523"/>
    <x v="2"/>
    <s v="Healthcare"/>
    <x v="1"/>
    <s v="USD"/>
    <n v="105672.42"/>
    <n v="91359"/>
    <n v="14313.42"/>
    <n v="22279.46"/>
    <n v="28710.63"/>
    <n v="80475.94"/>
    <n v="2630"/>
    <n v="9.8799999999999999E-2"/>
    <n v="0.13550000000000001"/>
    <n v="0.35680000000000001"/>
    <s v="2024Q3"/>
    <x v="3"/>
    <x v="1"/>
  </r>
  <r>
    <s v="TXN-100545"/>
    <n v="44592"/>
    <x v="1"/>
    <s v="Food &amp; Beverage"/>
    <x v="3"/>
    <s v="USD"/>
    <n v="24182.560000000001"/>
    <n v="19575.89"/>
    <n v="4606.67"/>
    <n v="33287.599999999999"/>
    <n v="7014.25"/>
    <n v="165333.1"/>
    <n v="1319"/>
    <n v="5.3100000000000001E-2"/>
    <n v="0.1905"/>
    <n v="4.24E-2"/>
    <s v="2022Q1"/>
    <x v="2"/>
    <x v="0"/>
  </r>
  <r>
    <s v="TXN-100546"/>
    <n v="45971"/>
    <x v="4"/>
    <s v="Energy"/>
    <x v="0"/>
    <s v="USD"/>
    <n v="45698.720000000001"/>
    <n v="30603.24"/>
    <n v="15095.48"/>
    <n v="52257.95"/>
    <n v="30361.9"/>
    <n v="213551.91"/>
    <n v="764"/>
    <n v="4.3700000000000003E-2"/>
    <n v="0.33029999999999998"/>
    <n v="0.14219999999999999"/>
    <s v="2025Q4"/>
    <x v="0"/>
    <x v="0"/>
  </r>
  <r>
    <s v="TXN-100547"/>
    <n v="45876"/>
    <x v="9"/>
    <s v="Media"/>
    <x v="2"/>
    <s v="USD"/>
    <n v="43736"/>
    <n v="34198.410000000003"/>
    <n v="9537.59"/>
    <n v="33651.26"/>
    <n v="49745.1"/>
    <n v="71136.45"/>
    <n v="222"/>
    <n v="1.9599999999999999E-2"/>
    <n v="0.21809999999999999"/>
    <n v="0.69930000000000003"/>
    <s v="2025Q3"/>
    <x v="0"/>
    <x v="2"/>
  </r>
  <r>
    <s v="TXN-100548"/>
    <n v="44777"/>
    <x v="10"/>
    <s v="Technology"/>
    <x v="0"/>
    <s v="USD"/>
    <n v="268140.57"/>
    <n v="156354.12"/>
    <n v="111786.45"/>
    <n v="135865.1"/>
    <n v="65065.31"/>
    <n v="185269.24"/>
    <n v="807"/>
    <n v="-2.0500000000000001E-2"/>
    <n v="0.41689999999999999"/>
    <n v="0.35120000000000001"/>
    <s v="2022Q3"/>
    <x v="2"/>
    <x v="1"/>
  </r>
  <r>
    <s v="TXN-100549"/>
    <n v="45032"/>
    <x v="3"/>
    <s v="Telecommunications"/>
    <x v="2"/>
    <s v="USD"/>
    <n v="86072.92"/>
    <n v="58679.77"/>
    <n v="27393.15"/>
    <n v="18613.05"/>
    <n v="15798.37"/>
    <n v="121504.27"/>
    <n v="506"/>
    <n v="6.0199999999999997E-2"/>
    <n v="0.31830000000000003"/>
    <n v="0.13"/>
    <s v="2023Q2"/>
    <x v="1"/>
    <x v="0"/>
  </r>
  <r>
    <s v="TXN-100550"/>
    <n v="45539"/>
    <x v="9"/>
    <s v="Media"/>
    <x v="0"/>
    <s v="USD"/>
    <n v="38315.949999999997"/>
    <n v="27134.99"/>
    <n v="11180.96"/>
    <n v="39131.53"/>
    <n v="40032.620000000003"/>
    <n v="70996.539999999994"/>
    <n v="748"/>
    <n v="2.9899999999999999E-2"/>
    <n v="0.2918"/>
    <n v="0.56389999999999996"/>
    <s v="2024Q3"/>
    <x v="3"/>
    <x v="1"/>
  </r>
  <r>
    <s v="TXN-100551"/>
    <n v="44962"/>
    <x v="5"/>
    <s v="Retail"/>
    <x v="2"/>
    <s v="USD"/>
    <n v="17340.27"/>
    <n v="11838.71"/>
    <n v="5501.56"/>
    <n v="24714.81"/>
    <n v="195610.6"/>
    <n v="138832.56"/>
    <n v="687"/>
    <n v="9.3100000000000002E-2"/>
    <n v="0.31730000000000003"/>
    <n v="1.409"/>
    <s v="2023Q1"/>
    <x v="1"/>
    <x v="2"/>
  </r>
  <r>
    <s v="TXN-100552"/>
    <n v="45362"/>
    <x v="8"/>
    <s v="Logistics"/>
    <x v="1"/>
    <s v="USD"/>
    <n v="67169.192250000007"/>
    <n v="45226.42"/>
    <n v="21942.77"/>
    <n v="85148.68"/>
    <n v="279170.74"/>
    <n v="139661.79999999999"/>
    <n v="1247"/>
    <n v="-3.8800000000000001E-2"/>
    <n v="0.32669999999999999"/>
    <n v="1.9988999999999999"/>
    <s v="2024Q1"/>
    <x v="3"/>
    <x v="2"/>
  </r>
  <r>
    <s v="TXN-100553"/>
    <n v="45482"/>
    <x v="1"/>
    <s v="Food &amp; Beverage"/>
    <x v="1"/>
    <s v="USD"/>
    <n v="70457.265850000011"/>
    <n v="63498.48"/>
    <n v="6958.78"/>
    <n v="28438.240000000002"/>
    <n v="15181.04"/>
    <n v="74833.8"/>
    <n v="383"/>
    <n v="-1.89E-2"/>
    <n v="9.8799999999999999E-2"/>
    <n v="0.2029"/>
    <s v="2024Q3"/>
    <x v="3"/>
    <x v="0"/>
  </r>
  <r>
    <s v="TXN-100554"/>
    <n v="45579"/>
    <x v="0"/>
    <s v="Real Estate"/>
    <x v="2"/>
    <s v="USD"/>
    <n v="54138.13"/>
    <n v="35755.120000000003"/>
    <n v="18383.009999999998"/>
    <n v="27933.52"/>
    <n v="10321.82"/>
    <n v="175789.66"/>
    <n v="617"/>
    <n v="-3.39E-2"/>
    <n v="0.33960000000000001"/>
    <n v="5.8700000000000002E-2"/>
    <s v="2024Q4"/>
    <x v="3"/>
    <x v="0"/>
  </r>
  <r>
    <s v="TXN-100555"/>
    <n v="44965"/>
    <x v="10"/>
    <s v="Technology"/>
    <x v="1"/>
    <s v="USD"/>
    <n v="1.145"/>
    <n v="53649.11"/>
    <n v="1.1499999999999999"/>
    <n v="42732.08"/>
    <n v="29231.64"/>
    <n v="63328.97"/>
    <n v="1408"/>
    <n v="-6.2100000000000002E-2"/>
    <n v="1.0044"/>
    <n v="0.46160000000000001"/>
    <s v="2023Q1"/>
    <x v="1"/>
    <x v="1"/>
  </r>
  <r>
    <s v="TXN-100556"/>
    <n v="44787"/>
    <x v="1"/>
    <s v="Food &amp; Beverage"/>
    <x v="1"/>
    <s v="USD"/>
    <n v="36569.11"/>
    <n v="31185.08"/>
    <n v="5384.03"/>
    <n v="173738.45"/>
    <n v="12403.4"/>
    <n v="264913.63"/>
    <n v="791"/>
    <n v="0.1048"/>
    <n v="0.1472"/>
    <n v="4.6800000000000001E-2"/>
    <s v="2022Q3"/>
    <x v="2"/>
    <x v="0"/>
  </r>
  <r>
    <s v="TXN-100557"/>
    <n v="45179"/>
    <x v="6"/>
    <s v="Travel"/>
    <x v="3"/>
    <s v="USD"/>
    <n v="80295.27"/>
    <n v="51125.36"/>
    <n v="29169.91"/>
    <n v="9717.73"/>
    <n v="94724.67"/>
    <n v="100716.62"/>
    <n v="856"/>
    <n v="7.0000000000000001E-3"/>
    <n v="0.36330000000000001"/>
    <n v="0.9405"/>
    <s v="2023Q3"/>
    <x v="1"/>
    <x v="2"/>
  </r>
  <r>
    <s v="TXN-100558"/>
    <n v="44698"/>
    <x v="8"/>
    <s v="Logistics"/>
    <x v="3"/>
    <s v="USD"/>
    <n v="128630.87"/>
    <n v="73222.97"/>
    <n v="55407.9"/>
    <n v="14322.18"/>
    <n v="28013.14"/>
    <n v="197342.41"/>
    <n v="623"/>
    <n v="-2.4799999999999999E-2"/>
    <n v="0.43080000000000002"/>
    <n v="0.14199999999999999"/>
    <s v="2022Q2"/>
    <x v="2"/>
    <x v="0"/>
  </r>
  <r>
    <s v="TXN-100559"/>
    <n v="45024"/>
    <x v="6"/>
    <s v="Travel"/>
    <x v="1"/>
    <s v="USD"/>
    <n v="73523.438450000001"/>
    <n v="48965.63"/>
    <n v="24557.81"/>
    <n v="44799.88"/>
    <n v="103063.83"/>
    <n v="228674.22"/>
    <n v="668"/>
    <n v="3.5299999999999998E-2"/>
    <n v="0.33400000000000002"/>
    <n v="0.45069999999999999"/>
    <s v="2023Q2"/>
    <x v="1"/>
    <x v="1"/>
  </r>
  <r>
    <s v="TXN-100560"/>
    <n v="45404"/>
    <x v="6"/>
    <s v="Travel"/>
    <x v="0"/>
    <s v="USD"/>
    <n v="93790.68"/>
    <n v="77277.89"/>
    <n v="16512.79"/>
    <n v="32338.92"/>
    <n v="34790.550000000003"/>
    <n v="74157.509999999995"/>
    <n v="1134"/>
    <n v="-6.3299999999999995E-2"/>
    <n v="0.17610000000000001"/>
    <n v="0.46910000000000002"/>
    <s v="2024Q2"/>
    <x v="3"/>
    <x v="1"/>
  </r>
  <r>
    <s v="TXN-100561"/>
    <n v="45663"/>
    <x v="2"/>
    <s v="Healthcare"/>
    <x v="2"/>
    <s v="USD"/>
    <n v="271911.98"/>
    <n v="169962.14"/>
    <n v="101949.84"/>
    <n v="34271.53"/>
    <n v="25181.95"/>
    <n v="323455.63"/>
    <n v="1149"/>
    <n v="3.44E-2"/>
    <n v="0.37490000000000001"/>
    <n v="7.7899999999999997E-2"/>
    <s v="2025Q1"/>
    <x v="0"/>
    <x v="0"/>
  </r>
  <r>
    <s v="TXN-100562"/>
    <n v="45082"/>
    <x v="3"/>
    <s v="Telecommunications"/>
    <x v="1"/>
    <s v="USD"/>
    <n v="102519.67035"/>
    <n v="81024.460000000006"/>
    <n v="21495.21"/>
    <n v="14296.82"/>
    <n v="22747.82"/>
    <n v="31170.84"/>
    <n v="617"/>
    <n v="-9.5500000000000002E-2"/>
    <n v="0.2097"/>
    <n v="0.7298"/>
    <s v="2023Q2"/>
    <x v="1"/>
    <x v="2"/>
  </r>
  <r>
    <s v="TXN-100563"/>
    <n v="45279"/>
    <x v="8"/>
    <s v="Logistics"/>
    <x v="0"/>
    <s v="USD"/>
    <n v="32566.76"/>
    <n v="20293.830000000002"/>
    <n v="12272.93"/>
    <n v="0"/>
    <n v="53902.41"/>
    <n v="55618.27"/>
    <n v="779"/>
    <n v="-7.9000000000000008E-3"/>
    <n v="0.37690000000000001"/>
    <n v="0.96909999999999996"/>
    <s v="2023Q4"/>
    <x v="1"/>
    <x v="2"/>
  </r>
  <r>
    <s v="TXN-100564"/>
    <n v="45743"/>
    <x v="3"/>
    <s v="Telecommunications"/>
    <x v="1"/>
    <s v="USD"/>
    <n v="122404.95405"/>
    <n v="80783.509999999995"/>
    <n v="41621.449999999997"/>
    <n v="57821.22"/>
    <n v="68215.72"/>
    <n v="249934.49"/>
    <n v="611"/>
    <n v="4.5699999999999998E-2"/>
    <n v="0.34"/>
    <n v="0.27289999999999998"/>
    <s v="2025Q1"/>
    <x v="0"/>
    <x v="0"/>
  </r>
  <r>
    <s v="TXN-100565"/>
    <n v="45405"/>
    <x v="5"/>
    <s v="Retail"/>
    <x v="3"/>
    <s v="USD"/>
    <n v="44282.65"/>
    <n v="39429.93"/>
    <n v="4852.72"/>
    <n v="101383.38"/>
    <n v="15449.8"/>
    <n v="173840.93"/>
    <n v="569"/>
    <n v="-0.11650000000000001"/>
    <n v="0.1096"/>
    <n v="8.8900000000000007E-2"/>
    <s v="2024Q2"/>
    <x v="3"/>
    <x v="0"/>
  </r>
  <r>
    <s v="TXN-100566"/>
    <n v="44679"/>
    <x v="11"/>
    <s v="Financial Services"/>
    <x v="0"/>
    <s v="USD"/>
    <n v="61994.42"/>
    <n v="42141.49"/>
    <n v="19852.93"/>
    <n v="16702.05"/>
    <n v="46015.29"/>
    <n v="110870.73"/>
    <n v="752"/>
    <n v="-6.6299999999999998E-2"/>
    <n v="0.32019999999999998"/>
    <n v="0.41499999999999998"/>
    <s v="2022Q2"/>
    <x v="2"/>
    <x v="1"/>
  </r>
  <r>
    <s v="TXN-100567"/>
    <n v="45299"/>
    <x v="7"/>
    <s v="Manufacturing"/>
    <x v="2"/>
    <s v="USD"/>
    <n v="34117.32"/>
    <n v="28981.53"/>
    <n v="5135.79"/>
    <n v="9756.9500000000007"/>
    <n v="18146.259999999998"/>
    <n v="64018.66"/>
    <n v="820"/>
    <n v="-3.44E-2"/>
    <n v="0.15049999999999999"/>
    <n v="0.28349999999999997"/>
    <s v="2024Q1"/>
    <x v="3"/>
    <x v="0"/>
  </r>
  <r>
    <s v="TXN-100568"/>
    <n v="45229"/>
    <x v="9"/>
    <s v="Media"/>
    <x v="1"/>
    <s v="USD"/>
    <n v="83757.104949999994"/>
    <n v="57959.57"/>
    <n v="25797.54"/>
    <n v="33209.370000000003"/>
    <n v="13693.96"/>
    <n v="50514.27"/>
    <n v="1848"/>
    <n v="-6.93E-2"/>
    <n v="0.308"/>
    <n v="0.27110000000000001"/>
    <s v="2023Q4"/>
    <x v="1"/>
    <x v="0"/>
  </r>
  <r>
    <s v="TXN-100569"/>
    <n v="44964"/>
    <x v="0"/>
    <s v="Real Estate"/>
    <x v="2"/>
    <s v="USD"/>
    <n v="128336.27"/>
    <n v="99394.52"/>
    <n v="28941.75"/>
    <n v="57928.79"/>
    <n v="38480.82"/>
    <n v="99041.57"/>
    <n v="733"/>
    <n v="2.7900000000000001E-2"/>
    <n v="0.22550000000000001"/>
    <n v="0.38850000000000001"/>
    <s v="2023Q1"/>
    <x v="1"/>
    <x v="1"/>
  </r>
  <r>
    <s v="TXN-100570"/>
    <n v="44896"/>
    <x v="2"/>
    <s v="Healthcare"/>
    <x v="0"/>
    <s v="USD"/>
    <n v="149157.14000000001"/>
    <n v="116230.04"/>
    <n v="32927.1"/>
    <n v="7087.74"/>
    <n v="58433.14"/>
    <n v="92352.320000000007"/>
    <n v="761"/>
    <n v="-1.0699999999999999E-2"/>
    <n v="0.2208"/>
    <n v="0.63270000000000004"/>
    <s v="2022Q4"/>
    <x v="2"/>
    <x v="2"/>
  </r>
  <r>
    <s v="TXN-100571"/>
    <n v="44666"/>
    <x v="10"/>
    <s v="Technology"/>
    <x v="2"/>
    <s v="USD"/>
    <n v="132558.92000000001"/>
    <n v="75401.600000000006"/>
    <n v="57157.32"/>
    <n v="30935.78"/>
    <n v="19765.71"/>
    <n v="146855.20000000001"/>
    <n v="1539"/>
    <n v="0.10340000000000001"/>
    <n v="0.43120000000000003"/>
    <n v="0.1346"/>
    <s v="2022Q2"/>
    <x v="2"/>
    <x v="0"/>
  </r>
  <r>
    <s v="TXN-100572"/>
    <d v="2022-08-24T00:00:00"/>
    <x v="5"/>
    <s v="Retail"/>
    <x v="0"/>
    <s v="USD"/>
    <n v="32260.77"/>
    <n v="22095.07"/>
    <n v="10165.700000000001"/>
    <n v="57005.99"/>
    <n v="19760.93"/>
    <n v="139946.34"/>
    <n v="1000"/>
    <n v="0.104"/>
    <n v="0.31509999999999999"/>
    <n v="0.14119999999999999"/>
    <s v="2022Q3"/>
    <x v="2"/>
    <x v="0"/>
  </r>
  <r>
    <s v="TXN-100573"/>
    <n v="45061"/>
    <x v="6"/>
    <s v="Travel"/>
    <x v="2"/>
    <s v="USD"/>
    <n v="90441.27"/>
    <n v="78779.56"/>
    <n v="11661.71"/>
    <n v="12425.31"/>
    <n v="39480.15"/>
    <n v="69247.66"/>
    <n v="538"/>
    <n v="-1.4E-3"/>
    <n v="0.12889999999999999"/>
    <n v="0.57010000000000005"/>
    <s v="2023Q2"/>
    <x v="1"/>
    <x v="1"/>
  </r>
  <r>
    <s v="TXN-100574"/>
    <n v="44998"/>
    <x v="2"/>
    <s v="Healthcare"/>
    <x v="3"/>
    <s v="USD"/>
    <n v="141012.75"/>
    <n v="114191.84"/>
    <n v="26820.91"/>
    <n v="14080.16"/>
    <n v="25151.56"/>
    <n v="72957.58"/>
    <n v="556"/>
    <n v="4.1099999999999998E-2"/>
    <n v="0.19020000000000001"/>
    <n v="0.34470000000000001"/>
    <s v="2023Q1"/>
    <x v="1"/>
    <x v="1"/>
  </r>
  <r>
    <s v="TXN-100575"/>
    <n v="45804"/>
    <x v="11"/>
    <s v="Financial Services"/>
    <x v="1"/>
    <s v="USD"/>
    <n v="169739.66625000001"/>
    <n v="149166.81"/>
    <n v="20572.86"/>
    <n v="46914.22"/>
    <n v="126221.91"/>
    <n v="109351.56"/>
    <n v="544"/>
    <n v="-8.6900000000000005E-2"/>
    <n v="0.1212"/>
    <n v="1.1543000000000001"/>
    <s v="2025Q2"/>
    <x v="0"/>
    <x v="2"/>
  </r>
  <r>
    <s v="TXN-100576"/>
    <d v="2023-02-09T00:00:00"/>
    <x v="5"/>
    <s v="Retail"/>
    <x v="0"/>
    <s v="USD"/>
    <n v="50813.62"/>
    <n v="40826.32"/>
    <n v="9987.2999999999993"/>
    <n v="27586.12"/>
    <n v="12793.45"/>
    <n v="195976.73"/>
    <n v="845"/>
    <n v="-4.7500000000000001E-2"/>
    <n v="0.19650000000000001"/>
    <n v="6.5299999999999997E-2"/>
    <s v="2023Q1"/>
    <x v="1"/>
    <x v="0"/>
  </r>
  <r>
    <s v="TXN-100577"/>
    <n v="44930"/>
    <x v="11"/>
    <s v="Financial Services"/>
    <x v="2"/>
    <s v="USD"/>
    <n v="153292.19"/>
    <n v="133739.88"/>
    <n v="19552.310000000001"/>
    <n v="14680.96"/>
    <n v="8382.49"/>
    <n v="49791.45"/>
    <n v="610"/>
    <n v="-2.3999999999999998E-3"/>
    <n v="0.1275"/>
    <n v="0.16839999999999999"/>
    <s v="2023Q1"/>
    <x v="1"/>
    <x v="0"/>
  </r>
  <r>
    <s v="TXN-100578"/>
    <n v="44617"/>
    <x v="11"/>
    <s v="Financial Services"/>
    <x v="2"/>
    <s v="USD"/>
    <n v="91765.43"/>
    <n v="73043.69"/>
    <n v="18721.740000000002"/>
    <n v="38571.25"/>
    <n v="34441.120000000003"/>
    <n v="73762.63"/>
    <n v="1513"/>
    <n v="4.8500000000000001E-2"/>
    <n v="0.20399999999999999"/>
    <n v="0.46689999999999998"/>
    <s v="2022Q1"/>
    <x v="2"/>
    <x v="1"/>
  </r>
  <r>
    <s v="TXN-100579"/>
    <n v="44583"/>
    <x v="4"/>
    <s v="Energy"/>
    <x v="2"/>
    <s v="USD"/>
    <n v="218266.16"/>
    <n v="141709.88"/>
    <n v="76556.28"/>
    <n v="19711.48"/>
    <n v="21373.69"/>
    <n v="202887.46"/>
    <n v="1169"/>
    <n v="4.8999999999999998E-3"/>
    <n v="0.35070000000000001"/>
    <n v="0.1053"/>
    <s v="2022Q1"/>
    <x v="2"/>
    <x v="0"/>
  </r>
  <r>
    <s v="TXN-100580"/>
    <n v="45000"/>
    <x v="8"/>
    <s v="Logistics"/>
    <x v="3"/>
    <s v="USD"/>
    <n v="99720.93"/>
    <n v="88275.66"/>
    <n v="11445.27"/>
    <n v="24863.59"/>
    <n v="153025.49"/>
    <n v="125956.1"/>
    <n v="1280"/>
    <n v="-3.78E-2"/>
    <n v="0.1148"/>
    <n v="1.2149000000000001"/>
    <s v="2023Q1"/>
    <x v="1"/>
    <x v="2"/>
  </r>
  <r>
    <s v="TXN-100581"/>
    <n v="45861"/>
    <x v="11"/>
    <s v="Financial Services"/>
    <x v="1"/>
    <s v="USD"/>
    <n v="95673.738250000009"/>
    <n v="59441.68"/>
    <n v="36232.06"/>
    <n v="63105.440000000002"/>
    <n v="111797.14"/>
    <n v="204578.12"/>
    <n v="2019"/>
    <n v="2.5999999999999999E-2"/>
    <n v="0.37869999999999998"/>
    <n v="0.54649999999999999"/>
    <s v="2025Q3"/>
    <x v="0"/>
    <x v="1"/>
  </r>
  <r>
    <s v="TXN-100582"/>
    <n v="44924"/>
    <x v="1"/>
    <s v="Food &amp; Beverage"/>
    <x v="3"/>
    <s v="USD"/>
    <n v="144060.68"/>
    <n v="126782.3"/>
    <n v="17278.38"/>
    <n v="85278.82"/>
    <n v="28286.15"/>
    <n v="307137.02"/>
    <n v="796"/>
    <n v="0.10059999999999999"/>
    <n v="0.11990000000000001"/>
    <n v="9.2100000000000001E-2"/>
    <s v="2022Q4"/>
    <x v="2"/>
    <x v="0"/>
  </r>
  <r>
    <s v="TXN-100583"/>
    <n v="45164"/>
    <x v="11"/>
    <s v="Financial Services"/>
    <x v="1"/>
    <s v="USD"/>
    <n v="44716.143000000004"/>
    <n v="31922.49"/>
    <n v="12793.66"/>
    <n v="48376.02"/>
    <n v="77639.240000000005"/>
    <n v="128229.68"/>
    <n v="1294"/>
    <n v="1.8E-3"/>
    <n v="0.28610000000000002"/>
    <n v="0.60550000000000004"/>
    <s v="2023Q3"/>
    <x v="1"/>
    <x v="2"/>
  </r>
  <r>
    <s v="TXN-100584"/>
    <n v="44815"/>
    <x v="5"/>
    <s v="Retail"/>
    <x v="1"/>
    <s v="USD"/>
    <n v="104556.591"/>
    <n v="59818.09"/>
    <n v="44738.5"/>
    <n v="31116.21"/>
    <n v="23737.72"/>
    <n v="150585.38"/>
    <n v="951"/>
    <n v="-0.1389"/>
    <n v="0.4279"/>
    <n v="0.15759999999999999"/>
    <s v="2022Q3"/>
    <x v="2"/>
    <x v="0"/>
  </r>
  <r>
    <s v="TXN-100585"/>
    <n v="45917"/>
    <x v="9"/>
    <s v="Media"/>
    <x v="0"/>
    <s v="USD"/>
    <n v="61925.14"/>
    <n v="41184.720000000001"/>
    <n v="20740.419999999998"/>
    <n v="28323.88"/>
    <n v="33363.5"/>
    <n v="107800.93"/>
    <n v="1301"/>
    <n v="5.8999999999999997E-2"/>
    <n v="0.33489999999999998"/>
    <n v="0.3095"/>
    <s v="2025Q3"/>
    <x v="0"/>
    <x v="1"/>
  </r>
  <r>
    <s v="TXN-100586"/>
    <n v="46012"/>
    <x v="10"/>
    <s v="Technology"/>
    <x v="3"/>
    <s v="USD"/>
    <n v="56640.67"/>
    <n v="43448.88"/>
    <n v="13191.79"/>
    <n v="17857.03"/>
    <n v="34022.75"/>
    <n v="58810.58"/>
    <n v="1613"/>
    <n v="-2.87E-2"/>
    <n v="0.2329"/>
    <n v="0.57850000000000001"/>
    <s v="2025Q4"/>
    <x v="0"/>
    <x v="1"/>
  </r>
  <r>
    <s v="TXN-100587"/>
    <n v="44976"/>
    <x v="7"/>
    <s v="Manufacturing"/>
    <x v="0"/>
    <s v="USD"/>
    <n v="199466.89"/>
    <n v="151194.62"/>
    <n v="48272.27"/>
    <n v="34883.599999999999"/>
    <n v="12150.53"/>
    <n v="101183.48"/>
    <n v="932"/>
    <n v="-7.0199999999999999E-2"/>
    <n v="0.24199999999999999"/>
    <n v="0.1201"/>
    <s v="2023Q1"/>
    <x v="1"/>
    <x v="0"/>
  </r>
  <r>
    <s v="TXN-100588"/>
    <n v="45964"/>
    <x v="10"/>
    <s v="Technology"/>
    <x v="2"/>
    <s v="USD"/>
    <n v="35735.46"/>
    <n v="21558.53"/>
    <n v="14176.93"/>
    <n v="49055.93"/>
    <n v="6851.41"/>
    <n v="88484.63"/>
    <n v="702"/>
    <n v="1.9400000000000001E-2"/>
    <n v="0.3967"/>
    <n v="7.7399999999999997E-2"/>
    <s v="2025Q4"/>
    <x v="0"/>
    <x v="0"/>
  </r>
  <r>
    <s v="TXN-100589"/>
    <n v="44879"/>
    <x v="7"/>
    <s v="Manufacturing"/>
    <x v="0"/>
    <s v="USD"/>
    <n v="434285.12640000001"/>
    <n v="248896.41"/>
    <n v="185388.71"/>
    <n v="37077.93"/>
    <n v="14661.93"/>
    <n v="158436.4"/>
    <n v="1232"/>
    <n v="3.6400000000000002E-2"/>
    <n v="0.4269"/>
    <n v="9.2499999999999999E-2"/>
    <s v="2022Q4"/>
    <x v="2"/>
    <x v="0"/>
  </r>
  <r>
    <s v="TXN-100590"/>
    <n v="45413"/>
    <x v="6"/>
    <s v="Travel"/>
    <x v="2"/>
    <s v="USD"/>
    <n v="122320.58"/>
    <n v="83415.94"/>
    <n v="38904.639999999999"/>
    <n v="45181.47"/>
    <n v="13190.63"/>
    <n v="147868.21"/>
    <n v="1689"/>
    <n v="-8.0999999999999996E-3"/>
    <n v="0.31809999999999999"/>
    <n v="8.9200000000000002E-2"/>
    <s v="2024Q2"/>
    <x v="3"/>
    <x v="0"/>
  </r>
  <r>
    <s v="TXN-100591"/>
    <n v="45875"/>
    <x v="9"/>
    <s v="Media"/>
    <x v="0"/>
    <s v="USD"/>
    <n v="112066.9"/>
    <n v="84031.05"/>
    <n v="28035.85"/>
    <n v="85485.81"/>
    <n v="52843.56"/>
    <n v="205363.45"/>
    <n v="469"/>
    <n v="0.11"/>
    <n v="0.25019999999999998"/>
    <n v="0.25729999999999997"/>
    <s v="2025Q3"/>
    <x v="0"/>
    <x v="0"/>
  </r>
  <r>
    <s v="TXN-100592"/>
    <n v="45345"/>
    <x v="2"/>
    <s v="Healthcare"/>
    <x v="3"/>
    <s v="USD"/>
    <n v="111221.01"/>
    <n v="76957.75"/>
    <n v="34263.26"/>
    <n v="32575.34"/>
    <n v="102610.05"/>
    <n v="71055.98"/>
    <n v="440"/>
    <n v="7.1300000000000002E-2"/>
    <n v="0.30809999999999998"/>
    <n v="1.4440999999999999"/>
    <s v="2024Q1"/>
    <x v="3"/>
    <x v="2"/>
  </r>
  <r>
    <s v="TXN-100593"/>
    <n v="45350"/>
    <x v="0"/>
    <s v="Real Estate"/>
    <x v="2"/>
    <s v="USD"/>
    <n v="59198.07"/>
    <n v="33124.9"/>
    <n v="26073.17"/>
    <n v="17051.919999999998"/>
    <n v="46692.160000000003"/>
    <n v="52908.21"/>
    <n v="793"/>
    <n v="8.8999999999999999E-3"/>
    <n v="0.44040000000000001"/>
    <n v="0.88249999999999995"/>
    <s v="2024Q1"/>
    <x v="3"/>
    <x v="2"/>
  </r>
  <r>
    <s v="TXN-100594"/>
    <n v="45805"/>
    <x v="3"/>
    <s v="Telecommunications"/>
    <x v="0"/>
    <s v="USD"/>
    <n v="58742.14"/>
    <n v="49323.07"/>
    <n v="9419.07"/>
    <n v="36190.120000000003"/>
    <n v="36831.449999999997"/>
    <n v="120326.07"/>
    <n v="440"/>
    <n v="1.38E-2"/>
    <n v="0.1603"/>
    <n v="0.30609999999999998"/>
    <s v="2025Q2"/>
    <x v="0"/>
    <x v="1"/>
  </r>
  <r>
    <s v="TXN-100595"/>
    <n v="45898"/>
    <x v="8"/>
    <s v="Logistics"/>
    <x v="2"/>
    <s v="USD"/>
    <n v="54773.68"/>
    <n v="34417.879999999997"/>
    <n v="20355.8"/>
    <n v="22233.15"/>
    <n v="16995.759999999998"/>
    <n v="111761.48"/>
    <n v="1429"/>
    <n v="-2.06E-2"/>
    <n v="0.37159999999999999"/>
    <n v="0.15210000000000001"/>
    <s v="2025Q3"/>
    <x v="0"/>
    <x v="0"/>
  </r>
  <r>
    <s v="TXN-100596"/>
    <n v="45276"/>
    <x v="8"/>
    <s v="Logistics"/>
    <x v="2"/>
    <s v="USD"/>
    <n v="67454.880000000005"/>
    <n v="53805.16"/>
    <n v="13649.72"/>
    <n v="28340.04"/>
    <n v="24792.43"/>
    <n v="154141.70000000001"/>
    <n v="518"/>
    <n v="4.1500000000000002E-2"/>
    <n v="0.2024"/>
    <n v="0.1608"/>
    <s v="2023Q4"/>
    <x v="1"/>
    <x v="0"/>
  </r>
  <r>
    <s v="TXN-100597"/>
    <n v="45359"/>
    <x v="5"/>
    <s v="Retail"/>
    <x v="1"/>
    <s v="USD"/>
    <n v="47589.531950000004"/>
    <n v="36019.589999999997"/>
    <n v="11569.94"/>
    <n v="37339.15"/>
    <n v="12103.9"/>
    <n v="106366.64"/>
    <n v="376"/>
    <n v="-4.0599999999999997E-2"/>
    <n v="0.24310000000000001"/>
    <n v="0.1138"/>
    <s v="2024Q1"/>
    <x v="3"/>
    <x v="0"/>
  </r>
  <r>
    <s v="TXN-100598"/>
    <n v="45637"/>
    <x v="1"/>
    <s v="Food &amp; Beverage"/>
    <x v="1"/>
    <s v="USD"/>
    <n v="111445.55220000001"/>
    <n v="61361.08"/>
    <n v="50084.480000000003"/>
    <n v="11049.26"/>
    <n v="50940.800000000003"/>
    <n v="63486.71"/>
    <n v="1921"/>
    <n v="0.1201"/>
    <n v="0.44940000000000002"/>
    <n v="0.8024"/>
    <s v="2024Q4"/>
    <x v="3"/>
    <x v="2"/>
  </r>
  <r>
    <s v="TXN-100599"/>
    <n v="45591"/>
    <x v="8"/>
    <s v="Logistics"/>
    <x v="1"/>
    <s v="USD"/>
    <n v="119694.59019999999"/>
    <n v="82947.289999999994"/>
    <n v="36747.300000000003"/>
    <n v="132774.26999999999"/>
    <n v="106771.36"/>
    <n v="148127.70000000001"/>
    <n v="1104"/>
    <n v="2.7E-2"/>
    <n v="0.307"/>
    <n v="0.7208"/>
    <s v="2024Q4"/>
    <x v="3"/>
    <x v="2"/>
  </r>
  <r>
    <s v="TXN-100600"/>
    <n v="45081"/>
    <x v="4"/>
    <s v="Energy"/>
    <x v="1"/>
    <s v="USD"/>
    <n v="159538.79255000001"/>
    <n v="143346.41"/>
    <n v="16192.38"/>
    <n v="42648.79"/>
    <n v="22931.19"/>
    <n v="123128.56"/>
    <n v="594"/>
    <n v="0.13980000000000001"/>
    <n v="0.10150000000000001"/>
    <n v="0.1862"/>
    <s v="2023Q2"/>
    <x v="1"/>
    <x v="0"/>
  </r>
  <r>
    <s v="TXN-100601"/>
    <n v="45291"/>
    <x v="6"/>
    <s v="Travel"/>
    <x v="2"/>
    <s v="USD"/>
    <n v="45233.34"/>
    <n v="27844.27"/>
    <n v="17389.07"/>
    <n v="13357.47"/>
    <n v="55683.42"/>
    <n v="201461.33"/>
    <n v="301"/>
    <n v="-1.84E-2"/>
    <n v="0.38440000000000002"/>
    <n v="0.27639999999999998"/>
    <s v="2023Q4"/>
    <x v="1"/>
    <x v="0"/>
  </r>
  <r>
    <s v="TXN-100602"/>
    <n v="45038"/>
    <x v="3"/>
    <s v="Telecommunications"/>
    <x v="2"/>
    <s v="USD"/>
    <n v="67593.47"/>
    <n v="50948.95"/>
    <n v="16644.52"/>
    <n v="62021.81"/>
    <n v="3390.55"/>
    <n v="343176.24"/>
    <n v="1260"/>
    <n v="-3.2899999999999999E-2"/>
    <n v="0.2462"/>
    <n v="9.9000000000000008E-3"/>
    <s v="2023Q2"/>
    <x v="1"/>
    <x v="0"/>
  </r>
  <r>
    <s v="TXN-100603"/>
    <n v="45116"/>
    <x v="4"/>
    <s v="Energy"/>
    <x v="3"/>
    <s v="USD"/>
    <n v="49657.84"/>
    <n v="39673.910000000003"/>
    <n v="9983.93"/>
    <n v="36288.089999999997"/>
    <n v="140544.73000000001"/>
    <n v="116280.07"/>
    <n v="444"/>
    <n v="0.14649999999999999"/>
    <n v="0.2011"/>
    <n v="1.2087000000000001"/>
    <s v="2023Q3"/>
    <x v="1"/>
    <x v="2"/>
  </r>
  <r>
    <s v="TXN-100604"/>
    <n v="44737"/>
    <x v="11"/>
    <s v="Financial Services"/>
    <x v="0"/>
    <s v="USD"/>
    <n v="294606.64"/>
    <n v="247000.78"/>
    <n v="47605.86"/>
    <n v="41859.99"/>
    <n v="20055.79"/>
    <n v="94042.32"/>
    <n v="1578"/>
    <n v="-4.9700000000000001E-2"/>
    <n v="0.16159999999999999"/>
    <n v="0.21329999999999999"/>
    <s v="2022Q2"/>
    <x v="2"/>
    <x v="0"/>
  </r>
  <r>
    <s v="TXN-100605"/>
    <n v="45726"/>
    <x v="0"/>
    <s v="Real Estate"/>
    <x v="1"/>
    <s v="USD"/>
    <n v="352730.13124999998"/>
    <n v="238113.85"/>
    <n v="114616.29"/>
    <n v="49491.33"/>
    <n v="35572.78"/>
    <n v="178003.33"/>
    <n v="857"/>
    <n v="-5.3199999999999997E-2"/>
    <n v="0.32490000000000002"/>
    <n v="0.19980000000000001"/>
    <s v="2025Q1"/>
    <x v="0"/>
    <x v="0"/>
  </r>
  <r>
    <s v="TXN-100606"/>
    <n v="45372"/>
    <x v="10"/>
    <s v="Technology"/>
    <x v="2"/>
    <s v="USD"/>
    <n v="137562.97"/>
    <n v="89283.5"/>
    <n v="48279.47"/>
    <n v="32555.02"/>
    <n v="54278.33"/>
    <n v="84213.74"/>
    <n v="1032"/>
    <n v="5.96E-2"/>
    <n v="0.35099999999999998"/>
    <n v="0.64449999999999996"/>
    <s v="2024Q1"/>
    <x v="3"/>
    <x v="2"/>
  </r>
  <r>
    <s v="TXN-100607"/>
    <n v="45472"/>
    <x v="8"/>
    <s v="Logistics"/>
    <x v="1"/>
    <s v="USD"/>
    <n v="64525.112450000001"/>
    <n v="39746.35"/>
    <n v="24778.76"/>
    <n v="66598.7"/>
    <n v="21205.11"/>
    <n v="89141.39"/>
    <n v="621"/>
    <n v="-7.4999999999999997E-2"/>
    <n v="0.38400000000000001"/>
    <n v="0.2379"/>
    <s v="2024Q2"/>
    <x v="3"/>
    <x v="0"/>
  </r>
  <r>
    <s v="TXN-100608"/>
    <n v="45650"/>
    <x v="7"/>
    <s v="Manufacturing"/>
    <x v="0"/>
    <s v="USD"/>
    <n v="25398.54"/>
    <n v="17227.47"/>
    <n v="8171.07"/>
    <n v="135376.24"/>
    <n v="38909.14"/>
    <n v="209734.39999999999"/>
    <n v="636"/>
    <n v="9.7699999999999995E-2"/>
    <n v="0.32169999999999999"/>
    <n v="0.1855"/>
    <s v="2024Q4"/>
    <x v="3"/>
    <x v="0"/>
  </r>
  <r>
    <s v="TXN-100609"/>
    <n v="45871"/>
    <x v="10"/>
    <s v="Technology"/>
    <x v="1"/>
    <s v="USD"/>
    <n v="148404.54920000001"/>
    <n v="129575.72"/>
    <n v="18828.830000000002"/>
    <n v="14845.07"/>
    <n v="145378.23000000001"/>
    <n v="194887.74"/>
    <n v="1452"/>
    <n v="1.4999999999999999E-2"/>
    <n v="0.12690000000000001"/>
    <n v="0.746"/>
    <s v="2025Q3"/>
    <x v="0"/>
    <x v="2"/>
  </r>
  <r>
    <s v="TXN-100610"/>
    <n v="44882"/>
    <x v="8"/>
    <s v="Logistics"/>
    <x v="1"/>
    <s v="USD"/>
    <n v="117001.40135"/>
    <n v="77743.5"/>
    <n v="39257.910000000003"/>
    <n v="28900.61"/>
    <n v="9499.68"/>
    <n v="55491.6"/>
    <n v="633"/>
    <n v="1.5900000000000001E-2"/>
    <n v="0.33550000000000002"/>
    <n v="0.17119999999999999"/>
    <s v="2022Q4"/>
    <x v="2"/>
    <x v="0"/>
  </r>
  <r>
    <s v="TXN-100611"/>
    <n v="45277"/>
    <x v="6"/>
    <s v="Travel"/>
    <x v="0"/>
    <s v="USD"/>
    <n v="142554.76"/>
    <n v="108041.47"/>
    <n v="34513.29"/>
    <n v="49996.3"/>
    <n v="51957.11"/>
    <n v="199980.65"/>
    <n v="1486"/>
    <n v="-2.93E-2"/>
    <n v="0.24210000000000001"/>
    <n v="0.25979999999999998"/>
    <s v="2023Q4"/>
    <x v="1"/>
    <x v="0"/>
  </r>
  <r>
    <s v="TXN-100612"/>
    <n v="44937"/>
    <x v="8"/>
    <s v="Logistics"/>
    <x v="2"/>
    <s v="USD"/>
    <n v="46793.11"/>
    <n v="30978.17"/>
    <n v="15814.94"/>
    <n v="87104.03"/>
    <n v="77512.58"/>
    <n v="139845.53"/>
    <n v="930"/>
    <n v="6.6900000000000001E-2"/>
    <n v="0.33800000000000002"/>
    <n v="0.55430000000000001"/>
    <s v="2023Q1"/>
    <x v="1"/>
    <x v="1"/>
  </r>
  <r>
    <s v="TXN-100613"/>
    <n v="45118"/>
    <x v="4"/>
    <s v="Energy"/>
    <x v="2"/>
    <s v="USD"/>
    <n v="63854.71"/>
    <n v="51868.73"/>
    <n v="11985.98"/>
    <n v="26400.34"/>
    <n v="33767.199999999997"/>
    <n v="99033.82"/>
    <n v="620"/>
    <n v="-2.7000000000000001E-3"/>
    <n v="0.18770000000000001"/>
    <n v="0.34100000000000003"/>
    <s v="2023Q3"/>
    <x v="1"/>
    <x v="1"/>
  </r>
  <r>
    <s v="TXN-100614"/>
    <n v="45345"/>
    <x v="0"/>
    <s v="Real Estate"/>
    <x v="1"/>
    <s v="USD"/>
    <n v="70146.283849999993"/>
    <n v="54050.78"/>
    <n v="16095.51"/>
    <n v="89233.48"/>
    <n v="25015.83"/>
    <n v="131135.20000000001"/>
    <n v="827"/>
    <n v="0.1129"/>
    <n v="0.22950000000000001"/>
    <n v="0.1908"/>
    <s v="2024Q1"/>
    <x v="3"/>
    <x v="0"/>
  </r>
  <r>
    <s v="TXN-100615"/>
    <n v="44763"/>
    <x v="8"/>
    <s v="Logistics"/>
    <x v="2"/>
    <s v="USD"/>
    <n v="38565.14"/>
    <n v="29246.67"/>
    <n v="9318.4699999999993"/>
    <n v="23959.27"/>
    <n v="64046.11"/>
    <n v="94062.720000000001"/>
    <n v="981"/>
    <n v="9.2999999999999992E-3"/>
    <n v="0.24160000000000001"/>
    <n v="0.68089999999999995"/>
    <s v="2022Q3"/>
    <x v="2"/>
    <x v="2"/>
  </r>
  <r>
    <s v="TXN-100616"/>
    <n v="45002"/>
    <x v="1"/>
    <s v="Food &amp; Beverage"/>
    <x v="1"/>
    <s v="USD"/>
    <n v="57408.971799999999"/>
    <n v="42584.7"/>
    <n v="14824.27"/>
    <n v="47685.599999999999"/>
    <n v="11681.79"/>
    <n v="135161.81"/>
    <n v="648"/>
    <n v="5.7000000000000002E-3"/>
    <n v="0.25819999999999999"/>
    <n v="8.6400000000000005E-2"/>
    <s v="2023Q1"/>
    <x v="1"/>
    <x v="0"/>
  </r>
  <r>
    <s v="TXN-100617"/>
    <n v="45143"/>
    <x v="5"/>
    <s v="Retail"/>
    <x v="2"/>
    <s v="USD"/>
    <n v="310403.74"/>
    <n v="230456.99"/>
    <n v="79946.75"/>
    <n v="103399.64"/>
    <n v="8352.98"/>
    <n v="203622"/>
    <n v="938"/>
    <n v="-0.1283"/>
    <n v="0.2576"/>
    <n v="4.1000000000000002E-2"/>
    <s v="2023Q3"/>
    <x v="1"/>
    <x v="0"/>
  </r>
  <r>
    <s v="TXN-100618"/>
    <n v="45277"/>
    <x v="4"/>
    <s v="Energy"/>
    <x v="0"/>
    <s v="USD"/>
    <n v="24191.67"/>
    <n v="19900.400000000001"/>
    <n v="4291.2700000000004"/>
    <n v="22182.6"/>
    <n v="33145.379999999997"/>
    <n v="80951.929999999993"/>
    <n v="836"/>
    <n v="-2.6499999999999999E-2"/>
    <n v="0.1774"/>
    <n v="0.40939999999999999"/>
    <s v="2023Q4"/>
    <x v="1"/>
    <x v="1"/>
  </r>
  <r>
    <s v="TXN-100619"/>
    <n v="45461"/>
    <x v="0"/>
    <s v="Real Estate"/>
    <x v="1"/>
    <s v="USD"/>
    <n v="53786.386450000005"/>
    <n v="45072.2"/>
    <n v="8714.18"/>
    <n v="12832.77"/>
    <n v="6228.01"/>
    <n v="213488.87"/>
    <n v="623"/>
    <n v="-1.7100000000000001E-2"/>
    <n v="0.16200000000000001"/>
    <n v="2.92E-2"/>
    <s v="2024Q2"/>
    <x v="3"/>
    <x v="0"/>
  </r>
  <r>
    <s v="TXN-100620"/>
    <d v="2024-02-22T00:00:00"/>
    <x v="5"/>
    <s v="Retail"/>
    <x v="0"/>
    <s v="USD"/>
    <n v="48605.13"/>
    <n v="36207.050000000003"/>
    <n v="12398.08"/>
    <n v="26773.25"/>
    <n v="23105.07"/>
    <n v="46248.800000000003"/>
    <n v="1658"/>
    <n v="-1.2800000000000001E-2"/>
    <n v="0.25509999999999999"/>
    <n v="0.49959999999999999"/>
    <s v="2024Q1"/>
    <x v="3"/>
    <x v="1"/>
  </r>
  <r>
    <s v="TXN-100621"/>
    <n v="45478"/>
    <x v="9"/>
    <s v="Media"/>
    <x v="1"/>
    <s v="USD"/>
    <n v="36483.604449999999"/>
    <n v="21412.68"/>
    <n v="15070.93"/>
    <n v="45093.88"/>
    <n v="34916.949999999997"/>
    <n v="95159.82"/>
    <n v="913"/>
    <n v="0.1145"/>
    <n v="0.41310000000000002"/>
    <n v="0.3669"/>
    <s v="2024Q3"/>
    <x v="3"/>
    <x v="1"/>
  </r>
  <r>
    <s v="TXN-100622"/>
    <n v="45639"/>
    <x v="5"/>
    <s v="Retail"/>
    <x v="2"/>
    <s v="USD"/>
    <n v="80462.89"/>
    <n v="68352.27"/>
    <n v="12110.62"/>
    <n v="52018.58"/>
    <n v="49135.55"/>
    <n v="162881.57999999999"/>
    <n v="555"/>
    <n v="1.37E-2"/>
    <n v="0.15049999999999999"/>
    <n v="0.30170000000000002"/>
    <s v="2024Q4"/>
    <x v="3"/>
    <x v="1"/>
  </r>
  <r>
    <s v="TXN-100623"/>
    <n v="44993"/>
    <x v="5"/>
    <s v="Retail"/>
    <x v="1"/>
    <s v="USD"/>
    <n v="67465.678549999997"/>
    <n v="45173.79"/>
    <n v="22291.89"/>
    <n v="78127.460000000006"/>
    <n v="26638.02"/>
    <n v="183909.01"/>
    <n v="608"/>
    <n v="-8.0000000000000002E-3"/>
    <n v="0.33040000000000003"/>
    <n v="0.14480000000000001"/>
    <s v="2023Q1"/>
    <x v="1"/>
    <x v="0"/>
  </r>
  <r>
    <s v="TXN-100624"/>
    <n v="45861"/>
    <x v="6"/>
    <s v="Travel"/>
    <x v="2"/>
    <s v="USD"/>
    <n v="223298.61"/>
    <n v="182234.87"/>
    <n v="41063.74"/>
    <n v="101366.48"/>
    <n v="29124.880000000001"/>
    <n v="312932.89"/>
    <n v="1375"/>
    <n v="-2.5600000000000001E-2"/>
    <n v="0.18390000000000001"/>
    <n v="9.3100000000000002E-2"/>
    <s v="2025Q3"/>
    <x v="0"/>
    <x v="0"/>
  </r>
  <r>
    <s v="TXN-100625"/>
    <n v="45006"/>
    <x v="0"/>
    <s v="Real Estate"/>
    <x v="1"/>
    <s v="USD"/>
    <n v="167230.49034999998"/>
    <n v="118701.85"/>
    <n v="48528.639999999999"/>
    <n v="30584.19"/>
    <n v="106275.95"/>
    <n v="64742.8"/>
    <n v="603"/>
    <n v="2.7300000000000001E-2"/>
    <n v="0.29020000000000001"/>
    <n v="1.6415"/>
    <s v="2023Q1"/>
    <x v="1"/>
    <x v="2"/>
  </r>
  <r>
    <s v="TXN-100626"/>
    <n v="45738"/>
    <x v="6"/>
    <s v="Travel"/>
    <x v="0"/>
    <s v="USD"/>
    <n v="85456.08"/>
    <n v="49274.45"/>
    <n v="36181.629999999997"/>
    <n v="54892.83"/>
    <n v="28277.11"/>
    <n v="87446.69"/>
    <n v="610"/>
    <n v="-0.108"/>
    <n v="0.4234"/>
    <n v="0.32340000000000002"/>
    <s v="2025Q1"/>
    <x v="0"/>
    <x v="1"/>
  </r>
  <r>
    <s v="TXN-100627"/>
    <n v="45229"/>
    <x v="8"/>
    <s v="Logistics"/>
    <x v="2"/>
    <s v="USD"/>
    <n v="53070.98"/>
    <n v="43579.25"/>
    <n v="9491.73"/>
    <n v="10676.82"/>
    <n v="9899.77"/>
    <n v="35138.83"/>
    <n v="826"/>
    <n v="-0.12670000000000001"/>
    <n v="0.17879999999999999"/>
    <n v="0.28170000000000001"/>
    <s v="2023Q4"/>
    <x v="1"/>
    <x v="0"/>
  </r>
  <r>
    <s v="TXN-100628"/>
    <n v="45241"/>
    <x v="10"/>
    <s v="Technology"/>
    <x v="2"/>
    <s v="USD"/>
    <n v="155297.32"/>
    <n v="85694.19"/>
    <n v="69603.13"/>
    <n v="35653.18"/>
    <n v="25609.16"/>
    <n v="186163.62"/>
    <n v="957"/>
    <n v="0.1699"/>
    <n v="0.44819999999999999"/>
    <n v="0.1376"/>
    <s v="2023Q4"/>
    <x v="1"/>
    <x v="0"/>
  </r>
  <r>
    <s v="TXN-100629"/>
    <n v="45855"/>
    <x v="8"/>
    <s v="Logistics"/>
    <x v="0"/>
    <s v="USD"/>
    <n v="136836.15"/>
    <n v="116103"/>
    <n v="20733.150000000001"/>
    <n v="32400.560000000001"/>
    <n v="8388.82"/>
    <n v="76043.83"/>
    <n v="497"/>
    <n v="6.9500000000000006E-2"/>
    <n v="0.1515"/>
    <n v="0.1103"/>
    <s v="2025Q3"/>
    <x v="0"/>
    <x v="0"/>
  </r>
  <r>
    <s v="TXN-100630"/>
    <n v="45474"/>
    <x v="10"/>
    <s v="Technology"/>
    <x v="2"/>
    <s v="USD"/>
    <n v="53001.55"/>
    <n v="46865.79"/>
    <n v="6135.76"/>
    <n v="76887.19"/>
    <n v="31786.04"/>
    <n v="170763.92"/>
    <n v="1662"/>
    <n v="-3.8399999999999997E-2"/>
    <n v="0.1158"/>
    <n v="0.18609999999999999"/>
    <s v="2024Q3"/>
    <x v="3"/>
    <x v="0"/>
  </r>
  <r>
    <s v="TXN-100631"/>
    <n v="45431"/>
    <x v="4"/>
    <s v="Energy"/>
    <x v="3"/>
    <s v="USD"/>
    <n v="113805.88"/>
    <n v="64633.97"/>
    <n v="49171.91"/>
    <n v="29835.74"/>
    <n v="34751.300000000003"/>
    <n v="50679.13"/>
    <n v="735"/>
    <n v="1.83E-2"/>
    <n v="0.43209999999999998"/>
    <n v="0.68569999999999998"/>
    <s v="2024Q2"/>
    <x v="3"/>
    <x v="2"/>
  </r>
  <r>
    <s v="TXN-100632"/>
    <n v="44638"/>
    <x v="9"/>
    <s v="Media"/>
    <x v="1"/>
    <s v="USD"/>
    <n v="131088.9203"/>
    <n v="103823.56"/>
    <n v="27265.360000000001"/>
    <n v="50589.95"/>
    <n v="11466.33"/>
    <n v="121338.57"/>
    <n v="866"/>
    <n v="-3.8399999999999997E-2"/>
    <n v="0.20799999999999999"/>
    <n v="9.4500000000000001E-2"/>
    <s v="2022Q1"/>
    <x v="2"/>
    <x v="0"/>
  </r>
  <r>
    <s v="TXN-100633"/>
    <n v="45139"/>
    <x v="7"/>
    <s v="Manufacturing"/>
    <x v="1"/>
    <s v="USD"/>
    <n v="23310.127549999997"/>
    <n v="19823.59"/>
    <n v="3486.54"/>
    <n v="37068.879999999997"/>
    <n v="42061.09"/>
    <n v="164469.48000000001"/>
    <n v="933"/>
    <n v="-3.4000000000000002E-2"/>
    <n v="0.14960000000000001"/>
    <n v="0.25569999999999998"/>
    <s v="2023Q3"/>
    <x v="1"/>
    <x v="0"/>
  </r>
  <r>
    <s v="TXN-100634"/>
    <d v="2023-10-15T00:00:00"/>
    <x v="5"/>
    <s v="Retail"/>
    <x v="0"/>
    <s v="USD"/>
    <n v="47387.57"/>
    <n v="41989.9"/>
    <n v="5397.67"/>
    <n v="55724.69"/>
    <n v="25431.13"/>
    <n v="86247.360000000001"/>
    <n v="1027"/>
    <n v="7.1800000000000003E-2"/>
    <n v="0.1139"/>
    <n v="0.2949"/>
    <s v="2023Q4"/>
    <x v="1"/>
    <x v="0"/>
  </r>
  <r>
    <s v="TXN-100635"/>
    <n v="44624"/>
    <x v="6"/>
    <s v="Travel"/>
    <x v="0"/>
    <s v="USD"/>
    <n v="81571.13"/>
    <s v="null"/>
    <s v="null"/>
    <n v="6354.24"/>
    <n v="22608.18"/>
    <n v="136085.13"/>
    <n v="1182"/>
    <n v="3.1800000000000002E-2"/>
    <s v="null"/>
    <n v="0.1661"/>
    <s v="2022Q1"/>
    <x v="2"/>
    <x v="0"/>
  </r>
  <r>
    <s v="TXN-100636"/>
    <n v="45307"/>
    <x v="0"/>
    <s v="Real Estate"/>
    <x v="2"/>
    <s v="USD"/>
    <n v="48676.62"/>
    <n v="34216.58"/>
    <n v="14460.04"/>
    <n v="36368.720000000001"/>
    <n v="4649.3999999999996"/>
    <n v="235079.01"/>
    <n v="1232"/>
    <n v="0.05"/>
    <n v="0.29709999999999998"/>
    <n v="1.9800000000000002E-2"/>
    <s v="2024Q1"/>
    <x v="3"/>
    <x v="0"/>
  </r>
  <r>
    <s v="TXN-100637"/>
    <n v="45651"/>
    <x v="10"/>
    <s v="Technology"/>
    <x v="2"/>
    <s v="USD"/>
    <n v="236282.85"/>
    <n v="160789.47"/>
    <n v="75493.38"/>
    <n v="34532.160000000003"/>
    <n v="20872.599999999999"/>
    <n v="47728.71"/>
    <n v="715"/>
    <n v="9.8299999999999998E-2"/>
    <n v="0.31950000000000001"/>
    <n v="0.43730000000000002"/>
    <s v="2024Q4"/>
    <x v="3"/>
    <x v="1"/>
  </r>
  <r>
    <s v="TXN-100638"/>
    <n v="45266"/>
    <x v="4"/>
    <s v="Energy"/>
    <x v="0"/>
    <s v="USD"/>
    <n v="63094.01"/>
    <n v="56377.52"/>
    <n v="6716.49"/>
    <n v="29755.51"/>
    <n v="113482.15"/>
    <n v="143780.29999999999"/>
    <n v="801"/>
    <n v="6.0400000000000002E-2"/>
    <n v="0.1065"/>
    <n v="0.7893"/>
    <s v="2023Q4"/>
    <x v="1"/>
    <x v="2"/>
  </r>
  <r>
    <s v="TXN-100639"/>
    <n v="45356"/>
    <x v="5"/>
    <s v="Retail"/>
    <x v="2"/>
    <s v="USD"/>
    <n v="25777.01"/>
    <n v="20758.47"/>
    <n v="5018.54"/>
    <n v="13046.4"/>
    <n v="7581.76"/>
    <n v="38119.9"/>
    <n v="536"/>
    <n v="7.0099999999999996E-2"/>
    <n v="0.19470000000000001"/>
    <n v="0.19889999999999999"/>
    <s v="2024Q1"/>
    <x v="3"/>
    <x v="0"/>
  </r>
  <r>
    <s v="TXN-100640"/>
    <n v="45752"/>
    <x v="9"/>
    <s v="Media"/>
    <x v="0"/>
    <s v="USD"/>
    <n v="200177.69"/>
    <n v="111657.39"/>
    <n v="88520.3"/>
    <n v="57130.21"/>
    <n v="49030.66"/>
    <n v="88787.46"/>
    <n v="1290"/>
    <n v="-2.2100000000000002E-2"/>
    <n v="0.44219999999999998"/>
    <n v="0.55220000000000002"/>
    <s v="2025Q2"/>
    <x v="0"/>
    <x v="1"/>
  </r>
  <r>
    <s v="TXN-100641"/>
    <n v="45885"/>
    <x v="11"/>
    <s v="Financial Services"/>
    <x v="1"/>
    <s v="USD"/>
    <n v="82194.683749999997"/>
    <n v="49836.639999999999"/>
    <n v="32358.04"/>
    <n v="40883.43"/>
    <n v="11492.62"/>
    <n v="180932.91"/>
    <n v="1920"/>
    <n v="0.13519999999999999"/>
    <n v="0.39369999999999999"/>
    <n v="6.3500000000000001E-2"/>
    <s v="2025Q3"/>
    <x v="0"/>
    <x v="0"/>
  </r>
  <r>
    <s v="TXN-100642"/>
    <n v="44963"/>
    <x v="3"/>
    <s v="Telecommunications"/>
    <x v="0"/>
    <s v="USD"/>
    <n v="55846.6"/>
    <n v="42923.8"/>
    <n v="12922.8"/>
    <n v="51557.53"/>
    <n v="19812.32"/>
    <n v="111637.7"/>
    <n v="1427"/>
    <n v="6.0999999999999999E-2"/>
    <n v="0.23139999999999999"/>
    <n v="0.17749999999999999"/>
    <s v="2023Q1"/>
    <x v="1"/>
    <x v="0"/>
  </r>
  <r>
    <s v="TXN-100643"/>
    <n v="45004"/>
    <x v="5"/>
    <s v="Retail"/>
    <x v="2"/>
    <s v="USD"/>
    <n v="76812.649999999994"/>
    <n v="68674.509999999995"/>
    <n v="8138.14"/>
    <n v="68473.69"/>
    <n v="6176.33"/>
    <n v="74238.87"/>
    <n v="986"/>
    <n v="-9.7999999999999997E-3"/>
    <n v="0.10589999999999999"/>
    <n v="8.3199999999999996E-2"/>
    <s v="2023Q1"/>
    <x v="1"/>
    <x v="0"/>
  </r>
  <r>
    <s v="TXN-100644"/>
    <n v="45930"/>
    <x v="5"/>
    <s v="Retail"/>
    <x v="1"/>
    <s v="USD"/>
    <n v="85466.017449999999"/>
    <n v="68417.67"/>
    <n v="17048.349999999999"/>
    <n v="60989.46"/>
    <n v="21543.86"/>
    <n v="149283.41"/>
    <n v="740"/>
    <n v="1.7000000000000001E-2"/>
    <n v="0.19950000000000001"/>
    <n v="0.14430000000000001"/>
    <s v="2025Q3"/>
    <x v="0"/>
    <x v="0"/>
  </r>
  <r>
    <s v="TXN-100645"/>
    <n v="44635"/>
    <x v="8"/>
    <s v="Logistics"/>
    <x v="2"/>
    <s v="USD"/>
    <n v="53604.91"/>
    <n v="38059.58"/>
    <n v="15545.33"/>
    <n v="14974.21"/>
    <n v="15764.02"/>
    <n v="84193.48"/>
    <n v="489"/>
    <n v="1.12E-2"/>
    <n v="0.28999999999999998"/>
    <n v="0.18720000000000001"/>
    <s v="2022Q1"/>
    <x v="2"/>
    <x v="0"/>
  </r>
  <r>
    <s v="TXN-100646"/>
    <n v="45688"/>
    <x v="5"/>
    <s v="Retail"/>
    <x v="1"/>
    <s v="USD"/>
    <n v="178847.00770000002"/>
    <n v="127003.53"/>
    <n v="51843.48"/>
    <n v="22666.18"/>
    <n v="177407.35"/>
    <n v="80199.86"/>
    <n v="452"/>
    <n v="8.1100000000000005E-2"/>
    <n v="0.28989999999999999"/>
    <n v="2.2121"/>
    <s v="2025Q1"/>
    <x v="0"/>
    <x v="2"/>
  </r>
  <r>
    <s v="TXN-100647"/>
    <n v="45146"/>
    <x v="9"/>
    <s v="Media"/>
    <x v="3"/>
    <s v="USD"/>
    <n v="84615.37"/>
    <s v="null"/>
    <s v="null"/>
    <n v="46688.53"/>
    <n v="66167.59"/>
    <n v="62891.03"/>
    <n v="1079"/>
    <n v="-1.0800000000000001E-2"/>
    <s v="null"/>
    <n v="1.0521"/>
    <s v="2023Q3"/>
    <x v="1"/>
    <x v="2"/>
  </r>
  <r>
    <s v="TXN-100648"/>
    <n v="45535"/>
    <x v="11"/>
    <s v="Financial Services"/>
    <x v="2"/>
    <s v="USD"/>
    <n v="78724.240000000005"/>
    <n v="50920.29"/>
    <n v="27803.95"/>
    <n v="45310.58"/>
    <n v="39693.19"/>
    <n v="92222.44"/>
    <n v="1861"/>
    <n v="-3.6400000000000002E-2"/>
    <n v="0.35320000000000001"/>
    <n v="0.4304"/>
    <s v="2024Q3"/>
    <x v="3"/>
    <x v="1"/>
  </r>
  <r>
    <s v="TXN-100649"/>
    <n v="44860"/>
    <x v="0"/>
    <s v="Real Estate"/>
    <x v="2"/>
    <s v="USD"/>
    <n v="76871.92"/>
    <n v="68107.83"/>
    <n v="8764.09"/>
    <n v="0"/>
    <n v="45598.28"/>
    <n v="237699.25"/>
    <n v="1432"/>
    <n v="1.7000000000000001E-2"/>
    <n v="0.114"/>
    <n v="0.1918"/>
    <s v="2022Q4"/>
    <x v="2"/>
    <x v="0"/>
  </r>
  <r>
    <s v="TXN-100650"/>
    <n v="45234"/>
    <x v="7"/>
    <s v="Manufacturing"/>
    <x v="2"/>
    <s v="USD"/>
    <n v="65548.77"/>
    <n v="43922.1"/>
    <n v="21626.67"/>
    <n v="26154.880000000001"/>
    <n v="25137.42"/>
    <n v="94365.19"/>
    <n v="2202"/>
    <n v="-2.4199999999999999E-2"/>
    <n v="0.32990000000000003"/>
    <n v="0.26640000000000003"/>
    <s v="2023Q4"/>
    <x v="1"/>
    <x v="0"/>
  </r>
  <r>
    <s v="TXN-100651"/>
    <n v="44647"/>
    <x v="0"/>
    <s v="Real Estate"/>
    <x v="0"/>
    <s v="USD"/>
    <n v="108875.03"/>
    <n v="85109.35"/>
    <n v="23765.68"/>
    <n v="43419.6"/>
    <n v="14062.75"/>
    <n v="122254.46"/>
    <n v="643"/>
    <n v="7.4899999999999994E-2"/>
    <n v="0.21829999999999999"/>
    <n v="0.115"/>
    <s v="2022Q1"/>
    <x v="2"/>
    <x v="0"/>
  </r>
  <r>
    <s v="TXN-100652"/>
    <n v="45681"/>
    <x v="9"/>
    <s v="Media"/>
    <x v="0"/>
    <s v="USD"/>
    <n v="60314.63"/>
    <n v="46960.42"/>
    <n v="13354.21"/>
    <n v="11808.85"/>
    <n v="20500.259999999998"/>
    <n v="83041.429999999993"/>
    <s v="null"/>
    <n v="-3.2000000000000001E-2"/>
    <n v="0.22140000000000001"/>
    <n v="0.24690000000000001"/>
    <s v="2025Q1"/>
    <x v="0"/>
    <x v="0"/>
  </r>
  <r>
    <s v="TXN-100653"/>
    <n v="44951"/>
    <x v="6"/>
    <s v="Travel"/>
    <x v="2"/>
    <s v="USD"/>
    <n v="119889.89"/>
    <n v="98316.78"/>
    <n v="21573.11"/>
    <n v="9700.5400000000009"/>
    <n v="111088.82"/>
    <n v="33648.65"/>
    <n v="1454"/>
    <n v="8.5900000000000004E-2"/>
    <n v="0.1799"/>
    <n v="3.3014000000000001"/>
    <s v="2023Q1"/>
    <x v="1"/>
    <x v="2"/>
  </r>
  <r>
    <s v="TXN-100654"/>
    <n v="45421"/>
    <x v="6"/>
    <s v="Travel"/>
    <x v="0"/>
    <s v="USD"/>
    <n v="100327.22"/>
    <n v="85539.46"/>
    <n v="14787.76"/>
    <n v="27216.75"/>
    <n v="64556.36"/>
    <n v="66954.929999999993"/>
    <n v="636"/>
    <n v="-1.06E-2"/>
    <n v="0.1474"/>
    <n v="0.96419999999999995"/>
    <s v="2024Q2"/>
    <x v="3"/>
    <x v="2"/>
  </r>
  <r>
    <s v="TXN-100655"/>
    <n v="44643"/>
    <x v="3"/>
    <s v="Telecommunications"/>
    <x v="0"/>
    <s v="USD"/>
    <n v="73481.259999999995"/>
    <n v="46766.5"/>
    <n v="26714.76"/>
    <n v="11672.81"/>
    <n v="81502.509999999995"/>
    <n v="54480.37"/>
    <n v="647"/>
    <n v="6.4399999999999999E-2"/>
    <n v="0.36359999999999998"/>
    <n v="1.496"/>
    <s v="2022Q1"/>
    <x v="2"/>
    <x v="2"/>
  </r>
  <r>
    <s v="TXN-100656"/>
    <n v="45674"/>
    <x v="2"/>
    <s v="Healthcare"/>
    <x v="1"/>
    <s v="USD"/>
    <n v="424524.27620000002"/>
    <n v="321432.59000000003"/>
    <n v="103091.69"/>
    <n v="38855.67"/>
    <n v="86046.01"/>
    <n v="43679.199999999997"/>
    <n v="1099"/>
    <n v="-2.5000000000000001E-2"/>
    <n v="0.24279999999999999"/>
    <n v="1.97"/>
    <s v="2025Q1"/>
    <x v="0"/>
    <x v="2"/>
  </r>
  <r>
    <s v="TXN-100657"/>
    <n v="45238"/>
    <x v="0"/>
    <s v="Real Estate"/>
    <x v="2"/>
    <s v="USD"/>
    <n v="66382.2"/>
    <n v="39838.699999999997"/>
    <n v="26543.5"/>
    <n v="46913.49"/>
    <n v="12021.57"/>
    <n v="108974.23"/>
    <n v="696"/>
    <n v="-0.1021"/>
    <n v="0.39989999999999998"/>
    <n v="0.1103"/>
    <s v="2023Q4"/>
    <x v="1"/>
    <x v="0"/>
  </r>
  <r>
    <s v="TXN-100658"/>
    <n v="45608"/>
    <x v="4"/>
    <s v="Energy"/>
    <x v="0"/>
    <s v="USD"/>
    <n v="76453.77"/>
    <n v="46220.73"/>
    <n v="30233.040000000001"/>
    <n v="9676.67"/>
    <n v="69106.73"/>
    <n v="278554.42"/>
    <n v="1020"/>
    <n v="2.0500000000000001E-2"/>
    <n v="0.39539999999999997"/>
    <n v="0.24809999999999999"/>
    <s v="2024Q4"/>
    <x v="3"/>
    <x v="0"/>
  </r>
  <r>
    <s v="TXN-100659"/>
    <n v="45598"/>
    <x v="6"/>
    <s v="Travel"/>
    <x v="1"/>
    <s v="USD"/>
    <n v="64567.706450000005"/>
    <n v="56895.86"/>
    <n v="7671.84"/>
    <n v="22332.25"/>
    <n v="27053.69"/>
    <n v="89597.18"/>
    <n v="688"/>
    <n v="4.4000000000000003E-3"/>
    <n v="0.1188"/>
    <n v="0.3019"/>
    <s v="2024Q4"/>
    <x v="3"/>
    <x v="1"/>
  </r>
  <r>
    <s v="TXN-100660"/>
    <n v="44621"/>
    <x v="9"/>
    <s v="Media"/>
    <x v="0"/>
    <s v="USD"/>
    <n v="97048.33"/>
    <n v="59286.23"/>
    <n v="37762.1"/>
    <n v="18851.45"/>
    <n v="98007.1"/>
    <n v="130099.94"/>
    <n v="3112"/>
    <n v="-0.1065"/>
    <n v="0.3891"/>
    <n v="0.75329999999999997"/>
    <s v="2022Q1"/>
    <x v="2"/>
    <x v="2"/>
  </r>
  <r>
    <s v="TXN-100661"/>
    <d v="2025-03-26T00:00:00"/>
    <x v="5"/>
    <s v="Retail"/>
    <x v="0"/>
    <s v="USD"/>
    <n v="162606.66"/>
    <s v="null"/>
    <s v="null"/>
    <n v="28158.79"/>
    <n v="9283.34"/>
    <n v="230843.41"/>
    <n v="667"/>
    <n v="9.1200000000000003E-2"/>
    <s v="null"/>
    <n v="4.02E-2"/>
    <s v="2025Q1"/>
    <x v="0"/>
    <x v="0"/>
  </r>
  <r>
    <s v="TXN-100662"/>
    <d v="2022-07-24T00:00:00"/>
    <x v="5"/>
    <s v="Retail"/>
    <x v="0"/>
    <s v="USD"/>
    <n v="156163.16"/>
    <n v="90492.17"/>
    <n v="65670.990000000005"/>
    <n v="18435.13"/>
    <n v="25421.47"/>
    <n v="56207.63"/>
    <n v="1370"/>
    <n v="2.9999999999999997E-4"/>
    <n v="0.42049999999999998"/>
    <n v="0.45229999999999998"/>
    <s v="2022Q3"/>
    <x v="2"/>
    <x v="1"/>
  </r>
  <r>
    <s v="TXN-100663"/>
    <n v="44787"/>
    <x v="7"/>
    <s v="Manufacturing"/>
    <x v="3"/>
    <s v="USD"/>
    <n v="83793.509999999995"/>
    <n v="59467.1"/>
    <n v="24326.41"/>
    <n v="22188.53"/>
    <n v="19371.349999999999"/>
    <n v="88953.44"/>
    <n v="1614"/>
    <n v="1.83E-2"/>
    <n v="0.2903"/>
    <n v="0.21779999999999999"/>
    <s v="2022Q3"/>
    <x v="2"/>
    <x v="0"/>
  </r>
  <r>
    <s v="TXN-100664"/>
    <n v="45913"/>
    <x v="9"/>
    <s v="Media"/>
    <x v="1"/>
    <s v="USD"/>
    <n v="87968.472200000004"/>
    <n v="59482.3"/>
    <n v="28486.17"/>
    <n v="58178.37"/>
    <n v="32204.91"/>
    <n v="161085.12"/>
    <n v="975"/>
    <n v="-3.1899999999999998E-2"/>
    <n v="0.32379999999999998"/>
    <n v="0.19989999999999999"/>
    <s v="2025Q3"/>
    <x v="0"/>
    <x v="0"/>
  </r>
  <r>
    <s v="TXN-100665"/>
    <n v="44610"/>
    <x v="7"/>
    <s v="Manufacturing"/>
    <x v="3"/>
    <s v="USD"/>
    <n v="31631.19"/>
    <n v="28705.41"/>
    <n v="2925.78"/>
    <n v="82122.06"/>
    <n v="40595.22"/>
    <n v="228215.2"/>
    <n v="602"/>
    <n v="-9.8900000000000002E-2"/>
    <n v="9.2499999999999999E-2"/>
    <n v="0.1779"/>
    <s v="2022Q1"/>
    <x v="2"/>
    <x v="0"/>
  </r>
  <r>
    <s v="TXN-100666"/>
    <n v="45477"/>
    <x v="5"/>
    <s v="Retail"/>
    <x v="2"/>
    <s v="USD"/>
    <n v="128722.8"/>
    <n v="93659.59"/>
    <n v="35063.21"/>
    <n v="16437.89"/>
    <n v="11206.23"/>
    <n v="64013.47"/>
    <n v="1766"/>
    <n v="-1.4200000000000001E-2"/>
    <n v="0.27239999999999998"/>
    <n v="0.17510000000000001"/>
    <s v="2024Q3"/>
    <x v="3"/>
    <x v="0"/>
  </r>
  <r>
    <s v="TXN-100667"/>
    <n v="44791"/>
    <x v="6"/>
    <s v="Travel"/>
    <x v="1"/>
    <s v="USD"/>
    <n v="45576.518900000003"/>
    <n v="30475.71"/>
    <n v="15100.81"/>
    <n v="45229.96"/>
    <n v="23042.28"/>
    <n v="144894.45000000001"/>
    <n v="458"/>
    <n v="0.1338"/>
    <n v="0.33129999999999998"/>
    <n v="0.159"/>
    <s v="2022Q3"/>
    <x v="2"/>
    <x v="0"/>
  </r>
  <r>
    <s v="TXN-100668"/>
    <n v="44635"/>
    <x v="2"/>
    <s v="Healthcare"/>
    <x v="2"/>
    <s v="USD"/>
    <n v="33917.61"/>
    <n v="19882.740000000002"/>
    <n v="14034.87"/>
    <n v="54562.080000000002"/>
    <n v="88856.62"/>
    <n v="347944.25"/>
    <n v="909"/>
    <n v="-7.6899999999999996E-2"/>
    <n v="0.4138"/>
    <n v="0.25540000000000002"/>
    <s v="2022Q1"/>
    <x v="2"/>
    <x v="0"/>
  </r>
  <r>
    <s v="TXN-100669"/>
    <n v="44944"/>
    <x v="10"/>
    <s v="Technology"/>
    <x v="0"/>
    <s v="USD"/>
    <n v="37434.949999999997"/>
    <n v="22291.81"/>
    <n v="15143.14"/>
    <n v="28401.63"/>
    <n v="91454.12"/>
    <n v="159196.82"/>
    <n v="1028"/>
    <n v="0.1208"/>
    <n v="0.40450000000000003"/>
    <n v="0.57450000000000001"/>
    <s v="2023Q1"/>
    <x v="1"/>
    <x v="1"/>
  </r>
  <r>
    <s v="TXN-100670"/>
    <n v="45921"/>
    <x v="5"/>
    <s v="Retail"/>
    <x v="2"/>
    <s v="USD"/>
    <n v="32311.53"/>
    <n v="26862.89"/>
    <n v="5448.64"/>
    <n v="36973.599999999999"/>
    <n v="34070.46"/>
    <n v="87050.98"/>
    <n v="746"/>
    <n v="0.1464"/>
    <n v="0.1686"/>
    <n v="0.39140000000000003"/>
    <s v="2025Q3"/>
    <x v="0"/>
    <x v="1"/>
  </r>
  <r>
    <s v="TXN-100671"/>
    <n v="45907"/>
    <x v="4"/>
    <s v="Energy"/>
    <x v="1"/>
    <s v="USD"/>
    <n v="18725.9712"/>
    <n v="13716.8"/>
    <n v="5009.17"/>
    <n v="29222.61"/>
    <n v="10966.2"/>
    <n v="116936.19"/>
    <n v="1024"/>
    <n v="6.0400000000000002E-2"/>
    <n v="0.26750000000000002"/>
    <n v="9.3799999999999994E-2"/>
    <s v="2025Q3"/>
    <x v="0"/>
    <x v="0"/>
  </r>
  <r>
    <s v="TXN-100672"/>
    <n v="45199"/>
    <x v="3"/>
    <s v="Telecommunications"/>
    <x v="2"/>
    <s v="USD"/>
    <n v="39544.769999999997"/>
    <n v="22901.1"/>
    <n v="16643.669999999998"/>
    <n v="39417.71"/>
    <n v="3834.33"/>
    <n v="139437.41"/>
    <n v="622"/>
    <n v="2.3199999999999998E-2"/>
    <n v="0.4209"/>
    <n v="2.75E-2"/>
    <s v="2023Q3"/>
    <x v="1"/>
    <x v="0"/>
  </r>
  <r>
    <s v="TXN-100673"/>
    <n v="45134"/>
    <x v="10"/>
    <s v="Technology"/>
    <x v="2"/>
    <s v="USD"/>
    <n v="240922.68"/>
    <n v="161515.71"/>
    <n v="79406.97"/>
    <n v="49955.040000000001"/>
    <n v="16688.650000000001"/>
    <n v="67009.17"/>
    <n v="854"/>
    <n v="1.26E-2"/>
    <n v="0.3296"/>
    <n v="0.24909999999999999"/>
    <s v="2023Q3"/>
    <x v="1"/>
    <x v="0"/>
  </r>
  <r>
    <s v="TXN-100674"/>
    <n v="45025"/>
    <x v="3"/>
    <s v="Telecommunications"/>
    <x v="0"/>
    <s v="USD"/>
    <n v="35700.86"/>
    <n v="20502.02"/>
    <n v="15198.84"/>
    <n v="58360.08"/>
    <n v="46078.45"/>
    <n v="284301.09999999998"/>
    <n v="414"/>
    <n v="-8.0199999999999994E-2"/>
    <n v="0.42570000000000002"/>
    <n v="0.16209999999999999"/>
    <s v="2023Q2"/>
    <x v="1"/>
    <x v="0"/>
  </r>
  <r>
    <s v="TXN-100675"/>
    <n v="45387"/>
    <x v="4"/>
    <s v="Energy"/>
    <x v="1"/>
    <s v="USD"/>
    <n v="59100.377250000005"/>
    <n v="34462.76"/>
    <n v="24637.62"/>
    <n v="32501.73"/>
    <n v="6488.02"/>
    <n v="67561.11"/>
    <n v="376"/>
    <n v="2.1999999999999999E-2"/>
    <n v="0.41689999999999999"/>
    <n v="9.6000000000000002E-2"/>
    <s v="2024Q2"/>
    <x v="3"/>
    <x v="0"/>
  </r>
  <r>
    <s v="TXN-100676"/>
    <n v="45652"/>
    <x v="4"/>
    <s v="Energy"/>
    <x v="1"/>
    <s v="USD"/>
    <n v="46941.599349999997"/>
    <n v="37803.379999999997"/>
    <n v="9138.2199999999993"/>
    <n v="58380.23"/>
    <n v="10199.879999999999"/>
    <n v="76176.479999999996"/>
    <n v="330"/>
    <n v="-2.8899999999999999E-2"/>
    <n v="0.19470000000000001"/>
    <n v="0.13389999999999999"/>
    <s v="2024Q4"/>
    <x v="3"/>
    <x v="0"/>
  </r>
  <r>
    <s v="TXN-100677"/>
    <d v="2023-08-09T00:00:00"/>
    <x v="5"/>
    <s v="Retail"/>
    <x v="0"/>
    <s v="USD"/>
    <s v="null"/>
    <n v="107631.8"/>
    <s v="null"/>
    <n v="77623.16"/>
    <n v="8953.68"/>
    <n v="129976.05"/>
    <n v="835"/>
    <n v="2.63E-2"/>
    <s v="null"/>
    <n v="6.8900000000000003E-2"/>
    <s v="2023Q3"/>
    <x v="1"/>
    <x v="0"/>
  </r>
  <r>
    <s v="TXN-100678"/>
    <n v="44750"/>
    <x v="9"/>
    <s v="Media"/>
    <x v="2"/>
    <s v="USD"/>
    <n v="78400.78"/>
    <n v="56194.64"/>
    <n v="22206.14"/>
    <n v="36757.339999999997"/>
    <n v="42549.5"/>
    <n v="121007.74"/>
    <n v="670"/>
    <n v="4.82E-2"/>
    <n v="0.28320000000000001"/>
    <n v="0.35160000000000002"/>
    <s v="2022Q3"/>
    <x v="2"/>
    <x v="1"/>
  </r>
  <r>
    <s v="TXN-100679"/>
    <n v="44774"/>
    <x v="1"/>
    <s v="Food &amp; Beverage"/>
    <x v="2"/>
    <s v="USD"/>
    <n v="68446.91"/>
    <n v="54790.48"/>
    <n v="13656.43"/>
    <n v="64651.51"/>
    <n v="12964.07"/>
    <n v="124247.81"/>
    <n v="867"/>
    <n v="2.4799999999999999E-2"/>
    <n v="0.19950000000000001"/>
    <n v="0.1043"/>
    <s v="2022Q3"/>
    <x v="2"/>
    <x v="0"/>
  </r>
  <r>
    <s v="TXN-100680"/>
    <d v="2024-06-09T00:00:00"/>
    <x v="5"/>
    <s v="Retail"/>
    <x v="0"/>
    <s v="USD"/>
    <s v="null"/>
    <n v="20492.43"/>
    <s v="null"/>
    <n v="11931.99"/>
    <n v="38590.839999999997"/>
    <n v="139326.96"/>
    <n v="442"/>
    <n v="9.11E-2"/>
    <s v="null"/>
    <n v="0.27700000000000002"/>
    <s v="2024Q2"/>
    <x v="3"/>
    <x v="0"/>
  </r>
  <r>
    <s v="TXN-100681"/>
    <n v="44641"/>
    <x v="1"/>
    <s v="Food &amp; Beverage"/>
    <x v="2"/>
    <s v="USD"/>
    <n v="75793.48"/>
    <n v="61284.22"/>
    <n v="14509.26"/>
    <n v="26267.78"/>
    <n v="22572.57"/>
    <n v="87033.21"/>
    <n v="752"/>
    <n v="2.58E-2"/>
    <n v="0.19139999999999999"/>
    <n v="0.25940000000000002"/>
    <s v="2022Q1"/>
    <x v="2"/>
    <x v="0"/>
  </r>
  <r>
    <s v="TXN-100682"/>
    <d v="2022-09-05T00:00:00"/>
    <x v="5"/>
    <s v="Retail"/>
    <x v="0"/>
    <s v="USD"/>
    <n v="78094.25"/>
    <n v="66283.81"/>
    <n v="11810.44"/>
    <n v="45647.55"/>
    <n v="22293.73"/>
    <n v="76281.490000000005"/>
    <n v="1285"/>
    <n v="-0.1305"/>
    <n v="0.1512"/>
    <n v="0.2923"/>
    <s v="2022Q3"/>
    <x v="2"/>
    <x v="0"/>
  </r>
  <r>
    <s v="TXN-100683"/>
    <n v="44870"/>
    <x v="8"/>
    <s v="Logistics"/>
    <x v="2"/>
    <s v="USD"/>
    <n v="111282.66"/>
    <n v="83558.25"/>
    <n v="27724.41"/>
    <n v="15224.61"/>
    <n v="30652"/>
    <n v="42211.85"/>
    <n v="852"/>
    <n v="5.5599999999999997E-2"/>
    <n v="0.24909999999999999"/>
    <n v="0.72609999999999997"/>
    <s v="2022Q4"/>
    <x v="2"/>
    <x v="2"/>
  </r>
  <r>
    <s v="TXN-100684"/>
    <n v="45746"/>
    <x v="10"/>
    <s v="Technology"/>
    <x v="0"/>
    <s v="USD"/>
    <n v="86241.72"/>
    <n v="73617.08"/>
    <n v="12624.64"/>
    <n v="17534.43"/>
    <n v="12414.72"/>
    <n v="50491.199999999997"/>
    <n v="940"/>
    <n v="-0.1636"/>
    <n v="0.1464"/>
    <n v="0.24590000000000001"/>
    <s v="2025Q1"/>
    <x v="0"/>
    <x v="0"/>
  </r>
  <r>
    <s v="TXN-100685"/>
    <n v="45407"/>
    <x v="2"/>
    <s v="Healthcare"/>
    <x v="3"/>
    <s v="USD"/>
    <n v="114066.12"/>
    <n v="74302.14"/>
    <n v="39763.980000000003"/>
    <n v="61091.72"/>
    <n v="22175.94"/>
    <n v="203229.09"/>
    <n v="642"/>
    <n v="-9.9500000000000005E-2"/>
    <n v="0.34860000000000002"/>
    <n v="0.1091"/>
    <s v="2024Q2"/>
    <x v="3"/>
    <x v="0"/>
  </r>
  <r>
    <s v="TXN-100686"/>
    <n v="44764"/>
    <x v="9"/>
    <s v="Media"/>
    <x v="2"/>
    <s v="USD"/>
    <n v="51677.24"/>
    <n v="29122.86"/>
    <n v="22554.38"/>
    <n v="3846.35"/>
    <n v="39896.730000000003"/>
    <n v="46293.04"/>
    <n v="707"/>
    <n v="7.3200000000000001E-2"/>
    <n v="0.43640000000000001"/>
    <n v="0.86180000000000001"/>
    <s v="2022Q3"/>
    <x v="2"/>
    <x v="2"/>
  </r>
  <r>
    <s v="TXN-100687"/>
    <n v="45605"/>
    <x v="5"/>
    <s v="Retail"/>
    <x v="2"/>
    <s v="USD"/>
    <n v="115496.14"/>
    <n v="93604.6"/>
    <n v="21891.54"/>
    <n v="22711.360000000001"/>
    <n v="24379.33"/>
    <n v="116794.6"/>
    <n v="734"/>
    <n v="0.16400000000000001"/>
    <n v="0.1895"/>
    <n v="0.2087"/>
    <s v="2024Q4"/>
    <x v="3"/>
    <x v="0"/>
  </r>
  <r>
    <s v="TXN-100688"/>
    <n v="45554"/>
    <x v="1"/>
    <s v="Food &amp; Beverage"/>
    <x v="1"/>
    <s v="USD"/>
    <n v="30597.365550000002"/>
    <n v="23322.61"/>
    <n v="7274.76"/>
    <n v="44726.21"/>
    <n v="9680.64"/>
    <n v="220937.08"/>
    <n v="625"/>
    <n v="-0.1062"/>
    <n v="0.23780000000000001"/>
    <n v="4.3799999999999999E-2"/>
    <s v="2024Q3"/>
    <x v="3"/>
    <x v="0"/>
  </r>
  <r>
    <s v="TXN-100689"/>
    <n v="44727"/>
    <x v="6"/>
    <s v="Travel"/>
    <x v="3"/>
    <s v="USD"/>
    <n v="54759.51"/>
    <n v="49393.99"/>
    <n v="5365.52"/>
    <n v="39298.36"/>
    <n v="87469.89"/>
    <n v="154454.91"/>
    <n v="648"/>
    <n v="-0.1145"/>
    <n v="9.8000000000000004E-2"/>
    <n v="0.56630000000000003"/>
    <s v="2022Q2"/>
    <x v="2"/>
    <x v="1"/>
  </r>
  <r>
    <s v="TXN-100690"/>
    <n v="45198"/>
    <x v="4"/>
    <s v="Energy"/>
    <x v="1"/>
    <s v="USD"/>
    <n v="374655.09505"/>
    <n v="307846.84000000003"/>
    <n v="66808.25"/>
    <n v="32476.080000000002"/>
    <n v="95620.04"/>
    <n v="69286.009999999995"/>
    <n v="1534"/>
    <n v="8.6400000000000005E-2"/>
    <n v="0.17829999999999999"/>
    <n v="1.3801000000000001"/>
    <s v="2023Q3"/>
    <x v="1"/>
    <x v="2"/>
  </r>
  <r>
    <s v="TXN-100691"/>
    <n v="45593"/>
    <x v="3"/>
    <s v="Telecommunications"/>
    <x v="0"/>
    <s v="USD"/>
    <n v="108155.4"/>
    <n v="83830.11"/>
    <n v="24325.29"/>
    <n v="22907.29"/>
    <n v="45657.68"/>
    <n v="79173.570000000007"/>
    <n v="725"/>
    <n v="9.8000000000000004E-2"/>
    <n v="0.22489999999999999"/>
    <n v="0.57669999999999999"/>
    <s v="2024Q4"/>
    <x v="3"/>
    <x v="1"/>
  </r>
  <r>
    <s v="TXN-100692"/>
    <n v="45910"/>
    <x v="7"/>
    <s v="Manufacturing"/>
    <x v="3"/>
    <s v="USD"/>
    <n v="40628.49"/>
    <n v="34169.15"/>
    <n v="6459.34"/>
    <n v="22430.080000000002"/>
    <n v="42125.15"/>
    <n v="71936.61"/>
    <n v="997"/>
    <n v="2.7199999999999998E-2"/>
    <n v="0.159"/>
    <n v="0.58560000000000001"/>
    <s v="2025Q3"/>
    <x v="0"/>
    <x v="1"/>
  </r>
  <r>
    <s v="TXN-100693"/>
    <n v="45308"/>
    <x v="10"/>
    <s v="Technology"/>
    <x v="0"/>
    <s v="USD"/>
    <s v="null"/>
    <n v="95485.73"/>
    <s v="null"/>
    <n v="25956.28"/>
    <n v="17140.759999999998"/>
    <n v="84359.92"/>
    <n v="725"/>
    <n v="2.0899999999999998E-2"/>
    <s v="null"/>
    <n v="0.20319999999999999"/>
    <s v="2024Q1"/>
    <x v="3"/>
    <x v="0"/>
  </r>
  <r>
    <s v="TXN-100694"/>
    <n v="44906"/>
    <x v="1"/>
    <s v="Food &amp; Beverage"/>
    <x v="3"/>
    <s v="USD"/>
    <n v="106139.66"/>
    <n v="62000.37"/>
    <n v="44139.29"/>
    <n v="16216.77"/>
    <n v="13576.76"/>
    <n v="173153.28"/>
    <n v="562"/>
    <n v="0.12089999999999999"/>
    <n v="0.41589999999999999"/>
    <n v="7.8399999999999997E-2"/>
    <s v="2022Q4"/>
    <x v="2"/>
    <x v="0"/>
  </r>
  <r>
    <s v="TXN-100695"/>
    <n v="45507"/>
    <x v="9"/>
    <s v="Media"/>
    <x v="1"/>
    <s v="USD"/>
    <n v="94690.492400000003"/>
    <n v="53514.53"/>
    <n v="41175.96"/>
    <n v="19308.04"/>
    <n v="69000.039999999994"/>
    <n v="91628.65"/>
    <n v="965"/>
    <n v="-6.93E-2"/>
    <n v="0.43480000000000002"/>
    <n v="0.753"/>
    <s v="2024Q3"/>
    <x v="3"/>
    <x v="2"/>
  </r>
  <r>
    <s v="TXN-100696"/>
    <n v="45114"/>
    <x v="7"/>
    <s v="Manufacturing"/>
    <x v="1"/>
    <s v="USD"/>
    <n v="28950.844100000002"/>
    <n v="17687.39"/>
    <n v="11263.46"/>
    <n v="27945.81"/>
    <n v="34765.81"/>
    <n v="326802.38"/>
    <n v="680"/>
    <n v="-6.6799999999999998E-2"/>
    <n v="0.3891"/>
    <n v="0.10639999999999999"/>
    <s v="2023Q3"/>
    <x v="1"/>
    <x v="0"/>
  </r>
  <r>
    <s v="TXN-100697"/>
    <n v="45763"/>
    <x v="8"/>
    <s v="Logistics"/>
    <x v="0"/>
    <s v="USD"/>
    <n v="107217.32"/>
    <n v="88853.75"/>
    <n v="18363.57"/>
    <n v="54712.18"/>
    <n v="57714.75"/>
    <n v="204034.16"/>
    <n v="2418"/>
    <n v="-1.67E-2"/>
    <n v="0.17130000000000001"/>
    <n v="0.28289999999999998"/>
    <s v="2025Q2"/>
    <x v="0"/>
    <x v="0"/>
  </r>
  <r>
    <s v="TXN-100698"/>
    <n v="44630"/>
    <x v="0"/>
    <s v="Real Estate"/>
    <x v="0"/>
    <s v="USD"/>
    <n v="17042.23"/>
    <n v="11122.57"/>
    <n v="5919.66"/>
    <n v="32989.519999999997"/>
    <n v="80962.77"/>
    <n v="161662.23000000001"/>
    <n v="762"/>
    <n v="7.4099999999999999E-2"/>
    <n v="0.34739999999999999"/>
    <n v="0.50080000000000002"/>
    <s v="2022Q1"/>
    <x v="2"/>
    <x v="1"/>
  </r>
  <r>
    <s v="TXN-100699"/>
    <n v="45449"/>
    <x v="11"/>
    <s v="Financial Services"/>
    <x v="1"/>
    <s v="USD"/>
    <n v="136287.14015000002"/>
    <n v="101317.27"/>
    <n v="34969.870000000003"/>
    <n v="38201.54"/>
    <n v="13604.98"/>
    <n v="72760.160000000003"/>
    <n v="1735"/>
    <n v="0.16750000000000001"/>
    <n v="0.25659999999999999"/>
    <n v="0.187"/>
    <s v="2024Q2"/>
    <x v="3"/>
    <x v="0"/>
  </r>
  <r>
    <s v="TXN-100700"/>
    <n v="44920"/>
    <x v="2"/>
    <s v="Healthcare"/>
    <x v="2"/>
    <s v="USD"/>
    <n v="44282.57"/>
    <n v="34527.25"/>
    <n v="9755.32"/>
    <n v="22649.43"/>
    <n v="41229.29"/>
    <n v="233877.6"/>
    <n v="671"/>
    <n v="4.2099999999999999E-2"/>
    <n v="0.2203"/>
    <n v="0.17630000000000001"/>
    <s v="2022Q4"/>
    <x v="2"/>
    <x v="0"/>
  </r>
  <r>
    <s v="TXN-100701"/>
    <n v="44704"/>
    <x v="2"/>
    <s v="Healthcare"/>
    <x v="1"/>
    <s v="USD"/>
    <n v="78015.078800000003"/>
    <n v="67293.7"/>
    <n v="10721.38"/>
    <n v="17831.169999999998"/>
    <n v="24495.82"/>
    <n v="116378.74"/>
    <n v="698"/>
    <n v="3.2199999999999999E-2"/>
    <n v="0.13739999999999999"/>
    <n v="0.21049999999999999"/>
    <s v="2022Q2"/>
    <x v="2"/>
    <x v="0"/>
  </r>
  <r>
    <s v="TXN-100702"/>
    <n v="44665"/>
    <x v="6"/>
    <s v="Travel"/>
    <x v="1"/>
    <s v="USD"/>
    <n v="229124.35845"/>
    <n v="171575.26"/>
    <n v="57549.1"/>
    <n v="47077.77"/>
    <n v="10915.48"/>
    <n v="88954.94"/>
    <n v="636"/>
    <n v="2.8999999999999998E-3"/>
    <n v="0.25119999999999998"/>
    <n v="0.1227"/>
    <s v="2022Q2"/>
    <x v="2"/>
    <x v="0"/>
  </r>
  <r>
    <s v="TXN-100703"/>
    <n v="45655"/>
    <x v="1"/>
    <s v="Food &amp; Beverage"/>
    <x v="2"/>
    <s v="USD"/>
    <n v="66963.83"/>
    <n v="61248.06"/>
    <n v="5715.77"/>
    <n v="56422.33"/>
    <n v="48839.199999999997"/>
    <n v="120646.99"/>
    <n v="834"/>
    <n v="-5.5300000000000002E-2"/>
    <n v="8.5400000000000004E-2"/>
    <n v="0.40479999999999999"/>
    <s v="2024Q4"/>
    <x v="3"/>
    <x v="1"/>
  </r>
  <r>
    <s v="TXN-100704"/>
    <n v="45773"/>
    <x v="0"/>
    <s v="Real Estate"/>
    <x v="1"/>
    <s v="USD"/>
    <n v="39824.370950000004"/>
    <n v="21915.040000000001"/>
    <n v="17909.330000000002"/>
    <n v="40000.06"/>
    <n v="54197.46"/>
    <n v="121340.46"/>
    <n v="1189"/>
    <n v="-7.2599999999999998E-2"/>
    <n v="0.44969999999999999"/>
    <n v="0.44669999999999999"/>
    <s v="2025Q2"/>
    <x v="0"/>
    <x v="1"/>
  </r>
  <r>
    <s v="TXN-100705"/>
    <n v="45641"/>
    <x v="11"/>
    <s v="Financial Services"/>
    <x v="0"/>
    <s v="USD"/>
    <n v="40864.61"/>
    <n v="29481.96"/>
    <n v="11382.65"/>
    <n v="69147.53"/>
    <n v="10523.89"/>
    <n v="147279.56"/>
    <n v="607"/>
    <n v="8.9800000000000005E-2"/>
    <n v="0.27850000000000003"/>
    <n v="7.1499999999999994E-2"/>
    <s v="2024Q4"/>
    <x v="3"/>
    <x v="0"/>
  </r>
  <r>
    <s v="TXN-100706"/>
    <n v="45210"/>
    <x v="5"/>
    <s v="Retail"/>
    <x v="2"/>
    <s v="USD"/>
    <n v="425278.71"/>
    <n v="339280.16"/>
    <n v="85998.55"/>
    <n v="57844.27"/>
    <n v="29213.94"/>
    <n v="142568.31"/>
    <n v="786"/>
    <n v="1.2699999999999999E-2"/>
    <n v="0.20219999999999999"/>
    <n v="0.2049"/>
    <s v="2023Q4"/>
    <x v="1"/>
    <x v="0"/>
  </r>
  <r>
    <s v="TXN-100707"/>
    <n v="45372"/>
    <x v="11"/>
    <s v="Financial Services"/>
    <x v="1"/>
    <s v="USD"/>
    <n v="155293.4417"/>
    <n v="121305.81"/>
    <n v="33987.629999999997"/>
    <n v="91626.11"/>
    <n v="16034.23"/>
    <n v="114646"/>
    <n v="1028"/>
    <n v="-3.1099999999999999E-2"/>
    <n v="0.21890000000000001"/>
    <n v="0.1399"/>
    <s v="2024Q1"/>
    <x v="3"/>
    <x v="0"/>
  </r>
  <r>
    <s v="TXN-100708"/>
    <n v="45394"/>
    <x v="10"/>
    <s v="Technology"/>
    <x v="0"/>
    <s v="USD"/>
    <n v="98329.63"/>
    <n v="62442.1"/>
    <n v="35887.53"/>
    <n v="28237.68"/>
    <n v="47194.879999999997"/>
    <n v="192136.17"/>
    <n v="751"/>
    <n v="0.12859999999999999"/>
    <n v="0.36499999999999999"/>
    <n v="0.24560000000000001"/>
    <s v="2024Q2"/>
    <x v="3"/>
    <x v="0"/>
  </r>
  <r>
    <s v="TXN-100709"/>
    <n v="44789"/>
    <x v="7"/>
    <s v="Manufacturing"/>
    <x v="1"/>
    <s v="USD"/>
    <n v="82837.418049999993"/>
    <n v="56040.82"/>
    <n v="26796.6"/>
    <n v="60701.99"/>
    <n v="89098.43"/>
    <n v="420138.42"/>
    <n v="762"/>
    <n v="-9.7500000000000003E-2"/>
    <n v="0.32350000000000001"/>
    <n v="0.21210000000000001"/>
    <s v="2022Q3"/>
    <x v="2"/>
    <x v="0"/>
  </r>
  <r>
    <s v="TXN-100710"/>
    <n v="45300"/>
    <x v="2"/>
    <s v="Healthcare"/>
    <x v="3"/>
    <s v="USD"/>
    <n v="38555.56"/>
    <n v="25048.12"/>
    <n v="13507.44"/>
    <n v="48919.75"/>
    <n v="22673.19"/>
    <n v="219203.51"/>
    <n v="519"/>
    <n v="9.5699999999999993E-2"/>
    <n v="0.3503"/>
    <n v="0.10340000000000001"/>
    <s v="2024Q1"/>
    <x v="3"/>
    <x v="0"/>
  </r>
  <r>
    <s v="TXN-100711"/>
    <n v="45933"/>
    <x v="1"/>
    <s v="Food &amp; Beverage"/>
    <x v="2"/>
    <s v="USD"/>
    <n v="54955.16"/>
    <n v="30650.5"/>
    <n v="24304.66"/>
    <n v="51477.25"/>
    <n v="23698.57"/>
    <n v="81553.34"/>
    <n v="935"/>
    <n v="-0.10730000000000001"/>
    <n v="0.44230000000000003"/>
    <n v="0.29060000000000002"/>
    <s v="2025Q4"/>
    <x v="0"/>
    <x v="0"/>
  </r>
  <r>
    <s v="TXN-100712"/>
    <n v="45496"/>
    <x v="3"/>
    <s v="Telecommunications"/>
    <x v="0"/>
    <s v="USD"/>
    <n v="80276.100000000006"/>
    <n v="54679.01"/>
    <n v="25597.09"/>
    <n v="60479.94"/>
    <n v="9398.36"/>
    <n v="76324.259999999995"/>
    <n v="762"/>
    <n v="0.13830000000000001"/>
    <n v="0.31890000000000002"/>
    <n v="0.1231"/>
    <s v="2024Q3"/>
    <x v="3"/>
    <x v="0"/>
  </r>
  <r>
    <s v="TXN-100713"/>
    <n v="44878"/>
    <x v="3"/>
    <s v="Telecommunications"/>
    <x v="3"/>
    <s v="USD"/>
    <n v="19515.169999999998"/>
    <n v="13659.24"/>
    <n v="5855.93"/>
    <n v="14261.39"/>
    <n v="31477.34"/>
    <n v="64484.14"/>
    <n v="911"/>
    <n v="-3.0300000000000001E-2"/>
    <n v="0.30009999999999998"/>
    <n v="0.48809999999999998"/>
    <s v="2022Q4"/>
    <x v="2"/>
    <x v="1"/>
  </r>
  <r>
    <s v="TXN-100714"/>
    <n v="45671"/>
    <x v="5"/>
    <s v="Retail"/>
    <x v="2"/>
    <s v="USD"/>
    <n v="39931.65"/>
    <n v="34803.1"/>
    <n v="5128.55"/>
    <n v="95721.73"/>
    <n v="6745.65"/>
    <n v="354748.84"/>
    <n v="873"/>
    <n v="-4.6199999999999998E-2"/>
    <n v="0.12839999999999999"/>
    <n v="1.9E-2"/>
    <s v="2025Q1"/>
    <x v="0"/>
    <x v="0"/>
  </r>
  <r>
    <s v="TXN-100715"/>
    <n v="44952"/>
    <x v="2"/>
    <s v="Healthcare"/>
    <x v="0"/>
    <s v="USD"/>
    <n v="31869.3"/>
    <n v="27392.44"/>
    <n v="4476.8599999999997"/>
    <n v="55364.55"/>
    <n v="10968.6"/>
    <n v="116961.31"/>
    <n v="379"/>
    <n v="0.1206"/>
    <n v="0.14050000000000001"/>
    <n v="9.3799999999999994E-2"/>
    <s v="2023Q1"/>
    <x v="1"/>
    <x v="0"/>
  </r>
  <r>
    <s v="TXN-100716"/>
    <n v="45064"/>
    <x v="11"/>
    <s v="Financial Services"/>
    <x v="2"/>
    <s v="USD"/>
    <n v="51073.97"/>
    <n v="34852.94"/>
    <n v="16221.03"/>
    <n v="15244.89"/>
    <n v="28870.880000000001"/>
    <n v="139541.85"/>
    <n v="2263"/>
    <n v="5.3699999999999998E-2"/>
    <n v="0.31759999999999999"/>
    <n v="0.2069"/>
    <s v="2023Q2"/>
    <x v="1"/>
    <x v="0"/>
  </r>
  <r>
    <s v="TXN-100717"/>
    <n v="44805"/>
    <x v="4"/>
    <s v="Energy"/>
    <x v="2"/>
    <s v="USD"/>
    <n v="197484.17"/>
    <n v="115471.78"/>
    <n v="82012.39"/>
    <n v="22825.66"/>
    <n v="252504.32000000001"/>
    <n v="113181.09"/>
    <n v="1975"/>
    <n v="6.7000000000000002E-3"/>
    <n v="0.4153"/>
    <n v="2.2309999999999999"/>
    <s v="2022Q3"/>
    <x v="2"/>
    <x v="2"/>
  </r>
  <r>
    <s v="TXN-100718"/>
    <n v="44662"/>
    <x v="6"/>
    <s v="Travel"/>
    <x v="3"/>
    <s v="USD"/>
    <n v="36103.69"/>
    <n v="26583.9"/>
    <n v="9519.7900000000009"/>
    <n v="26445.61"/>
    <n v="21753.97"/>
    <n v="193751.04000000001"/>
    <n v="1540"/>
    <n v="7.6E-3"/>
    <n v="0.26369999999999999"/>
    <n v="0.1123"/>
    <s v="2022Q2"/>
    <x v="2"/>
    <x v="0"/>
  </r>
  <r>
    <s v="TXN-100719"/>
    <n v="45748"/>
    <x v="10"/>
    <s v="Technology"/>
    <x v="1"/>
    <s v="USD"/>
    <n v="33139.883849999998"/>
    <n v="21526.82"/>
    <n v="11613.06"/>
    <n v="49568.76"/>
    <n v="21379.91"/>
    <n v="229212.75"/>
    <n v="1436"/>
    <n v="8.3999999999999995E-3"/>
    <n v="0.35039999999999999"/>
    <n v="9.3299999999999994E-2"/>
    <s v="2025Q2"/>
    <x v="0"/>
    <x v="0"/>
  </r>
  <r>
    <s v="TXN-100720"/>
    <n v="45208"/>
    <x v="10"/>
    <s v="Technology"/>
    <x v="0"/>
    <s v="USD"/>
    <n v="44740.39"/>
    <n v="26490.43"/>
    <n v="18249.96"/>
    <n v="42290.14"/>
    <n v="110593.83"/>
    <n v="69242.240000000005"/>
    <n v="611"/>
    <n v="5.2200000000000003E-2"/>
    <n v="0.40789999999999998"/>
    <n v="1.5972"/>
    <s v="2023Q4"/>
    <x v="1"/>
    <x v="2"/>
  </r>
  <r>
    <s v="TXN-100721"/>
    <n v="44642"/>
    <x v="4"/>
    <s v="Energy"/>
    <x v="2"/>
    <s v="USD"/>
    <n v="112231.64"/>
    <n v="97584.49"/>
    <n v="14647.15"/>
    <n v="24042.240000000002"/>
    <n v="16582.03"/>
    <n v="111014.22"/>
    <n v="1143"/>
    <n v="5.8200000000000002E-2"/>
    <n v="0.1305"/>
    <n v="0.14940000000000001"/>
    <s v="2022Q1"/>
    <x v="2"/>
    <x v="0"/>
  </r>
  <r>
    <s v="TXN-100722"/>
    <n v="45463"/>
    <x v="3"/>
    <s v="Telecommunications"/>
    <x v="2"/>
    <s v="USD"/>
    <n v="38595.040000000001"/>
    <n v="26245.02"/>
    <n v="12350.02"/>
    <n v="29802.19"/>
    <n v="28775.62"/>
    <n v="67964"/>
    <n v="531"/>
    <n v="5.45E-2"/>
    <n v="0.32"/>
    <n v="0.4234"/>
    <s v="2024Q2"/>
    <x v="3"/>
    <x v="1"/>
  </r>
  <r>
    <s v="TXN-100723"/>
    <n v="45246"/>
    <x v="5"/>
    <s v="Retail"/>
    <x v="1"/>
    <s v="USD"/>
    <n v="210254.15159999998"/>
    <n v="188137.03"/>
    <n v="22117.119999999999"/>
    <n v="64645.43"/>
    <n v="34760.29"/>
    <n v="107056.54"/>
    <n v="2243"/>
    <n v="3.6900000000000002E-2"/>
    <n v="0.1052"/>
    <n v="0.32469999999999999"/>
    <s v="2023Q4"/>
    <x v="1"/>
    <x v="1"/>
  </r>
  <r>
    <s v="TXN-100724"/>
    <n v="45244"/>
    <x v="3"/>
    <s v="Telecommunications"/>
    <x v="3"/>
    <s v="USD"/>
    <n v="44205.3"/>
    <n v="31975.05"/>
    <n v="12230.25"/>
    <n v="25074"/>
    <n v="19484.41"/>
    <n v="88866.78"/>
    <n v="1352"/>
    <n v="-3.8E-3"/>
    <n v="0.2767"/>
    <n v="0.21929999999999999"/>
    <s v="2023Q4"/>
    <x v="1"/>
    <x v="0"/>
  </r>
  <r>
    <s v="TXN-100725"/>
    <n v="44820"/>
    <x v="6"/>
    <s v="Travel"/>
    <x v="2"/>
    <s v="USD"/>
    <n v="74884.850000000006"/>
    <n v="45446.66"/>
    <n v="29438.19"/>
    <n v="62175.67"/>
    <n v="29459.3"/>
    <n v="131004.52"/>
    <n v="1358"/>
    <n v="8.6400000000000005E-2"/>
    <n v="0.3931"/>
    <n v="0.22489999999999999"/>
    <s v="2022Q3"/>
    <x v="2"/>
    <x v="0"/>
  </r>
  <r>
    <s v="TXN-100726"/>
    <n v="44652"/>
    <x v="1"/>
    <s v="Food &amp; Beverage"/>
    <x v="2"/>
    <s v="USD"/>
    <n v="21862.9"/>
    <n v="15930.18"/>
    <n v="5932.72"/>
    <n v="22908.240000000002"/>
    <n v="56083.64"/>
    <n v="64703.32"/>
    <n v="1413"/>
    <n v="-8.5800000000000001E-2"/>
    <n v="0.27139999999999997"/>
    <n v="0.86680000000000001"/>
    <s v="2022Q2"/>
    <x v="2"/>
    <x v="2"/>
  </r>
  <r>
    <s v="TXN-100727"/>
    <n v="45222"/>
    <x v="9"/>
    <s v="Media"/>
    <x v="0"/>
    <s v="USD"/>
    <n v="39977.07"/>
    <n v="23715.1"/>
    <n v="16261.97"/>
    <n v="14856.4"/>
    <n v="13407.33"/>
    <n v="50815.199999999997"/>
    <n v="1334"/>
    <n v="2.8E-3"/>
    <n v="0.40679999999999999"/>
    <n v="0.26379999999999998"/>
    <s v="2023Q4"/>
    <x v="1"/>
    <x v="0"/>
  </r>
  <r>
    <s v="TXN-100728"/>
    <n v="44782"/>
    <x v="4"/>
    <s v="Energy"/>
    <x v="0"/>
    <s v="USD"/>
    <n v="47969.52"/>
    <n v="40956.33"/>
    <n v="7013.19"/>
    <n v="29763.42"/>
    <n v="33457.910000000003"/>
    <n v="66853.570000000007"/>
    <n v="965"/>
    <n v="-2.1000000000000001E-2"/>
    <n v="0.1462"/>
    <n v="0.50049999999999994"/>
    <s v="2022Q3"/>
    <x v="2"/>
    <x v="1"/>
  </r>
  <r>
    <s v="TXN-100729"/>
    <d v="2023-11-06T00:00:00"/>
    <x v="5"/>
    <s v="Retail"/>
    <x v="0"/>
    <s v="USD"/>
    <n v="14697.89"/>
    <n v="9717.9599999999991"/>
    <n v="4979.93"/>
    <n v="48451.839999999997"/>
    <n v="16234.36"/>
    <n v="160857.64000000001"/>
    <n v="604"/>
    <n v="0.06"/>
    <n v="0.33879999999999999"/>
    <n v="0.1009"/>
    <s v="2023Q4"/>
    <x v="1"/>
    <x v="0"/>
  </r>
  <r>
    <s v="TXN-100730"/>
    <n v="44709"/>
    <x v="0"/>
    <s v="Real Estate"/>
    <x v="0"/>
    <s v="USD"/>
    <n v="34530.83"/>
    <n v="28512.23"/>
    <n v="6018.6"/>
    <n v="159657.56"/>
    <n v="43999.33"/>
    <n v="248669.96"/>
    <n v="961"/>
    <n v="-3.5099999999999999E-2"/>
    <n v="0.17430000000000001"/>
    <n v="0.1769"/>
    <s v="2022Q2"/>
    <x v="2"/>
    <x v="0"/>
  </r>
  <r>
    <s v="TXN-100731"/>
    <n v="45806"/>
    <x v="2"/>
    <s v="Healthcare"/>
    <x v="2"/>
    <s v="USD"/>
    <n v="45464.56"/>
    <n v="38663.019999999997"/>
    <n v="6801.54"/>
    <n v="60742.400000000001"/>
    <n v="15897.69"/>
    <n v="122868.28"/>
    <n v="1221"/>
    <n v="5.0000000000000001E-3"/>
    <n v="0.14960000000000001"/>
    <n v="0.12939999999999999"/>
    <s v="2025Q2"/>
    <x v="0"/>
    <x v="0"/>
  </r>
  <r>
    <s v="TXN-100732"/>
    <n v="45069"/>
    <x v="7"/>
    <s v="Manufacturing"/>
    <x v="0"/>
    <s v="USD"/>
    <n v="120938.35"/>
    <n v="78659.95"/>
    <n v="42278.400000000001"/>
    <n v="50639.43"/>
    <n v="116453.12"/>
    <n v="100408.73"/>
    <n v="579"/>
    <n v="-1.5E-3"/>
    <n v="0.34960000000000002"/>
    <n v="1.1597999999999999"/>
    <s v="2023Q2"/>
    <x v="1"/>
    <x v="2"/>
  </r>
  <r>
    <s v="TXN-100733"/>
    <n v="45597"/>
    <x v="9"/>
    <s v="Media"/>
    <x v="3"/>
    <s v="USD"/>
    <n v="158935"/>
    <n v="108488.1"/>
    <n v="50446.9"/>
    <n v="52342.44"/>
    <n v="39996.949999999997"/>
    <n v="78583.179999999993"/>
    <n v="1319"/>
    <n v="-2.07E-2"/>
    <n v="0.31740000000000002"/>
    <n v="0.50900000000000001"/>
    <s v="2024Q4"/>
    <x v="3"/>
    <x v="1"/>
  </r>
  <r>
    <s v="TXN-100734"/>
    <n v="44736"/>
    <x v="4"/>
    <s v="Energy"/>
    <x v="2"/>
    <s v="USD"/>
    <n v="72499.41"/>
    <n v="48817.19"/>
    <n v="23682.22"/>
    <n v="25851.02"/>
    <n v="149740.63"/>
    <n v="44645.120000000003"/>
    <n v="368"/>
    <n v="-0.1024"/>
    <n v="0.32669999999999999"/>
    <n v="3.3540000000000001"/>
    <s v="2022Q2"/>
    <x v="2"/>
    <x v="2"/>
  </r>
  <r>
    <s v="TXN-100735"/>
    <n v="44880"/>
    <x v="7"/>
    <s v="Manufacturing"/>
    <x v="2"/>
    <s v="USD"/>
    <n v="52408.14"/>
    <n v="40643.85"/>
    <n v="11764.29"/>
    <n v="53010.68"/>
    <n v="6332.55"/>
    <n v="198367.35"/>
    <n v="368"/>
    <n v="-1.1000000000000001E-3"/>
    <n v="0.22450000000000001"/>
    <n v="3.1899999999999998E-2"/>
    <s v="2022Q4"/>
    <x v="2"/>
    <x v="0"/>
  </r>
  <r>
    <s v="TXN-100736"/>
    <d v="2022-10-19T00:00:00"/>
    <x v="5"/>
    <s v="Retail"/>
    <x v="0"/>
    <s v="USD"/>
    <n v="67355.259999999995"/>
    <n v="50265.55"/>
    <n v="17089.71"/>
    <n v="64136.160000000003"/>
    <n v="65532"/>
    <n v="113125.68"/>
    <n v="642"/>
    <n v="-4.7899999999999998E-2"/>
    <n v="0.25369999999999998"/>
    <n v="0.57930000000000004"/>
    <s v="2022Q4"/>
    <x v="2"/>
    <x v="1"/>
  </r>
  <r>
    <s v="TXN-100737"/>
    <n v="45847"/>
    <x v="4"/>
    <s v="Energy"/>
    <x v="1"/>
    <s v="USD"/>
    <n v="64577.049650000001"/>
    <n v="57342.77"/>
    <n v="7234.28"/>
    <n v="21305.14"/>
    <n v="102250.73"/>
    <n v="66742.45"/>
    <n v="781"/>
    <n v="-2.5499999999999998E-2"/>
    <n v="0.112"/>
    <n v="1.532"/>
    <s v="2025Q3"/>
    <x v="0"/>
    <x v="2"/>
  </r>
  <r>
    <s v="TXN-100738"/>
    <n v="45983"/>
    <x v="7"/>
    <s v="Manufacturing"/>
    <x v="3"/>
    <s v="USD"/>
    <n v="100910.42"/>
    <n v="89501.28"/>
    <n v="11409.14"/>
    <n v="30125.4"/>
    <n v="25247.67"/>
    <n v="117840.92"/>
    <n v="1125"/>
    <n v="-7.9799999999999996E-2"/>
    <n v="0.11310000000000001"/>
    <n v="0.21429999999999999"/>
    <s v="2025Q4"/>
    <x v="0"/>
    <x v="0"/>
  </r>
  <r>
    <s v="TXN-100739"/>
    <n v="45089"/>
    <x v="8"/>
    <s v="Logistics"/>
    <x v="1"/>
    <s v="USD"/>
    <n v="21843.313850000002"/>
    <n v="17996.97"/>
    <n v="3846.34"/>
    <n v="32451.32"/>
    <n v="64494.82"/>
    <n v="78548.289999999994"/>
    <n v="1626"/>
    <n v="4.2000000000000003E-2"/>
    <n v="0.17610000000000001"/>
    <n v="0.82110000000000005"/>
    <s v="2023Q2"/>
    <x v="1"/>
    <x v="2"/>
  </r>
  <r>
    <s v="TXN-100740"/>
    <n v="45212"/>
    <x v="0"/>
    <s v="Real Estate"/>
    <x v="0"/>
    <s v="USD"/>
    <n v="44931.67"/>
    <n v="29073.16"/>
    <n v="15858.51"/>
    <n v="26462.43"/>
    <n v="230435.22"/>
    <n v="136148.44"/>
    <n v="555"/>
    <n v="0.2079"/>
    <n v="0.35289999999999999"/>
    <n v="1.6924999999999999"/>
    <s v="2023Q4"/>
    <x v="1"/>
    <x v="2"/>
  </r>
  <r>
    <s v="TXN-100741"/>
    <n v="44694"/>
    <x v="4"/>
    <s v="Energy"/>
    <x v="0"/>
    <s v="USD"/>
    <n v="134690.97"/>
    <n v="108514.05"/>
    <n v="26176.92"/>
    <n v="11197.35"/>
    <n v="58865.4"/>
    <n v="60837.440000000002"/>
    <n v="407"/>
    <n v="-0.1046"/>
    <n v="0.1943"/>
    <n v="0.96760000000000002"/>
    <s v="2022Q2"/>
    <x v="2"/>
    <x v="2"/>
  </r>
  <r>
    <s v="TXN-100742"/>
    <n v="45698"/>
    <x v="7"/>
    <s v="Manufacturing"/>
    <x v="1"/>
    <s v="USD"/>
    <n v="55320.503250000002"/>
    <n v="36678.050000000003"/>
    <n v="18642.45"/>
    <n v="47906.59"/>
    <n v="19185.39"/>
    <n v="221865.55"/>
    <n v="1267"/>
    <n v="-7.6200000000000004E-2"/>
    <n v="0.33700000000000002"/>
    <n v="8.6499999999999994E-2"/>
    <s v="2025Q1"/>
    <x v="0"/>
    <x v="0"/>
  </r>
  <r>
    <s v="TXN-100743"/>
    <n v="45961"/>
    <x v="4"/>
    <s v="Energy"/>
    <x v="2"/>
    <s v="USD"/>
    <n v="72935.39"/>
    <n v="63590.47"/>
    <n v="9344.92"/>
    <n v="122558.34"/>
    <n v="36270.11"/>
    <n v="155797.45000000001"/>
    <n v="645"/>
    <n v="0.20930000000000001"/>
    <n v="0.12809999999999999"/>
    <n v="0.23280000000000001"/>
    <s v="2025Q4"/>
    <x v="0"/>
    <x v="0"/>
  </r>
  <r>
    <s v="TXN-100744"/>
    <n v="45882"/>
    <x v="9"/>
    <s v="Media"/>
    <x v="1"/>
    <s v="USD"/>
    <n v="226807.56544999999"/>
    <n v="141434.91"/>
    <n v="85372.65"/>
    <n v="87932.160000000003"/>
    <n v="55512.27"/>
    <n v="115810.15"/>
    <n v="765"/>
    <n v="-1.1900000000000001E-2"/>
    <n v="0.37640000000000001"/>
    <n v="0.4793"/>
    <s v="2025Q3"/>
    <x v="0"/>
    <x v="1"/>
  </r>
  <r>
    <s v="TXN-100745"/>
    <n v="44810"/>
    <x v="11"/>
    <s v="Financial Services"/>
    <x v="2"/>
    <s v="USD"/>
    <n v="28635.03"/>
    <n v="19296.650000000001"/>
    <n v="9338.3799999999992"/>
    <n v="35614.25"/>
    <n v="37363.360000000001"/>
    <n v="69289.2"/>
    <n v="781"/>
    <n v="-2.2700000000000001E-2"/>
    <n v="0.3261"/>
    <n v="0.53920000000000001"/>
    <s v="2022Q3"/>
    <x v="2"/>
    <x v="1"/>
  </r>
  <r>
    <s v="TXN-100746"/>
    <n v="45289"/>
    <x v="10"/>
    <s v="Technology"/>
    <x v="2"/>
    <s v="USD"/>
    <n v="224491.31"/>
    <n v="170567.28"/>
    <n v="53924.03"/>
    <n v="55637.42"/>
    <n v="83062.009999999995"/>
    <n v="97178.12"/>
    <n v="1193"/>
    <n v="3.0999999999999999E-3"/>
    <n v="0.2402"/>
    <n v="0.85470000000000002"/>
    <s v="2023Q4"/>
    <x v="1"/>
    <x v="2"/>
  </r>
  <r>
    <s v="TXN-100747"/>
    <n v="44827"/>
    <x v="9"/>
    <s v="Media"/>
    <x v="2"/>
    <s v="USD"/>
    <n v="43798.17"/>
    <n v="25808.79"/>
    <n v="17989.38"/>
    <n v="85938.240000000005"/>
    <n v="34456.42"/>
    <n v="153622.94"/>
    <n v="729"/>
    <n v="4.1200000000000001E-2"/>
    <n v="0.41070000000000001"/>
    <n v="0.2243"/>
    <s v="2022Q3"/>
    <x v="2"/>
    <x v="0"/>
  </r>
  <r>
    <s v="TXN-100748"/>
    <n v="45300"/>
    <x v="2"/>
    <s v="Healthcare"/>
    <x v="2"/>
    <s v="USD"/>
    <n v="93196.35"/>
    <n v="77515.11"/>
    <n v="15681.24"/>
    <n v="34366.67"/>
    <n v="33661.14"/>
    <n v="48188.29"/>
    <n v="647"/>
    <n v="-1.46E-2"/>
    <n v="0.16830000000000001"/>
    <n v="0.69850000000000001"/>
    <s v="2024Q1"/>
    <x v="3"/>
    <x v="2"/>
  </r>
  <r>
    <s v="TXN-100749"/>
    <n v="45654"/>
    <x v="1"/>
    <s v="Food &amp; Beverage"/>
    <x v="0"/>
    <s v="USD"/>
    <n v="164488.79999999999"/>
    <n v="118054.73"/>
    <n v="46434.07"/>
    <n v="60333.67"/>
    <n v="11504.7"/>
    <n v="231077.14"/>
    <n v="791"/>
    <n v="1.7600000000000001E-2"/>
    <n v="0.2823"/>
    <n v="4.9799999999999997E-2"/>
    <s v="2024Q4"/>
    <x v="3"/>
    <x v="0"/>
  </r>
  <r>
    <s v="TXN-100750"/>
    <n v="45997"/>
    <x v="2"/>
    <s v="Healthcare"/>
    <x v="0"/>
    <s v="USD"/>
    <n v="32059.54"/>
    <n v="27832.37"/>
    <n v="4227.17"/>
    <n v="114762.25"/>
    <n v="74225.759999999995"/>
    <n v="201319.35"/>
    <n v="517"/>
    <n v="0.1168"/>
    <n v="0.13189999999999999"/>
    <n v="0.36870000000000003"/>
    <s v="2025Q4"/>
    <x v="0"/>
    <x v="1"/>
  </r>
  <r>
    <s v="TXN-100751"/>
    <n v="45767"/>
    <x v="9"/>
    <s v="Media"/>
    <x v="0"/>
    <s v="USD"/>
    <n v="72065.88"/>
    <n v="43202.879999999997"/>
    <n v="28863"/>
    <n v="84944.73"/>
    <n v="34596.93"/>
    <n v="195079.24"/>
    <n v="1032"/>
    <n v="-6.7000000000000004E-2"/>
    <n v="0.40050000000000002"/>
    <n v="0.17730000000000001"/>
    <s v="2025Q2"/>
    <x v="0"/>
    <x v="0"/>
  </r>
  <r>
    <s v="TXN-100752"/>
    <n v="45850"/>
    <x v="8"/>
    <s v="Logistics"/>
    <x v="2"/>
    <s v="USD"/>
    <n v="103816.94"/>
    <n v="61999.5"/>
    <n v="41817.440000000002"/>
    <n v="48752.81"/>
    <n v="33778.959999999999"/>
    <n v="147418.47"/>
    <n v="849"/>
    <n v="7.9799999999999996E-2"/>
    <n v="0.40279999999999999"/>
    <n v="0.2291"/>
    <s v="2025Q3"/>
    <x v="0"/>
    <x v="0"/>
  </r>
  <r>
    <s v="TXN-100753"/>
    <n v="44653"/>
    <x v="4"/>
    <s v="Energy"/>
    <x v="0"/>
    <s v="USD"/>
    <n v="75371.600000000006"/>
    <n v="64779.040000000001"/>
    <n v="10592.56"/>
    <n v="17441.88"/>
    <n v="12323.22"/>
    <n v="115824.91"/>
    <n v="890"/>
    <n v="-2.0199999999999999E-2"/>
    <n v="0.14050000000000001"/>
    <n v="0.10639999999999999"/>
    <s v="2022Q2"/>
    <x v="2"/>
    <x v="0"/>
  </r>
  <r>
    <s v="TXN-100754"/>
    <n v="45533"/>
    <x v="10"/>
    <s v="Technology"/>
    <x v="2"/>
    <s v="USD"/>
    <n v="188526.38"/>
    <n v="172966.73"/>
    <n v="15559.65"/>
    <n v="45830.37"/>
    <n v="48800.03"/>
    <n v="143671.23000000001"/>
    <n v="917"/>
    <n v="1.09E-2"/>
    <n v="8.2500000000000004E-2"/>
    <n v="0.3397"/>
    <s v="2024Q3"/>
    <x v="3"/>
    <x v="1"/>
  </r>
  <r>
    <s v="TXN-100755"/>
    <n v="44707"/>
    <x v="7"/>
    <s v="Manufacturing"/>
    <x v="2"/>
    <s v="USD"/>
    <n v="46329.49"/>
    <n v="28427.46"/>
    <n v="17902.03"/>
    <n v="28613.85"/>
    <n v="17595.3"/>
    <n v="55787.97"/>
    <n v="2012"/>
    <n v="3.7699999999999997E-2"/>
    <n v="0.38640000000000002"/>
    <n v="0.31540000000000001"/>
    <s v="2022Q2"/>
    <x v="2"/>
    <x v="1"/>
  </r>
  <r>
    <s v="TXN-100756"/>
    <n v="45921"/>
    <x v="1"/>
    <s v="Food &amp; Beverage"/>
    <x v="0"/>
    <s v="USD"/>
    <n v="101898.17"/>
    <n v="90112.48"/>
    <n v="11785.69"/>
    <n v="114092.29"/>
    <n v="11812.07"/>
    <n v="165757.10999999999"/>
    <n v="366"/>
    <n v="0.1075"/>
    <n v="0.1157"/>
    <n v="7.1300000000000002E-2"/>
    <s v="2025Q3"/>
    <x v="0"/>
    <x v="0"/>
  </r>
  <r>
    <s v="TXN-100757"/>
    <n v="45020"/>
    <x v="4"/>
    <s v="Energy"/>
    <x v="3"/>
    <s v="USD"/>
    <n v="145524.89000000001"/>
    <n v="111041.39"/>
    <n v="34483.5"/>
    <n v="10612.22"/>
    <n v="44111.26"/>
    <n v="90481.5"/>
    <n v="842"/>
    <n v="-5.7200000000000001E-2"/>
    <n v="0.23699999999999999"/>
    <n v="0.48749999999999999"/>
    <s v="2023Q2"/>
    <x v="1"/>
    <x v="1"/>
  </r>
  <r>
    <s v="TXN-100758"/>
    <n v="44817"/>
    <x v="6"/>
    <s v="Travel"/>
    <x v="0"/>
    <s v="USD"/>
    <n v="110592.44"/>
    <n v="75066.83"/>
    <n v="35525.61"/>
    <n v="46668.23"/>
    <n v="25365.18"/>
    <n v="171281.54"/>
    <n v="746"/>
    <n v="8.6300000000000002E-2"/>
    <n v="0.32119999999999999"/>
    <n v="0.14810000000000001"/>
    <s v="2022Q3"/>
    <x v="2"/>
    <x v="0"/>
  </r>
  <r>
    <s v="TXN-100759"/>
    <n v="45461"/>
    <x v="10"/>
    <s v="Technology"/>
    <x v="0"/>
    <s v="USD"/>
    <n v="59835.82"/>
    <n v="50396.71"/>
    <n v="9439.11"/>
    <n v="96905.29"/>
    <n v="13306.27"/>
    <n v="170173.76"/>
    <n v="814"/>
    <n v="-7.8299999999999995E-2"/>
    <n v="0.1578"/>
    <n v="7.8200000000000006E-2"/>
    <s v="2024Q2"/>
    <x v="3"/>
    <x v="0"/>
  </r>
  <r>
    <s v="TXN-100760"/>
    <n v="44808"/>
    <x v="9"/>
    <s v="Media"/>
    <x v="0"/>
    <s v="USD"/>
    <n v="21985.17"/>
    <n v="14347.92"/>
    <n v="7637.25"/>
    <n v="27019.42"/>
    <n v="9937.67"/>
    <n v="86931.7"/>
    <n v="504"/>
    <n v="-7.6899999999999996E-2"/>
    <n v="0.34739999999999999"/>
    <n v="0.1143"/>
    <s v="2022Q3"/>
    <x v="2"/>
    <x v="0"/>
  </r>
  <r>
    <s v="TXN-100761"/>
    <n v="45213"/>
    <x v="11"/>
    <s v="Financial Services"/>
    <x v="0"/>
    <s v="USD"/>
    <n v="85191.32"/>
    <n v="68000.210000000006"/>
    <n v="17191.11"/>
    <n v="78341.919999999998"/>
    <n v="11578.93"/>
    <n v="207632.1"/>
    <n v="1174"/>
    <n v="7.1000000000000004E-3"/>
    <n v="0.20180000000000001"/>
    <n v="5.5800000000000002E-2"/>
    <s v="2023Q4"/>
    <x v="1"/>
    <x v="0"/>
  </r>
  <r>
    <s v="TXN-100762"/>
    <n v="45301"/>
    <x v="10"/>
    <s v="Technology"/>
    <x v="3"/>
    <s v="USD"/>
    <n v="21782.14"/>
    <n v="14200.2"/>
    <n v="7581.94"/>
    <n v="66997.52"/>
    <n v="17986.23"/>
    <n v="210178.61"/>
    <n v="1322"/>
    <n v="-2.3800000000000002E-2"/>
    <n v="0.34810000000000002"/>
    <n v="8.5599999999999996E-2"/>
    <s v="2024Q1"/>
    <x v="3"/>
    <x v="0"/>
  </r>
  <r>
    <s v="TXN-100763"/>
    <n v="45230"/>
    <x v="7"/>
    <s v="Manufacturing"/>
    <x v="1"/>
    <s v="USD"/>
    <n v="87122.740850000002"/>
    <n v="60165.67"/>
    <n v="26957.07"/>
    <n v="12084.5"/>
    <n v="41262.94"/>
    <n v="78656.08"/>
    <n v="668"/>
    <n v="-0.14369999999999999"/>
    <n v="0.30940000000000001"/>
    <n v="0.52459999999999996"/>
    <s v="2023Q4"/>
    <x v="1"/>
    <x v="1"/>
  </r>
  <r>
    <s v="TXN-100764"/>
    <n v="45837"/>
    <x v="3"/>
    <s v="Telecommunications"/>
    <x v="3"/>
    <s v="USD"/>
    <n v="40242.44"/>
    <n v="33239.46"/>
    <n v="7002.98"/>
    <n v="23152.31"/>
    <n v="17928.23"/>
    <n v="33804.47"/>
    <n v="1258"/>
    <n v="2.8000000000000001E-2"/>
    <n v="0.17399999999999999"/>
    <n v="0.53039999999999998"/>
    <s v="2025Q2"/>
    <x v="0"/>
    <x v="1"/>
  </r>
  <r>
    <s v="TXN-100765"/>
    <n v="45045"/>
    <x v="10"/>
    <s v="Technology"/>
    <x v="2"/>
    <s v="USD"/>
    <n v="132497.38"/>
    <n v="72950.990000000005"/>
    <n v="59546.39"/>
    <n v="15538.12"/>
    <n v="26457.759999999998"/>
    <n v="31728.87"/>
    <n v="500"/>
    <n v="-1.5299999999999999E-2"/>
    <n v="0.44940000000000002"/>
    <n v="0.83389999999999997"/>
    <s v="2023Q2"/>
    <x v="1"/>
    <x v="2"/>
  </r>
  <r>
    <s v="TXN-100766"/>
    <n v="44768"/>
    <x v="4"/>
    <s v="Energy"/>
    <x v="2"/>
    <s v="USD"/>
    <n v="41991.73"/>
    <n v="33256.97"/>
    <n v="8734.76"/>
    <n v="20565.990000000002"/>
    <n v="9959.25"/>
    <n v="67492.47"/>
    <n v="1188"/>
    <n v="0.14580000000000001"/>
    <n v="0.20799999999999999"/>
    <n v="0.14760000000000001"/>
    <s v="2022Q3"/>
    <x v="2"/>
    <x v="0"/>
  </r>
  <r>
    <s v="TXN-100767"/>
    <n v="45010"/>
    <x v="11"/>
    <s v="Financial Services"/>
    <x v="2"/>
    <s v="USD"/>
    <n v="112230.27"/>
    <n v="66502.5"/>
    <n v="45727.77"/>
    <n v="70219.37"/>
    <n v="17394.86"/>
    <n v="304100.13"/>
    <n v="507"/>
    <n v="0.12520000000000001"/>
    <n v="0.40739999999999998"/>
    <n v="5.7200000000000001E-2"/>
    <s v="2023Q1"/>
    <x v="1"/>
    <x v="0"/>
  </r>
  <r>
    <s v="TXN-100768"/>
    <n v="44776"/>
    <x v="5"/>
    <s v="Retail"/>
    <x v="2"/>
    <s v="USD"/>
    <n v="148658.29"/>
    <n v="111061.68"/>
    <n v="37596.61"/>
    <n v="56823.8"/>
    <n v="38294.11"/>
    <n v="123080.32000000001"/>
    <n v="783"/>
    <n v="-3.73E-2"/>
    <n v="0.25290000000000001"/>
    <n v="0.31109999999999999"/>
    <s v="2022Q3"/>
    <x v="2"/>
    <x v="1"/>
  </r>
  <r>
    <s v="TXN-100769"/>
    <n v="45554"/>
    <x v="2"/>
    <s v="Healthcare"/>
    <x v="2"/>
    <s v="USD"/>
    <n v="134874.89000000001"/>
    <n v="100259.51"/>
    <n v="34615.379999999997"/>
    <n v="74870.8"/>
    <n v="17634.78"/>
    <n v="157673.82999999999"/>
    <n v="810"/>
    <n v="-0.17460000000000001"/>
    <n v="0.25659999999999999"/>
    <n v="0.1118"/>
    <s v="2024Q3"/>
    <x v="3"/>
    <x v="0"/>
  </r>
  <r>
    <s v="TXN-100770"/>
    <n v="45600"/>
    <x v="3"/>
    <s v="Telecommunications"/>
    <x v="3"/>
    <s v="USD"/>
    <n v="70022.05"/>
    <n v="42054.69"/>
    <n v="27967.360000000001"/>
    <n v="32257.9"/>
    <n v="28900.6"/>
    <n v="95227.199999999997"/>
    <n v="580"/>
    <n v="-8.2500000000000004E-2"/>
    <n v="0.39939999999999998"/>
    <n v="0.30349999999999999"/>
    <s v="2024Q4"/>
    <x v="3"/>
    <x v="1"/>
  </r>
  <r>
    <s v="TXN-100771"/>
    <n v="44952"/>
    <x v="11"/>
    <s v="Financial Services"/>
    <x v="1"/>
    <s v="USD"/>
    <n v="334292.88324999996"/>
    <n v="298518.78000000003"/>
    <n v="35774.11"/>
    <n v="79034.679999999993"/>
    <n v="83777.600000000006"/>
    <n v="233375.34"/>
    <n v="773"/>
    <n v="2.86E-2"/>
    <n v="0.107"/>
    <n v="0.35899999999999999"/>
    <s v="2023Q1"/>
    <x v="1"/>
    <x v="1"/>
  </r>
  <r>
    <s v="TXN-100772"/>
    <n v="45710"/>
    <x v="3"/>
    <s v="Telecommunications"/>
    <x v="3"/>
    <s v="USD"/>
    <n v="152857.43"/>
    <n v="86808.72"/>
    <n v="66048.710000000006"/>
    <n v="29540.03"/>
    <n v="21670.06"/>
    <n v="55687.13"/>
    <n v="413"/>
    <n v="8.9999999999999998E-4"/>
    <n v="0.43209999999999998"/>
    <n v="0.3891"/>
    <s v="2025Q1"/>
    <x v="0"/>
    <x v="1"/>
  </r>
  <r>
    <s v="TXN-100773"/>
    <n v="45405"/>
    <x v="1"/>
    <s v="Food &amp; Beverage"/>
    <x v="2"/>
    <s v="USD"/>
    <n v="34414.959999999999"/>
    <n v="24357.88"/>
    <n v="10057.08"/>
    <n v="27479.200000000001"/>
    <n v="19327.05"/>
    <n v="88825.93"/>
    <n v="1733"/>
    <n v="-1.18E-2"/>
    <n v="0.29220000000000002"/>
    <n v="0.21759999999999999"/>
    <s v="2024Q2"/>
    <x v="3"/>
    <x v="0"/>
  </r>
  <r>
    <s v="TXN-100774"/>
    <n v="45216"/>
    <x v="1"/>
    <s v="Food &amp; Beverage"/>
    <x v="0"/>
    <s v="USD"/>
    <n v="75084.31"/>
    <n v="63169.87"/>
    <n v="11914.44"/>
    <n v="25850.95"/>
    <n v="5593.55"/>
    <n v="110444.95"/>
    <n v="1439"/>
    <n v="3.8999999999999998E-3"/>
    <n v="0.15870000000000001"/>
    <n v="5.0599999999999999E-2"/>
    <s v="2023Q4"/>
    <x v="1"/>
    <x v="0"/>
  </r>
  <r>
    <s v="TXN-100775"/>
    <n v="45047"/>
    <x v="11"/>
    <s v="Financial Services"/>
    <x v="0"/>
    <s v="USD"/>
    <n v="105807.61"/>
    <n v="73777.56"/>
    <n v="32030.05"/>
    <n v="70295.740000000005"/>
    <n v="83275.070000000007"/>
    <n v="133092.26999999999"/>
    <n v="482"/>
    <n v="-0.107"/>
    <n v="0.30270000000000002"/>
    <n v="0.62570000000000003"/>
    <s v="2023Q2"/>
    <x v="1"/>
    <x v="2"/>
  </r>
  <r>
    <s v="TXN-100776"/>
    <n v="44924"/>
    <x v="3"/>
    <s v="Telecommunications"/>
    <x v="3"/>
    <s v="USD"/>
    <n v="37080.870000000003"/>
    <n v="25959.54"/>
    <n v="11121.33"/>
    <n v="114547.61"/>
    <n v="18472.05"/>
    <n v="183847.4"/>
    <n v="1690"/>
    <n v="4.6300000000000001E-2"/>
    <n v="0.2999"/>
    <n v="0.10050000000000001"/>
    <s v="2022Q4"/>
    <x v="2"/>
    <x v="0"/>
  </r>
  <r>
    <s v="TXN-100777"/>
    <n v="44880"/>
    <x v="9"/>
    <s v="Media"/>
    <x v="2"/>
    <s v="USD"/>
    <n v="47350.96"/>
    <n v="27430.36"/>
    <n v="19920.599999999999"/>
    <n v="63549.99"/>
    <n v="5494.87"/>
    <n v="117845.75"/>
    <n v="506"/>
    <n v="-6.4000000000000003E-3"/>
    <n v="0.42070000000000002"/>
    <n v="4.6600000000000003E-2"/>
    <s v="2022Q4"/>
    <x v="2"/>
    <x v="0"/>
  </r>
  <r>
    <s v="TXN-100778"/>
    <n v="44803"/>
    <x v="8"/>
    <s v="Logistics"/>
    <x v="2"/>
    <s v="USD"/>
    <n v="83527.850000000006"/>
    <n v="51281.37"/>
    <n v="32246.48"/>
    <n v="23232.16"/>
    <n v="17944.68"/>
    <n v="75564.2"/>
    <n v="1342"/>
    <n v="-4.7500000000000001E-2"/>
    <n v="0.3861"/>
    <n v="0.23749999999999999"/>
    <s v="2022Q3"/>
    <x v="2"/>
    <x v="0"/>
  </r>
  <r>
    <s v="TXN-100779"/>
    <n v="45122"/>
    <x v="9"/>
    <s v="Media"/>
    <x v="2"/>
    <s v="USD"/>
    <n v="57904.68"/>
    <n v="48472.67"/>
    <n v="9432.01"/>
    <n v="40599.379999999997"/>
    <n v="31088.46"/>
    <n v="214051.41"/>
    <n v="620"/>
    <n v="-2.3E-2"/>
    <n v="0.16289999999999999"/>
    <n v="0.1452"/>
    <s v="2023Q3"/>
    <x v="1"/>
    <x v="0"/>
  </r>
  <r>
    <s v="TXN-100780"/>
    <n v="45630"/>
    <x v="10"/>
    <s v="Technology"/>
    <x v="1"/>
    <s v="USD"/>
    <n v="101580.03755000001"/>
    <n v="75775.5"/>
    <n v="25804.53"/>
    <n v="120871.64"/>
    <n v="38855.83"/>
    <n v="134507.35"/>
    <n v="585"/>
    <n v="0.1459"/>
    <n v="0.254"/>
    <n v="0.28889999999999999"/>
    <s v="2024Q4"/>
    <x v="3"/>
    <x v="0"/>
  </r>
  <r>
    <s v="TXN-100781"/>
    <n v="45851"/>
    <x v="7"/>
    <s v="Manufacturing"/>
    <x v="0"/>
    <s v="USD"/>
    <n v="71533.7"/>
    <n v="56034.879999999997"/>
    <n v="15498.82"/>
    <n v="68490.5"/>
    <n v="26399.13"/>
    <n v="100593.45"/>
    <n v="753"/>
    <n v="-6.7400000000000002E-2"/>
    <n v="0.2167"/>
    <n v="0.26240000000000002"/>
    <s v="2025Q3"/>
    <x v="0"/>
    <x v="0"/>
  </r>
  <r>
    <s v="TXN-100782"/>
    <n v="45202"/>
    <x v="0"/>
    <s v="Real Estate"/>
    <x v="3"/>
    <s v="USD"/>
    <n v="129701.5"/>
    <n v="90266.97"/>
    <n v="39434.53"/>
    <n v="36670.300000000003"/>
    <n v="159067.59"/>
    <n v="105048.29"/>
    <n v="997"/>
    <n v="1.2999999999999999E-2"/>
    <n v="0.30399999999999999"/>
    <n v="1.5142"/>
    <s v="2023Q4"/>
    <x v="1"/>
    <x v="2"/>
  </r>
  <r>
    <s v="TXN-100783"/>
    <n v="45107"/>
    <x v="8"/>
    <s v="Logistics"/>
    <x v="2"/>
    <s v="USD"/>
    <n v="50321.760000000002"/>
    <n v="32510.67"/>
    <n v="17811.09"/>
    <n v="71743.91"/>
    <n v="10577.55"/>
    <n v="81093.570000000007"/>
    <n v="1073"/>
    <n v="-9.5999999999999992E-3"/>
    <n v="0.35389999999999999"/>
    <n v="0.13039999999999999"/>
    <s v="2023Q2"/>
    <x v="1"/>
    <x v="0"/>
  </r>
  <r>
    <s v="TXN-100784"/>
    <n v="45364"/>
    <x v="10"/>
    <s v="Technology"/>
    <x v="1"/>
    <s v="USD"/>
    <n v="118757.05275"/>
    <n v="85398.06"/>
    <n v="33358.99"/>
    <n v="55409.47"/>
    <n v="105526.62"/>
    <n v="278359.58"/>
    <n v="790"/>
    <n v="0.1023"/>
    <n v="0.28089999999999998"/>
    <n v="0.37909999999999999"/>
    <s v="2024Q1"/>
    <x v="3"/>
    <x v="1"/>
  </r>
  <r>
    <s v="TXN-100785"/>
    <n v="45018"/>
    <x v="1"/>
    <s v="Food &amp; Beverage"/>
    <x v="1"/>
    <s v="USD"/>
    <n v="18171.470600000001"/>
    <n v="12953.44"/>
    <n v="5218.03"/>
    <n v="121347.35"/>
    <n v="37900.199999999997"/>
    <n v="169010.04"/>
    <n v="679"/>
    <n v="-3.39E-2"/>
    <n v="0.28720000000000001"/>
    <n v="0.22420000000000001"/>
    <s v="2023Q2"/>
    <x v="1"/>
    <x v="0"/>
  </r>
  <r>
    <s v="TXN-100786"/>
    <n v="45629"/>
    <x v="2"/>
    <s v="Healthcare"/>
    <x v="3"/>
    <s v="USD"/>
    <n v="22398.32"/>
    <n v="16039.38"/>
    <n v="6358.94"/>
    <n v="75459.31"/>
    <n v="8611.33"/>
    <n v="143911.91"/>
    <n v="370"/>
    <n v="-0.1011"/>
    <n v="0.28389999999999999"/>
    <n v="5.9799999999999999E-2"/>
    <s v="2024Q4"/>
    <x v="3"/>
    <x v="0"/>
  </r>
  <r>
    <s v="TXN-100787"/>
    <n v="44804"/>
    <x v="6"/>
    <s v="Travel"/>
    <x v="0"/>
    <s v="USD"/>
    <n v="266951.90999999997"/>
    <n v="216658.58"/>
    <n v="50293.33"/>
    <n v="118625.60000000001"/>
    <n v="17275.3"/>
    <n v="153497.95000000001"/>
    <n v="894"/>
    <n v="-7.4499999999999997E-2"/>
    <n v="0.18840000000000001"/>
    <n v="0.1125"/>
    <s v="2022Q3"/>
    <x v="2"/>
    <x v="0"/>
  </r>
  <r>
    <s v="TXN-100788"/>
    <n v="44616"/>
    <x v="8"/>
    <s v="Logistics"/>
    <x v="3"/>
    <s v="USD"/>
    <n v="41709.620000000003"/>
    <n v="33896.379999999997"/>
    <n v="7813.24"/>
    <n v="24437.1"/>
    <n v="10704.31"/>
    <n v="89415.63"/>
    <n v="1068"/>
    <n v="-7.8200000000000006E-2"/>
    <n v="0.18729999999999999"/>
    <n v="0.1197"/>
    <s v="2022Q1"/>
    <x v="2"/>
    <x v="0"/>
  </r>
  <r>
    <s v="TXN-100789"/>
    <n v="45028"/>
    <x v="10"/>
    <s v="Technology"/>
    <x v="0"/>
    <s v="USD"/>
    <s v="null"/>
    <n v="31765.55"/>
    <s v="null"/>
    <n v="27430.04"/>
    <n v="21158.31"/>
    <n v="49992.9"/>
    <n v="511"/>
    <n v="7.2700000000000001E-2"/>
    <s v="null"/>
    <n v="0.42320000000000002"/>
    <s v="2023Q2"/>
    <x v="1"/>
    <x v="1"/>
  </r>
  <r>
    <s v="TXN-100790"/>
    <n v="45927"/>
    <x v="6"/>
    <s v="Travel"/>
    <x v="2"/>
    <s v="USD"/>
    <n v="97558.62"/>
    <n v="74935.179999999993"/>
    <n v="22623.439999999999"/>
    <n v="35274.559999999998"/>
    <n v="203606.03"/>
    <n v="63693.33"/>
    <n v="542"/>
    <n v="-4.6600000000000003E-2"/>
    <n v="0.2319"/>
    <n v="3.1966999999999999"/>
    <s v="2025Q3"/>
    <x v="0"/>
    <x v="2"/>
  </r>
  <r>
    <s v="TXN-100791"/>
    <n v="45534"/>
    <x v="10"/>
    <s v="Technology"/>
    <x v="0"/>
    <s v="USD"/>
    <n v="74200.08"/>
    <n v="42671.33"/>
    <n v="31528.75"/>
    <n v="107525.47"/>
    <n v="53111.53"/>
    <n v="202935.67"/>
    <n v="1391"/>
    <n v="-8.3699999999999997E-2"/>
    <n v="0.4249"/>
    <n v="0.26169999999999999"/>
    <s v="2024Q3"/>
    <x v="3"/>
    <x v="0"/>
  </r>
  <r>
    <s v="TXN-100792"/>
    <n v="45476"/>
    <x v="1"/>
    <s v="Food &amp; Beverage"/>
    <x v="0"/>
    <s v="USD"/>
    <n v="77490.880000000005"/>
    <n v="62446.57"/>
    <n v="15044.31"/>
    <n v="76622.509999999995"/>
    <n v="26656.49"/>
    <n v="206324.52"/>
    <n v="1469"/>
    <n v="-5.04E-2"/>
    <n v="0.19409999999999999"/>
    <n v="0.12920000000000001"/>
    <s v="2024Q3"/>
    <x v="3"/>
    <x v="0"/>
  </r>
  <r>
    <s v="TXN-100793"/>
    <n v="45789"/>
    <x v="3"/>
    <s v="Telecommunications"/>
    <x v="1"/>
    <s v="USD"/>
    <n v="109207.1459"/>
    <n v="86963.25"/>
    <n v="22243.89"/>
    <n v="81263.100000000006"/>
    <n v="50930.58"/>
    <n v="110338.83"/>
    <n v="536"/>
    <n v="-8.6E-3"/>
    <n v="0.20369999999999999"/>
    <n v="0.46160000000000001"/>
    <s v="2025Q2"/>
    <x v="0"/>
    <x v="1"/>
  </r>
  <r>
    <s v="TXN-100794"/>
    <n v="45009"/>
    <x v="7"/>
    <s v="Manufacturing"/>
    <x v="2"/>
    <s v="USD"/>
    <n v="12006.34"/>
    <n v="7140.03"/>
    <n v="4866.3100000000004"/>
    <n v="15942.69"/>
    <n v="6969.62"/>
    <n v="54489.08"/>
    <n v="716"/>
    <n v="-4.8500000000000001E-2"/>
    <n v="0.40529999999999999"/>
    <n v="0.12790000000000001"/>
    <s v="2023Q1"/>
    <x v="1"/>
    <x v="0"/>
  </r>
  <r>
    <s v="TXN-100795"/>
    <n v="45021"/>
    <x v="8"/>
    <s v="Logistics"/>
    <x v="0"/>
    <s v="USD"/>
    <n v="33697.629999999997"/>
    <n v="19828.38"/>
    <n v="13869.25"/>
    <n v="33232.53"/>
    <n v="9940.8799999999992"/>
    <n v="117131.65"/>
    <n v="653"/>
    <n v="-3.04E-2"/>
    <n v="0.41160000000000002"/>
    <n v="8.4900000000000003E-2"/>
    <s v="2023Q2"/>
    <x v="1"/>
    <x v="0"/>
  </r>
  <r>
    <s v="TXN-100796"/>
    <n v="46005"/>
    <x v="6"/>
    <s v="Travel"/>
    <x v="1"/>
    <s v="USD"/>
    <n v="212613.59585000001"/>
    <n v="1.1499999999999999"/>
    <n v="1.1499999999999999"/>
    <n v="23248.22"/>
    <n v="20077.91"/>
    <n v="110901.62"/>
    <n v="680"/>
    <n v="6.7299999999999999E-2"/>
    <n v="0"/>
    <n v="0.18099999999999999"/>
    <s v="2025Q4"/>
    <x v="0"/>
    <x v="0"/>
  </r>
  <r>
    <s v="TXN-100797"/>
    <n v="45223"/>
    <x v="4"/>
    <s v="Energy"/>
    <x v="2"/>
    <s v="USD"/>
    <n v="87048.51"/>
    <n v="77109.14"/>
    <n v="9939.3700000000008"/>
    <n v="10119.19"/>
    <n v="26194.31"/>
    <n v="158536.54999999999"/>
    <n v="914"/>
    <n v="-3.0700000000000002E-2"/>
    <n v="0.1142"/>
    <n v="0.16520000000000001"/>
    <s v="2023Q4"/>
    <x v="1"/>
    <x v="0"/>
  </r>
  <r>
    <s v="TXN-100798"/>
    <n v="45419"/>
    <x v="10"/>
    <s v="Technology"/>
    <x v="2"/>
    <s v="USD"/>
    <n v="59035.35"/>
    <n v="49323.32"/>
    <n v="9712.0300000000007"/>
    <n v="21916.57"/>
    <n v="64704.29"/>
    <n v="62362.11"/>
    <n v="594"/>
    <n v="-2.6800000000000001E-2"/>
    <n v="0.16450000000000001"/>
    <n v="1.0376000000000001"/>
    <s v="2024Q2"/>
    <x v="3"/>
    <x v="2"/>
  </r>
  <r>
    <s v="TXN-100799"/>
    <n v="45352"/>
    <x v="2"/>
    <s v="Healthcare"/>
    <x v="1"/>
    <s v="USD"/>
    <n v="261321.43784999999"/>
    <n v="152213.46"/>
    <n v="109107.98"/>
    <n v="36803.25"/>
    <n v="54558.52"/>
    <n v="122889.76"/>
    <n v="718"/>
    <n v="0.1386"/>
    <n v="0.41749999999999998"/>
    <n v="0.44400000000000001"/>
    <s v="2024Q1"/>
    <x v="3"/>
    <x v="1"/>
  </r>
  <r>
    <s v="TXN-100800"/>
    <n v="45795"/>
    <x v="11"/>
    <s v="Financial Services"/>
    <x v="2"/>
    <s v="USD"/>
    <s v="null"/>
    <n v="58278.75"/>
    <s v="null"/>
    <n v="15486.71"/>
    <n v="24152.91"/>
    <n v="32268.14"/>
    <n v="789"/>
    <n v="9.6299999999999997E-2"/>
    <s v="null"/>
    <n v="0.74850000000000005"/>
    <s v="2025Q2"/>
    <x v="0"/>
    <x v="2"/>
  </r>
  <r>
    <s v="TXN-100801"/>
    <n v="45619"/>
    <x v="1"/>
    <s v="Food &amp; Beverage"/>
    <x v="1"/>
    <s v="USD"/>
    <n v="71164.623950000008"/>
    <n v="49724.3"/>
    <n v="21440.32"/>
    <n v="30120.21"/>
    <n v="21855.77"/>
    <n v="171468.47"/>
    <n v="1611"/>
    <n v="8.2000000000000003E-2"/>
    <n v="0.30130000000000001"/>
    <n v="0.1275"/>
    <s v="2024Q4"/>
    <x v="3"/>
    <x v="0"/>
  </r>
  <r>
    <s v="TXN-100802"/>
    <n v="44568"/>
    <x v="1"/>
    <s v="Food &amp; Beverage"/>
    <x v="0"/>
    <s v="USD"/>
    <n v="22136.05"/>
    <n v="12861.78"/>
    <n v="9274.27"/>
    <n v="61616.32"/>
    <n v="60352.91"/>
    <n v="83671.14"/>
    <n v="567"/>
    <n v="-0.1104"/>
    <n v="0.41899999999999998"/>
    <n v="0.72130000000000005"/>
    <s v="2022Q1"/>
    <x v="2"/>
    <x v="2"/>
  </r>
  <r>
    <s v="TXN-100803"/>
    <n v="46020"/>
    <x v="5"/>
    <s v="Retail"/>
    <x v="1"/>
    <s v="USD"/>
    <n v="236580.41525000002"/>
    <n v="174896.43"/>
    <n v="61683.99"/>
    <n v="23914.5"/>
    <n v="260127.92"/>
    <n v="97652.36"/>
    <n v="1484"/>
    <n v="2.7400000000000001E-2"/>
    <n v="0.26069999999999999"/>
    <n v="2.6638000000000002"/>
    <s v="2025Q4"/>
    <x v="0"/>
    <x v="2"/>
  </r>
  <r>
    <s v="TXN-100804"/>
    <n v="45987"/>
    <x v="9"/>
    <s v="Media"/>
    <x v="2"/>
    <s v="USD"/>
    <n v="75641.05"/>
    <s v="null"/>
    <s v="null"/>
    <n v="12688.78"/>
    <n v="17851.29"/>
    <n v="81132.679999999993"/>
    <n v="733"/>
    <n v="0.2661"/>
    <s v="null"/>
    <n v="0.22"/>
    <s v="2025Q4"/>
    <x v="0"/>
    <x v="0"/>
  </r>
  <r>
    <s v="TXN-100805"/>
    <d v="2022-02-15T00:00:00"/>
    <x v="5"/>
    <s v="Retail"/>
    <x v="0"/>
    <s v="USD"/>
    <n v="41788.25"/>
    <n v="30006.65"/>
    <n v="11781.6"/>
    <n v="38739.67"/>
    <n v="44712.480000000003"/>
    <n v="80065.279999999999"/>
    <n v="1165"/>
    <n v="4.8099999999999997E-2"/>
    <n v="0.28189999999999998"/>
    <n v="0.5585"/>
    <s v="2022Q1"/>
    <x v="2"/>
    <x v="1"/>
  </r>
  <r>
    <s v="TXN-100806"/>
    <n v="45401"/>
    <x v="6"/>
    <s v="Travel"/>
    <x v="0"/>
    <s v="USD"/>
    <n v="257911.36"/>
    <n v="175273.35"/>
    <n v="82638.009999999995"/>
    <n v="59687.4"/>
    <n v="21557.7"/>
    <n v="95865.51"/>
    <n v="510"/>
    <n v="-3.1600000000000003E-2"/>
    <n v="0.32040000000000002"/>
    <n v="0.22489999999999999"/>
    <s v="2024Q2"/>
    <x v="3"/>
    <x v="0"/>
  </r>
  <r>
    <s v="TXN-100807"/>
    <n v="45362"/>
    <x v="5"/>
    <s v="Retail"/>
    <x v="3"/>
    <s v="USD"/>
    <n v="77792.2"/>
    <n v="53038.58"/>
    <n v="24753.62"/>
    <n v="59500.63"/>
    <n v="5733.04"/>
    <n v="80994.33"/>
    <n v="749"/>
    <n v="-8.1100000000000005E-2"/>
    <n v="0.31819999999999998"/>
    <n v="7.0800000000000002E-2"/>
    <s v="2024Q1"/>
    <x v="3"/>
    <x v="0"/>
  </r>
  <r>
    <s v="TXN-100808"/>
    <n v="45105"/>
    <x v="6"/>
    <s v="Travel"/>
    <x v="3"/>
    <s v="USD"/>
    <n v="121832.22"/>
    <n v="89674.84"/>
    <n v="32157.38"/>
    <n v="10663.67"/>
    <n v="5372.93"/>
    <n v="86401.16"/>
    <n v="732"/>
    <n v="-6.1699999999999998E-2"/>
    <n v="0.26390000000000002"/>
    <n v="6.2199999999999998E-2"/>
    <s v="2023Q2"/>
    <x v="1"/>
    <x v="0"/>
  </r>
  <r>
    <s v="TXN-100809"/>
    <n v="44932"/>
    <x v="4"/>
    <s v="Energy"/>
    <x v="0"/>
    <s v="USD"/>
    <n v="147351.82"/>
    <n v="118519.27"/>
    <n v="28832.55"/>
    <n v="35027.230000000003"/>
    <n v="9256.41"/>
    <n v="82302.03"/>
    <n v="1757"/>
    <n v="5.9499999999999997E-2"/>
    <n v="0.19570000000000001"/>
    <n v="0.1125"/>
    <s v="2023Q1"/>
    <x v="1"/>
    <x v="0"/>
  </r>
  <r>
    <s v="TXN-100810"/>
    <n v="44656"/>
    <x v="3"/>
    <s v="Telecommunications"/>
    <x v="1"/>
    <s v="USD"/>
    <n v="111964.4433"/>
    <n v="82388.11"/>
    <n v="29576.33"/>
    <n v="75288.009999999995"/>
    <n v="74869.789999999994"/>
    <n v="160845.89000000001"/>
    <n v="626"/>
    <n v="-1.1900000000000001E-2"/>
    <n v="0.26419999999999999"/>
    <n v="0.46550000000000002"/>
    <s v="2022Q2"/>
    <x v="2"/>
    <x v="1"/>
  </r>
  <r>
    <s v="TXN-100811"/>
    <n v="45136"/>
    <x v="4"/>
    <s v="Energy"/>
    <x v="0"/>
    <s v="USD"/>
    <n v="54598.559999999998"/>
    <n v="46128.72"/>
    <n v="8469.84"/>
    <n v="25273.64"/>
    <n v="30992.06"/>
    <n v="69155.77"/>
    <n v="1622"/>
    <n v="-4.1500000000000002E-2"/>
    <n v="0.15509999999999999"/>
    <n v="0.4481"/>
    <s v="2023Q3"/>
    <x v="1"/>
    <x v="1"/>
  </r>
  <r>
    <s v="TXN-100812"/>
    <n v="45044"/>
    <x v="4"/>
    <s v="Energy"/>
    <x v="1"/>
    <s v="USD"/>
    <n v="158082.7304"/>
    <n v="102513.27"/>
    <n v="55569.46"/>
    <n v="24979.47"/>
    <n v="48725.77"/>
    <n v="72031.7"/>
    <n v="910"/>
    <n v="3.0800000000000001E-2"/>
    <n v="0.35149999999999998"/>
    <n v="0.6764"/>
    <s v="2023Q2"/>
    <x v="1"/>
    <x v="2"/>
  </r>
  <r>
    <s v="TXN-100813"/>
    <n v="45422"/>
    <x v="5"/>
    <s v="Retail"/>
    <x v="2"/>
    <s v="USD"/>
    <n v="102208.93"/>
    <n v="85465.61"/>
    <n v="16743.32"/>
    <n v="20866.2"/>
    <n v="8558.44"/>
    <n v="96443.23"/>
    <n v="1500"/>
    <n v="-3.78E-2"/>
    <n v="0.1638"/>
    <n v="8.8700000000000001E-2"/>
    <s v="2024Q2"/>
    <x v="3"/>
    <x v="0"/>
  </r>
  <r>
    <s v="TXN-100814"/>
    <n v="44811"/>
    <x v="6"/>
    <s v="Travel"/>
    <x v="1"/>
    <s v="USD"/>
    <n v="92035.500750000007"/>
    <n v="56980"/>
    <n v="35055.5"/>
    <n v="100058.52"/>
    <n v="98492.49"/>
    <n v="113370.54"/>
    <n v="1387"/>
    <n v="0.13009999999999999"/>
    <n v="0.38090000000000002"/>
    <n v="0.86880000000000002"/>
    <s v="2022Q3"/>
    <x v="2"/>
    <x v="2"/>
  </r>
  <r>
    <s v="TXN-100815"/>
    <n v="45093"/>
    <x v="10"/>
    <s v="Technology"/>
    <x v="2"/>
    <s v="USD"/>
    <n v="102388.86"/>
    <n v="80764.070000000007"/>
    <n v="21624.79"/>
    <n v="17671.57"/>
    <n v="12081.24"/>
    <n v="198127.72"/>
    <n v="1330"/>
    <n v="-0.05"/>
    <n v="0.2112"/>
    <n v="6.0999999999999999E-2"/>
    <s v="2023Q2"/>
    <x v="1"/>
    <x v="0"/>
  </r>
  <r>
    <s v="TXN-100816"/>
    <n v="44572"/>
    <x v="11"/>
    <s v="Financial Services"/>
    <x v="0"/>
    <s v="USD"/>
    <n v="26519.48"/>
    <n v="21473.37"/>
    <n v="5046.1099999999997"/>
    <n v="86379.02"/>
    <n v="40145.14"/>
    <n v="203300.37"/>
    <n v="233"/>
    <n v="7.8299999999999995E-2"/>
    <n v="0.1903"/>
    <n v="0.19750000000000001"/>
    <s v="2022Q1"/>
    <x v="2"/>
    <x v="0"/>
  </r>
  <r>
    <s v="TXN-100817"/>
    <n v="45717"/>
    <x v="2"/>
    <s v="Healthcare"/>
    <x v="0"/>
    <s v="USD"/>
    <n v="21621.14"/>
    <n v="16010.97"/>
    <n v="5610.17"/>
    <n v="28260.37"/>
    <n v="28069.74"/>
    <n v="142833.35"/>
    <n v="724"/>
    <n v="0.1358"/>
    <n v="0.25950000000000001"/>
    <n v="0.19650000000000001"/>
    <s v="2025Q1"/>
    <x v="0"/>
    <x v="0"/>
  </r>
  <r>
    <s v="TXN-100818"/>
    <n v="45057"/>
    <x v="8"/>
    <s v="Logistics"/>
    <x v="1"/>
    <s v="USD"/>
    <n v="129864.0909"/>
    <n v="95360.24"/>
    <n v="34503.85"/>
    <n v="11318.36"/>
    <n v="8149.5"/>
    <n v="120432.74"/>
    <n v="655"/>
    <n v="-6.7999999999999996E-3"/>
    <n v="0.26569999999999999"/>
    <n v="6.7699999999999996E-2"/>
    <s v="2023Q2"/>
    <x v="1"/>
    <x v="0"/>
  </r>
  <r>
    <s v="TXN-100819"/>
    <n v="45260"/>
    <x v="5"/>
    <s v="Retail"/>
    <x v="3"/>
    <s v="USD"/>
    <n v="182214.5"/>
    <n v="119940.87"/>
    <n v="62273.63"/>
    <n v="0"/>
    <n v="61023.42"/>
    <n v="201940.3"/>
    <n v="933"/>
    <n v="-6.5000000000000002E-2"/>
    <n v="0.34179999999999999"/>
    <n v="0.30220000000000002"/>
    <s v="2023Q4"/>
    <x v="1"/>
    <x v="1"/>
  </r>
  <r>
    <s v="TXN-100820"/>
    <n v="44618"/>
    <x v="2"/>
    <s v="Healthcare"/>
    <x v="1"/>
    <s v="USD"/>
    <n v="206866.68054999999"/>
    <n v="141950.20000000001"/>
    <n v="64916.480000000003"/>
    <n v="38544.050000000003"/>
    <n v="14321.4"/>
    <n v="75668.289999999994"/>
    <n v="756"/>
    <n v="1.3599999999999999E-2"/>
    <n v="0.31380000000000002"/>
    <n v="0.1893"/>
    <s v="2022Q1"/>
    <x v="2"/>
    <x v="0"/>
  </r>
  <r>
    <s v="TXN-100821"/>
    <n v="44807"/>
    <x v="7"/>
    <s v="Manufacturing"/>
    <x v="0"/>
    <s v="USD"/>
    <s v="null"/>
    <n v="62532.77"/>
    <s v="null"/>
    <n v="53489.77"/>
    <n v="18984.310000000001"/>
    <n v="85343.6"/>
    <n v="724"/>
    <n v="6.7000000000000002E-3"/>
    <s v="null"/>
    <n v="0.22239999999999999"/>
    <s v="2022Q3"/>
    <x v="2"/>
    <x v="0"/>
  </r>
  <r>
    <s v="TXN-100822"/>
    <n v="45037"/>
    <x v="7"/>
    <s v="Manufacturing"/>
    <x v="1"/>
    <s v="USD"/>
    <n v="85000.048250000007"/>
    <n v="72510.960000000006"/>
    <n v="12489.09"/>
    <n v="58269.68"/>
    <n v="19646.22"/>
    <n v="129857.31"/>
    <n v="1243"/>
    <n v="-0.123"/>
    <n v="0.1469"/>
    <n v="0.15129999999999999"/>
    <s v="2023Q2"/>
    <x v="1"/>
    <x v="0"/>
  </r>
  <r>
    <s v="TXN-100823"/>
    <n v="45431"/>
    <x v="5"/>
    <s v="Retail"/>
    <x v="1"/>
    <s v="USD"/>
    <n v="43312.2814"/>
    <n v="33133.35"/>
    <n v="10178.94"/>
    <n v="78341.83"/>
    <n v="61980.959999999999"/>
    <n v="212163.08"/>
    <n v="1086"/>
    <n v="-2.1600000000000001E-2"/>
    <n v="0.23499999999999999"/>
    <n v="0.29210000000000003"/>
    <s v="2024Q2"/>
    <x v="3"/>
    <x v="0"/>
  </r>
  <r>
    <s v="TXN-100824"/>
    <n v="45580"/>
    <x v="10"/>
    <s v="Technology"/>
    <x v="1"/>
    <s v="USD"/>
    <n v="61715.832050000005"/>
    <n v="45752.77"/>
    <n v="15963.06"/>
    <n v="109925.08"/>
    <n v="91905.5"/>
    <n v="149347.98000000001"/>
    <n v="1222"/>
    <n v="6.5600000000000006E-2"/>
    <n v="0.25869999999999999"/>
    <n v="0.61539999999999995"/>
    <s v="2024Q4"/>
    <x v="3"/>
    <x v="2"/>
  </r>
  <r>
    <s v="TXN-100825"/>
    <n v="45416"/>
    <x v="5"/>
    <s v="Retail"/>
    <x v="2"/>
    <s v="USD"/>
    <n v="122199.18"/>
    <n v="101017.79"/>
    <n v="21181.39"/>
    <n v="52120.2"/>
    <n v="101283.79"/>
    <n v="95892.15"/>
    <n v="1414"/>
    <n v="3.6700000000000003E-2"/>
    <n v="0.17330000000000001"/>
    <n v="1.0562"/>
    <s v="2024Q2"/>
    <x v="3"/>
    <x v="2"/>
  </r>
  <r>
    <s v="TXN-100826"/>
    <n v="45201"/>
    <x v="3"/>
    <s v="Telecommunications"/>
    <x v="2"/>
    <s v="USD"/>
    <n v="137856.67000000001"/>
    <n v="81933.070000000007"/>
    <n v="55923.6"/>
    <n v="39545.75"/>
    <n v="53702.25"/>
    <n v="94974.93"/>
    <n v="932"/>
    <n v="0.1118"/>
    <n v="0.40570000000000001"/>
    <n v="0.56540000000000001"/>
    <s v="2023Q4"/>
    <x v="1"/>
    <x v="1"/>
  </r>
  <r>
    <s v="TXN-100827"/>
    <n v="45936"/>
    <x v="8"/>
    <s v="Logistics"/>
    <x v="1"/>
    <s v="USD"/>
    <n v="181136.30924999999"/>
    <n v="108700.8"/>
    <n v="72435.509999999995"/>
    <n v="19149.88"/>
    <n v="16791.36"/>
    <n v="68231.55"/>
    <n v="695"/>
    <n v="5.7799999999999997E-2"/>
    <n v="0.39989999999999998"/>
    <n v="0.24610000000000001"/>
    <s v="2025Q4"/>
    <x v="0"/>
    <x v="0"/>
  </r>
  <r>
    <s v="TXN-100828"/>
    <n v="45678"/>
    <x v="3"/>
    <s v="Telecommunications"/>
    <x v="3"/>
    <s v="USD"/>
    <n v="48947.23"/>
    <s v="null"/>
    <s v="null"/>
    <n v="54251.99"/>
    <n v="60842.2"/>
    <n v="326965.99"/>
    <n v="1928"/>
    <n v="-7.6700000000000004E-2"/>
    <s v="null"/>
    <n v="0.18609999999999999"/>
    <s v="2025Q1"/>
    <x v="0"/>
    <x v="0"/>
  </r>
  <r>
    <s v="TXN-100829"/>
    <n v="44814"/>
    <x v="0"/>
    <s v="Real Estate"/>
    <x v="0"/>
    <s v="USD"/>
    <n v="284086.74"/>
    <n v="250330.04"/>
    <n v="33756.699999999997"/>
    <n v="24381.29"/>
    <n v="38565.93"/>
    <n v="79747.850000000006"/>
    <n v="1996"/>
    <n v="-0.1009"/>
    <n v="0.1188"/>
    <n v="0.48359999999999997"/>
    <s v="2022Q3"/>
    <x v="2"/>
    <x v="1"/>
  </r>
  <r>
    <s v="TXN-100830"/>
    <n v="45282"/>
    <x v="11"/>
    <s v="Financial Services"/>
    <x v="3"/>
    <s v="USD"/>
    <n v="124073.85"/>
    <n v="92149.87"/>
    <n v="31923.98"/>
    <n v="18202.28"/>
    <n v="54249.55"/>
    <n v="52741.22"/>
    <n v="2188"/>
    <n v="5.8200000000000002E-2"/>
    <n v="0.25729999999999997"/>
    <n v="1.0286"/>
    <s v="2023Q4"/>
    <x v="1"/>
    <x v="2"/>
  </r>
  <r>
    <s v="TXN-100831"/>
    <n v="45612"/>
    <x v="8"/>
    <s v="Logistics"/>
    <x v="0"/>
    <s v="USD"/>
    <n v="29868.97"/>
    <n v="18620.25"/>
    <n v="11248.72"/>
    <n v="108022.46"/>
    <n v="27206.3"/>
    <n v="199407.85"/>
    <n v="688"/>
    <n v="0.12659999999999999"/>
    <n v="0.37659999999999999"/>
    <n v="0.13639999999999999"/>
    <s v="2024Q4"/>
    <x v="3"/>
    <x v="0"/>
  </r>
  <r>
    <s v="TXN-100832"/>
    <n v="45331"/>
    <x v="9"/>
    <s v="Media"/>
    <x v="2"/>
    <s v="USD"/>
    <n v="273053.09000000003"/>
    <n v="200406.48"/>
    <n v="72646.61"/>
    <n v="138960.16"/>
    <n v="26645.22"/>
    <n v="164793.57999999999"/>
    <n v="874"/>
    <n v="6.1999999999999998E-3"/>
    <n v="0.2661"/>
    <n v="0.16170000000000001"/>
    <s v="2024Q1"/>
    <x v="3"/>
    <x v="0"/>
  </r>
  <r>
    <s v="TXN-100833"/>
    <n v="44778"/>
    <x v="7"/>
    <s v="Manufacturing"/>
    <x v="2"/>
    <s v="USD"/>
    <n v="37219.11"/>
    <s v="null"/>
    <s v="null"/>
    <n v="107074.88"/>
    <n v="73833.929999999993"/>
    <n v="204321.11"/>
    <n v="1076"/>
    <n v="1.2999999999999999E-3"/>
    <s v="null"/>
    <n v="0.3614"/>
    <s v="2022Q3"/>
    <x v="2"/>
    <x v="1"/>
  </r>
  <r>
    <s v="TXN-100834"/>
    <n v="45692"/>
    <x v="7"/>
    <s v="Manufacturing"/>
    <x v="0"/>
    <s v="USD"/>
    <n v="41171.230000000003"/>
    <n v="26694.65"/>
    <n v="14476.58"/>
    <n v="25470.1"/>
    <n v="18609.009999999998"/>
    <n v="82693.06"/>
    <n v="1172"/>
    <n v="0.10879999999999999"/>
    <n v="0.35160000000000002"/>
    <n v="0.22500000000000001"/>
    <s v="2025Q1"/>
    <x v="0"/>
    <x v="0"/>
  </r>
  <r>
    <s v="TXN-100835"/>
    <n v="45472"/>
    <x v="4"/>
    <s v="Energy"/>
    <x v="2"/>
    <s v="USD"/>
    <n v="88408.38"/>
    <n v="48813.37"/>
    <n v="39595.01"/>
    <n v="86191.360000000001"/>
    <n v="5802.95"/>
    <n v="106055.18"/>
    <n v="1044"/>
    <n v="-4.53E-2"/>
    <n v="0.44790000000000002"/>
    <n v="5.4699999999999999E-2"/>
    <s v="2024Q2"/>
    <x v="3"/>
    <x v="0"/>
  </r>
  <r>
    <s v="TXN-100836"/>
    <n v="44681"/>
    <x v="8"/>
    <s v="Logistics"/>
    <x v="1"/>
    <s v="USD"/>
    <n v="133634.5759"/>
    <n v="120255.48"/>
    <n v="13379.1"/>
    <n v="134489.97"/>
    <n v="165965.25"/>
    <n v="162158.35"/>
    <n v="1260"/>
    <n v="6.8999999999999999E-3"/>
    <n v="0.10009999999999999"/>
    <n v="1.0235000000000001"/>
    <s v="2022Q2"/>
    <x v="2"/>
    <x v="2"/>
  </r>
  <r>
    <s v="TXN-100837"/>
    <n v="45967"/>
    <x v="1"/>
    <s v="Food &amp; Beverage"/>
    <x v="2"/>
    <s v="USD"/>
    <n v="64548.38"/>
    <n v="41271.360000000001"/>
    <n v="23277.02"/>
    <n v="52073"/>
    <n v="82448.509999999995"/>
    <n v="124801.95"/>
    <n v="424"/>
    <n v="7.6200000000000004E-2"/>
    <n v="0.36059999999999998"/>
    <n v="0.66059999999999997"/>
    <s v="2025Q4"/>
    <x v="0"/>
    <x v="2"/>
  </r>
  <r>
    <s v="TXN-100838"/>
    <n v="44729"/>
    <x v="2"/>
    <s v="Healthcare"/>
    <x v="3"/>
    <s v="USD"/>
    <n v="105464.51"/>
    <n v="78792.88"/>
    <n v="26671.63"/>
    <n v="76848.72"/>
    <n v="7808.39"/>
    <n v="109791.73"/>
    <n v="822"/>
    <n v="0.1069"/>
    <n v="0.25290000000000001"/>
    <n v="7.1099999999999997E-2"/>
    <s v="2022Q2"/>
    <x v="2"/>
    <x v="0"/>
  </r>
  <r>
    <s v="TXN-100839"/>
    <n v="45841"/>
    <x v="6"/>
    <s v="Travel"/>
    <x v="1"/>
    <s v="USD"/>
    <n v="213007.75065"/>
    <n v="154664.63"/>
    <n v="58343.12"/>
    <n v="22986.52"/>
    <n v="118738.81"/>
    <n v="76504.73"/>
    <n v="865"/>
    <n v="8.3000000000000001E-3"/>
    <n v="0.27389999999999998"/>
    <n v="1.552"/>
    <s v="2025Q3"/>
    <x v="0"/>
    <x v="2"/>
  </r>
  <r>
    <s v="TXN-100840"/>
    <n v="45228"/>
    <x v="6"/>
    <s v="Travel"/>
    <x v="2"/>
    <s v="USD"/>
    <n v="36072.300000000003"/>
    <s v="null"/>
    <s v="null"/>
    <n v="78812.77"/>
    <n v="63587.82"/>
    <n v="210141.3"/>
    <n v="1324"/>
    <n v="8.8000000000000005E-3"/>
    <s v="null"/>
    <n v="0.30259999999999998"/>
    <s v="2023Q4"/>
    <x v="1"/>
    <x v="1"/>
  </r>
  <r>
    <s v="TXN-100841"/>
    <n v="45110"/>
    <x v="3"/>
    <s v="Telecommunications"/>
    <x v="2"/>
    <s v="USD"/>
    <n v="48686.38"/>
    <n v="27540.12"/>
    <n v="21146.26"/>
    <n v="16567.89"/>
    <n v="9317.0499999999993"/>
    <n v="118077.69"/>
    <n v="1426"/>
    <n v="-4.58E-2"/>
    <n v="0.43430000000000002"/>
    <n v="7.8899999999999998E-2"/>
    <s v="2023Q3"/>
    <x v="1"/>
    <x v="0"/>
  </r>
  <r>
    <s v="TXN-100842"/>
    <n v="44921"/>
    <x v="2"/>
    <s v="Healthcare"/>
    <x v="0"/>
    <s v="USD"/>
    <n v="67027.45"/>
    <n v="49437.05"/>
    <n v="17590.400000000001"/>
    <n v="15499.72"/>
    <n v="60919.47"/>
    <n v="191330.27"/>
    <n v="559"/>
    <n v="-6.2899999999999998E-2"/>
    <n v="0.26240000000000002"/>
    <n v="0.31840000000000002"/>
    <s v="2022Q4"/>
    <x v="2"/>
    <x v="1"/>
  </r>
  <r>
    <s v="TXN-100843"/>
    <n v="44630"/>
    <x v="7"/>
    <s v="Manufacturing"/>
    <x v="2"/>
    <s v="USD"/>
    <n v="44245.9"/>
    <n v="25589.439999999999"/>
    <n v="18656.46"/>
    <n v="54628.6"/>
    <n v="9246.61"/>
    <n v="169560.29"/>
    <n v="1618"/>
    <n v="1.4E-2"/>
    <n v="0.42170000000000002"/>
    <n v="5.45E-2"/>
    <s v="2022Q1"/>
    <x v="2"/>
    <x v="0"/>
  </r>
  <r>
    <s v="TXN-100844"/>
    <n v="44794"/>
    <x v="9"/>
    <s v="Media"/>
    <x v="3"/>
    <s v="USD"/>
    <n v="115436.94"/>
    <n v="98526.399999999994"/>
    <n v="16910.54"/>
    <n v="91977.81"/>
    <n v="8950.75"/>
    <n v="133950.14000000001"/>
    <n v="3375"/>
    <n v="6.4299999999999996E-2"/>
    <n v="0.14649999999999999"/>
    <n v="6.6799999999999998E-2"/>
    <s v="2022Q3"/>
    <x v="2"/>
    <x v="0"/>
  </r>
  <r>
    <s v="TXN-100845"/>
    <n v="45408"/>
    <x v="8"/>
    <s v="Logistics"/>
    <x v="1"/>
    <s v="USD"/>
    <n v="174413.49900000001"/>
    <n v="97078.29"/>
    <n v="77335.210000000006"/>
    <n v="104842.46"/>
    <n v="15395.46"/>
    <n v="178005.35"/>
    <n v="622"/>
    <n v="-8.2600000000000007E-2"/>
    <n v="0.44340000000000002"/>
    <n v="8.6499999999999994E-2"/>
    <s v="2024Q2"/>
    <x v="3"/>
    <x v="0"/>
  </r>
  <r>
    <s v="TXN-100846"/>
    <n v="44657"/>
    <x v="11"/>
    <s v="Financial Services"/>
    <x v="0"/>
    <s v="USD"/>
    <n v="71312.69"/>
    <n v="62459.03"/>
    <n v="8853.66"/>
    <n v="99998.84"/>
    <n v="8050.62"/>
    <n v="136223.59"/>
    <n v="1617"/>
    <n v="-6.0299999999999999E-2"/>
    <n v="0.1242"/>
    <n v="5.91E-2"/>
    <s v="2022Q2"/>
    <x v="2"/>
    <x v="0"/>
  </r>
  <r>
    <s v="TXN-100847"/>
    <n v="45765"/>
    <x v="5"/>
    <s v="Retail"/>
    <x v="1"/>
    <s v="USD"/>
    <n v="898701.38580000005"/>
    <n v="62963.65"/>
    <n v="835737.73"/>
    <n v="218429.93"/>
    <n v="218206.13"/>
    <n v="316111.76"/>
    <n v="1202"/>
    <n v="-9.4899999999999998E-2"/>
    <n v="0.92989999999999995"/>
    <n v="0.69030000000000002"/>
    <s v="2025Q2"/>
    <x v="0"/>
    <x v="2"/>
  </r>
  <r>
    <s v="TXN-100848"/>
    <n v="45804"/>
    <x v="8"/>
    <s v="Logistics"/>
    <x v="3"/>
    <s v="USD"/>
    <n v="58788.82"/>
    <n v="52010.7"/>
    <n v="6778.12"/>
    <n v="42236.5"/>
    <n v="10590.79"/>
    <n v="61516.12"/>
    <n v="925"/>
    <n v="7.7700000000000005E-2"/>
    <n v="0.1153"/>
    <n v="0.17219999999999999"/>
    <s v="2025Q2"/>
    <x v="0"/>
    <x v="0"/>
  </r>
  <r>
    <s v="TXN-100849"/>
    <n v="44782"/>
    <x v="9"/>
    <s v="Media"/>
    <x v="1"/>
    <s v="USD"/>
    <n v="95909.4136"/>
    <n v="63772.32"/>
    <n v="32137.09"/>
    <n v="39189.089999999997"/>
    <n v="150335.4"/>
    <n v="88310.31"/>
    <n v="1544"/>
    <n v="2.0899999999999998E-2"/>
    <n v="0.33510000000000001"/>
    <n v="1.7023999999999999"/>
    <s v="2022Q3"/>
    <x v="2"/>
    <x v="2"/>
  </r>
  <r>
    <s v="TXN-100850"/>
    <n v="45249"/>
    <x v="11"/>
    <s v="Financial Services"/>
    <x v="1"/>
    <s v="USD"/>
    <n v="106808.35945"/>
    <n v="92584.21"/>
    <n v="14224.15"/>
    <n v="70703.429999999993"/>
    <n v="23986.89"/>
    <n v="108441.06"/>
    <n v="802"/>
    <n v="3.3599999999999998E-2"/>
    <n v="0.13320000000000001"/>
    <n v="0.22120000000000001"/>
    <s v="2023Q4"/>
    <x v="1"/>
    <x v="0"/>
  </r>
  <r>
    <s v="TXN-100851"/>
    <n v="45402"/>
    <x v="3"/>
    <s v="Telecommunications"/>
    <x v="0"/>
    <s v="USD"/>
    <n v="59548.480000000003"/>
    <n v="51575.42"/>
    <n v="7973.06"/>
    <n v="40947.129999999997"/>
    <n v="31864.63"/>
    <n v="302830.77"/>
    <n v="786"/>
    <n v="0.10050000000000001"/>
    <n v="0.13389999999999999"/>
    <n v="0.1052"/>
    <s v="2024Q2"/>
    <x v="3"/>
    <x v="0"/>
  </r>
  <r>
    <s v="TXN-100852"/>
    <n v="45645"/>
    <x v="11"/>
    <s v="Financial Services"/>
    <x v="2"/>
    <s v="USD"/>
    <n v="615173.47"/>
    <n v="521707.03"/>
    <n v="93466.44"/>
    <n v="47954.93"/>
    <n v="36500.54"/>
    <n v="214687.24"/>
    <n v="676"/>
    <n v="5.3100000000000001E-2"/>
    <n v="0.15190000000000001"/>
    <n v="0.17"/>
    <s v="2024Q4"/>
    <x v="3"/>
    <x v="0"/>
  </r>
  <r>
    <s v="TXN-100853"/>
    <n v="45081"/>
    <x v="11"/>
    <s v="Financial Services"/>
    <x v="0"/>
    <s v="USD"/>
    <n v="464842.67"/>
    <n v="368134.29"/>
    <n v="96708.38"/>
    <n v="26462.68"/>
    <n v="17966.14"/>
    <n v="92356.57"/>
    <n v="967"/>
    <n v="2.52E-2"/>
    <n v="0.20799999999999999"/>
    <n v="0.19450000000000001"/>
    <s v="2023Q2"/>
    <x v="1"/>
    <x v="0"/>
  </r>
  <r>
    <s v="TXN-100854"/>
    <n v="45798"/>
    <x v="7"/>
    <s v="Manufacturing"/>
    <x v="2"/>
    <s v="USD"/>
    <n v="121578.79"/>
    <n v="83873.740000000005"/>
    <n v="37705.050000000003"/>
    <n v="17359.03"/>
    <n v="13130.16"/>
    <n v="23523.79"/>
    <n v="1131"/>
    <n v="-0.1225"/>
    <n v="0.31009999999999999"/>
    <n v="0.55820000000000003"/>
    <s v="2025Q2"/>
    <x v="0"/>
    <x v="1"/>
  </r>
  <r>
    <s v="TXN-100855"/>
    <n v="46018"/>
    <x v="5"/>
    <s v="Retail"/>
    <x v="2"/>
    <s v="USD"/>
    <n v="28981.24"/>
    <n v="21674.38"/>
    <n v="7306.86"/>
    <n v="23257.68"/>
    <n v="27771.65"/>
    <n v="43853.48"/>
    <n v="1104"/>
    <n v="-5.9299999999999999E-2"/>
    <n v="0.25209999999999999"/>
    <n v="0.63329999999999997"/>
    <s v="2025Q4"/>
    <x v="0"/>
    <x v="2"/>
  </r>
  <r>
    <s v="TXN-100856"/>
    <n v="44830"/>
    <x v="5"/>
    <s v="Retail"/>
    <x v="2"/>
    <s v="USD"/>
    <n v="27337.38"/>
    <n v="20372.39"/>
    <n v="6964.99"/>
    <n v="51103.74"/>
    <n v="51318.62"/>
    <n v="112488.22"/>
    <n v="2425"/>
    <n v="0.108"/>
    <n v="0.25480000000000003"/>
    <n v="0.45619999999999999"/>
    <s v="2022Q3"/>
    <x v="2"/>
    <x v="1"/>
  </r>
  <r>
    <s v="TXN-100857"/>
    <n v="44586"/>
    <x v="5"/>
    <s v="Retail"/>
    <x v="3"/>
    <s v="USD"/>
    <n v="45513.18"/>
    <n v="39248.629999999997"/>
    <n v="6264.55"/>
    <n v="63556.62"/>
    <n v="72384.3"/>
    <n v="113027.67"/>
    <n v="730"/>
    <n v="4.5699999999999998E-2"/>
    <n v="0.1376"/>
    <n v="0.64039999999999997"/>
    <s v="2022Q1"/>
    <x v="2"/>
    <x v="2"/>
  </r>
  <r>
    <s v="TXN-100858"/>
    <n v="45282"/>
    <x v="9"/>
    <s v="Media"/>
    <x v="0"/>
    <s v="USD"/>
    <n v="101926.38"/>
    <n v="82324.100000000006"/>
    <n v="19602.28"/>
    <n v="10791.75"/>
    <n v="22089.63"/>
    <n v="60982.07"/>
    <n v="331"/>
    <n v="-5.3600000000000002E-2"/>
    <n v="0.1923"/>
    <n v="0.36220000000000002"/>
    <s v="2023Q4"/>
    <x v="1"/>
    <x v="1"/>
  </r>
  <r>
    <s v="TXN-100859"/>
    <n v="44574"/>
    <x v="0"/>
    <s v="Real Estate"/>
    <x v="3"/>
    <s v="USD"/>
    <n v="39008.19"/>
    <n v="26054.27"/>
    <n v="12953.92"/>
    <n v="75138.94"/>
    <n v="145660.97"/>
    <n v="106539.34"/>
    <n v="776"/>
    <n v="-1.7500000000000002E-2"/>
    <n v="0.33210000000000001"/>
    <n v="1.3672"/>
    <s v="2022Q1"/>
    <x v="2"/>
    <x v="2"/>
  </r>
  <r>
    <s v="TXN-100860"/>
    <n v="45851"/>
    <x v="3"/>
    <s v="Telecommunications"/>
    <x v="2"/>
    <s v="USD"/>
    <n v="135441.21"/>
    <n v="107725.15"/>
    <n v="27716.06"/>
    <n v="26524.71"/>
    <n v="75440.84"/>
    <n v="52556.12"/>
    <n v="1659"/>
    <n v="5.7999999999999996E-3"/>
    <n v="0.2046"/>
    <n v="1.4354"/>
    <s v="2025Q3"/>
    <x v="0"/>
    <x v="2"/>
  </r>
  <r>
    <s v="TXN-100861"/>
    <n v="45886"/>
    <x v="9"/>
    <s v="Media"/>
    <x v="0"/>
    <s v="USD"/>
    <n v="74404.509999999995"/>
    <n v="50837.07"/>
    <n v="23567.439999999999"/>
    <n v="61421.45"/>
    <n v="124852.09"/>
    <n v="107359.63"/>
    <n v="811"/>
    <n v="3.2199999999999999E-2"/>
    <n v="0.31669999999999998"/>
    <n v="1.1629"/>
    <s v="2025Q3"/>
    <x v="0"/>
    <x v="2"/>
  </r>
  <r>
    <s v="TXN-100862"/>
    <n v="45974"/>
    <x v="10"/>
    <s v="Technology"/>
    <x v="1"/>
    <s v="USD"/>
    <n v="58231.826049999996"/>
    <n v="34445.83"/>
    <n v="23786"/>
    <n v="30241.01"/>
    <n v="59692.37"/>
    <n v="52298.33"/>
    <n v="906"/>
    <n v="-0.1608"/>
    <n v="0.40849999999999997"/>
    <n v="1.1414"/>
    <s v="2025Q4"/>
    <x v="0"/>
    <x v="2"/>
  </r>
  <r>
    <s v="TXN-100863"/>
    <n v="45886"/>
    <x v="11"/>
    <s v="Financial Services"/>
    <x v="0"/>
    <s v="USD"/>
    <n v="100683.87"/>
    <n v="72671.679999999993"/>
    <n v="28012.19"/>
    <n v="15504.12"/>
    <n v="2924.7"/>
    <n v="67832.039999999994"/>
    <n v="1951"/>
    <n v="1.9099999999999999E-2"/>
    <n v="0.2782"/>
    <n v="4.3099999999999999E-2"/>
    <s v="2025Q3"/>
    <x v="0"/>
    <x v="0"/>
  </r>
  <r>
    <s v="TXN-100864"/>
    <n v="45439"/>
    <x v="3"/>
    <s v="Telecommunications"/>
    <x v="1"/>
    <s v="USD"/>
    <n v="47548.289049999999"/>
    <n v="36865.599999999999"/>
    <n v="10682.69"/>
    <n v="35653.589999999997"/>
    <n v="16238.44"/>
    <n v="82807.13"/>
    <n v="1968"/>
    <n v="0.19040000000000001"/>
    <n v="0.22470000000000001"/>
    <n v="0.1961"/>
    <s v="2024Q2"/>
    <x v="3"/>
    <x v="0"/>
  </r>
  <r>
    <s v="TXN-100865"/>
    <n v="44770"/>
    <x v="8"/>
    <s v="Logistics"/>
    <x v="0"/>
    <s v="USD"/>
    <n v="46296.35"/>
    <n v="36465.519999999997"/>
    <n v="9830.83"/>
    <n v="19172.669999999998"/>
    <n v="13132.57"/>
    <n v="54316.4"/>
    <s v="null"/>
    <n v="-0.1162"/>
    <n v="0.21229999999999999"/>
    <n v="0.24179999999999999"/>
    <s v="2022Q3"/>
    <x v="2"/>
    <x v="0"/>
  </r>
  <r>
    <s v="TXN-100866"/>
    <n v="45638"/>
    <x v="0"/>
    <s v="Real Estate"/>
    <x v="0"/>
    <s v="USD"/>
    <n v="50638.12"/>
    <n v="46192.3"/>
    <n v="4445.82"/>
    <n v="7159.06"/>
    <n v="18582.25"/>
    <n v="34130.720000000001"/>
    <n v="734"/>
    <n v="-3.2399999999999998E-2"/>
    <n v="8.7800000000000003E-2"/>
    <n v="0.5444"/>
    <s v="2024Q4"/>
    <x v="3"/>
    <x v="1"/>
  </r>
  <r>
    <s v="TXN-100867"/>
    <n v="44932"/>
    <x v="6"/>
    <s v="Travel"/>
    <x v="1"/>
    <s v="USD"/>
    <n v="242301.45355000001"/>
    <n v="187283.17"/>
    <n v="55018.28"/>
    <n v="75608.08"/>
    <n v="17890.849999999999"/>
    <n v="109532.8"/>
    <n v="709"/>
    <n v="4.2900000000000001E-2"/>
    <n v="0.2271"/>
    <n v="0.1633"/>
    <s v="2023Q1"/>
    <x v="1"/>
    <x v="0"/>
  </r>
  <r>
    <s v="TXN-100868"/>
    <n v="45800"/>
    <x v="3"/>
    <s v="Telecommunications"/>
    <x v="2"/>
    <s v="USD"/>
    <n v="31474.82"/>
    <n v="26941.01"/>
    <n v="4533.8100000000004"/>
    <n v="7000.79"/>
    <n v="33964.129999999997"/>
    <n v="45923.06"/>
    <n v="507"/>
    <n v="-7.1099999999999997E-2"/>
    <n v="0.14399999999999999"/>
    <n v="0.73960000000000004"/>
    <s v="2025Q2"/>
    <x v="0"/>
    <x v="2"/>
  </r>
  <r>
    <s v="TXN-100869"/>
    <n v="44987"/>
    <x v="8"/>
    <s v="Logistics"/>
    <x v="2"/>
    <s v="USD"/>
    <n v="75878.41"/>
    <n v="63808.31"/>
    <n v="12070.1"/>
    <n v="9410.2199999999993"/>
    <n v="7988.52"/>
    <n v="96303.69"/>
    <n v="1586"/>
    <n v="8.2900000000000001E-2"/>
    <n v="0.15909999999999999"/>
    <n v="8.3000000000000004E-2"/>
    <s v="2023Q1"/>
    <x v="1"/>
    <x v="0"/>
  </r>
  <r>
    <s v="TXN-100870"/>
    <n v="45941"/>
    <x v="7"/>
    <s v="Manufacturing"/>
    <x v="0"/>
    <s v="USD"/>
    <n v="171778.03"/>
    <n v="120038.12"/>
    <n v="51739.91"/>
    <n v="32505.67"/>
    <n v="24047.19"/>
    <n v="72887.34"/>
    <n v="1575"/>
    <n v="-0.06"/>
    <n v="0.30120000000000002"/>
    <n v="0.32990000000000003"/>
    <s v="2025Q4"/>
    <x v="0"/>
    <x v="1"/>
  </r>
  <r>
    <s v="TXN-100871"/>
    <n v="45300"/>
    <x v="5"/>
    <s v="Retail"/>
    <x v="2"/>
    <s v="USD"/>
    <n v="45652.44"/>
    <n v="34358.78"/>
    <n v="11293.66"/>
    <n v="17555.419999999998"/>
    <n v="20196.75"/>
    <n v="41446.25"/>
    <n v="1524"/>
    <n v="-3.3799999999999997E-2"/>
    <n v="0.24740000000000001"/>
    <n v="0.48730000000000001"/>
    <s v="2024Q1"/>
    <x v="3"/>
    <x v="1"/>
  </r>
  <r>
    <s v="TXN-100872"/>
    <n v="45847"/>
    <x v="7"/>
    <s v="Manufacturing"/>
    <x v="1"/>
    <s v="USD"/>
    <n v="55232.361150000004"/>
    <n v="35750.910000000003"/>
    <n v="19481.45"/>
    <n v="106300.51"/>
    <n v="29774.79"/>
    <n v="117998.08"/>
    <n v="520"/>
    <n v="-4.53E-2"/>
    <n v="0.35270000000000001"/>
    <n v="0.25230000000000002"/>
    <s v="2025Q3"/>
    <x v="0"/>
    <x v="0"/>
  </r>
  <r>
    <s v="TXN-100873"/>
    <n v="45368"/>
    <x v="3"/>
    <s v="Telecommunications"/>
    <x v="2"/>
    <s v="USD"/>
    <n v="47536.85"/>
    <n v="34767.599999999999"/>
    <n v="12769.25"/>
    <n v="53678.96"/>
    <n v="63063.72"/>
    <n v="96073.05"/>
    <n v="911"/>
    <n v="7.4999999999999997E-3"/>
    <n v="0.26860000000000001"/>
    <n v="0.65639999999999998"/>
    <s v="2024Q1"/>
    <x v="3"/>
    <x v="2"/>
  </r>
  <r>
    <s v="TXN-100874"/>
    <n v="45960"/>
    <x v="11"/>
    <s v="Financial Services"/>
    <x v="1"/>
    <s v="USD"/>
    <n v="110113.01265"/>
    <n v="98808.53"/>
    <n v="11304.48"/>
    <n v="66227.17"/>
    <n v="15649.69"/>
    <n v="174386.99"/>
    <n v="639"/>
    <n v="2.3999999999999998E-3"/>
    <n v="0.1027"/>
    <n v="8.9700000000000002E-2"/>
    <s v="2025Q4"/>
    <x v="0"/>
    <x v="0"/>
  </r>
  <r>
    <s v="TXN-100875"/>
    <n v="45460"/>
    <x v="9"/>
    <s v="Media"/>
    <x v="0"/>
    <s v="USD"/>
    <n v="176674.2"/>
    <n v="125092.23"/>
    <n v="51581.97"/>
    <n v="39990.74"/>
    <n v="10921.57"/>
    <n v="170097.08"/>
    <n v="807"/>
    <n v="4.2599999999999999E-2"/>
    <n v="0.29199999999999998"/>
    <n v="6.4199999999999993E-2"/>
    <s v="2024Q2"/>
    <x v="3"/>
    <x v="0"/>
  </r>
  <r>
    <s v="TXN-100876"/>
    <n v="46011"/>
    <x v="1"/>
    <s v="Food &amp; Beverage"/>
    <x v="3"/>
    <s v="USD"/>
    <n v="57295.95"/>
    <n v="41764.699999999997"/>
    <n v="15531.25"/>
    <n v="31755.43"/>
    <n v="5300.13"/>
    <n v="92167.52"/>
    <n v="777"/>
    <n v="-6.1600000000000002E-2"/>
    <n v="0.27110000000000001"/>
    <n v="5.7500000000000002E-2"/>
    <s v="2025Q4"/>
    <x v="0"/>
    <x v="0"/>
  </r>
  <r>
    <s v="TXN-100877"/>
    <n v="44596"/>
    <x v="1"/>
    <s v="Food &amp; Beverage"/>
    <x v="1"/>
    <s v="USD"/>
    <n v="408669.27800000005"/>
    <n v="255102.83"/>
    <n v="153566.45000000001"/>
    <n v="67493.36"/>
    <n v="16213.3"/>
    <n v="114447.63"/>
    <n v="625"/>
    <n v="-4.4900000000000002E-2"/>
    <n v="0.37580000000000002"/>
    <n v="0.14169999999999999"/>
    <s v="2022Q1"/>
    <x v="2"/>
    <x v="0"/>
  </r>
  <r>
    <s v="TXN-100878"/>
    <n v="45760"/>
    <x v="1"/>
    <s v="Food &amp; Beverage"/>
    <x v="3"/>
    <s v="USD"/>
    <n v="149661.24"/>
    <n v="113336.86"/>
    <n v="36324.379999999997"/>
    <n v="46369.42"/>
    <n v="13515.52"/>
    <n v="77133.66"/>
    <n v="1236"/>
    <n v="-6.2700000000000006E-2"/>
    <n v="0.2427"/>
    <n v="0.17519999999999999"/>
    <s v="2025Q2"/>
    <x v="0"/>
    <x v="0"/>
  </r>
  <r>
    <s v="TXN-100879"/>
    <n v="45156"/>
    <x v="2"/>
    <s v="Healthcare"/>
    <x v="1"/>
    <s v="USD"/>
    <n v="41025.842349999999"/>
    <n v="28607.95"/>
    <n v="12417.89"/>
    <n v="29209.96"/>
    <n v="49929.53"/>
    <n v="103535.93"/>
    <n v="903"/>
    <n v="-4.7699999999999999E-2"/>
    <n v="0.30270000000000002"/>
    <n v="0.48220000000000002"/>
    <s v="2023Q3"/>
    <x v="1"/>
    <x v="1"/>
  </r>
  <r>
    <s v="TXN-100880"/>
    <n v="45982"/>
    <x v="8"/>
    <s v="Logistics"/>
    <x v="2"/>
    <s v="USD"/>
    <n v="84305.05"/>
    <n v="60422.74"/>
    <n v="23882.31"/>
    <n v="81476.87"/>
    <n v="12115.21"/>
    <n v="108534.44"/>
    <n v="1475"/>
    <n v="-1.8800000000000001E-2"/>
    <n v="0.2833"/>
    <n v="0.1116"/>
    <s v="2025Q4"/>
    <x v="0"/>
    <x v="0"/>
  </r>
  <r>
    <s v="TXN-100881"/>
    <n v="45780"/>
    <x v="5"/>
    <s v="Retail"/>
    <x v="2"/>
    <s v="USD"/>
    <n v="147905.53"/>
    <n v="104710.45"/>
    <n v="43195.08"/>
    <n v="26018.87"/>
    <n v="7957.17"/>
    <n v="100685.95"/>
    <n v="991"/>
    <n v="0.13539999999999999"/>
    <n v="0.29199999999999998"/>
    <n v="7.9000000000000001E-2"/>
    <s v="2025Q2"/>
    <x v="0"/>
    <x v="0"/>
  </r>
  <r>
    <s v="TXN-100882"/>
    <n v="45976"/>
    <x v="11"/>
    <s v="Financial Services"/>
    <x v="2"/>
    <s v="USD"/>
    <n v="115213.85"/>
    <n v="97473.24"/>
    <n v="17740.61"/>
    <n v="17206.419999999998"/>
    <n v="11804.58"/>
    <n v="58853.52"/>
    <n v="896"/>
    <n v="6.8999999999999999E-3"/>
    <n v="0.154"/>
    <n v="0.2006"/>
    <s v="2025Q4"/>
    <x v="0"/>
    <x v="0"/>
  </r>
  <r>
    <s v="TXN-100883"/>
    <n v="45210"/>
    <x v="7"/>
    <s v="Manufacturing"/>
    <x v="1"/>
    <s v="USD"/>
    <n v="44277.275950000003"/>
    <n v="26757.49"/>
    <n v="17519.78"/>
    <n v="137370.62"/>
    <n v="22887.38"/>
    <n v="205100.43"/>
    <n v="787"/>
    <n v="2.1999999999999999E-2"/>
    <n v="0.3957"/>
    <n v="0.1116"/>
    <s v="2023Q4"/>
    <x v="1"/>
    <x v="0"/>
  </r>
  <r>
    <s v="TXN-100884"/>
    <n v="45310"/>
    <x v="9"/>
    <s v="Media"/>
    <x v="0"/>
    <s v="USD"/>
    <n v="235278.92"/>
    <n v="193468.94"/>
    <n v="41809.980000000003"/>
    <n v="26332.66"/>
    <n v="18035.59"/>
    <n v="116306.49"/>
    <n v="808"/>
    <n v="-4.7000000000000002E-3"/>
    <n v="0.1777"/>
    <n v="0.15509999999999999"/>
    <s v="2024Q1"/>
    <x v="3"/>
    <x v="0"/>
  </r>
  <r>
    <s v="TXN-100885"/>
    <n v="45309"/>
    <x v="3"/>
    <s v="Telecommunications"/>
    <x v="2"/>
    <s v="USD"/>
    <n v="130293.68"/>
    <n v="92322.05"/>
    <n v="37971.629999999997"/>
    <n v="23333.9"/>
    <n v="28655.439999999999"/>
    <n v="250250.62"/>
    <n v="480"/>
    <n v="0.1313"/>
    <n v="0.29139999999999999"/>
    <n v="0.1145"/>
    <s v="2024Q1"/>
    <x v="3"/>
    <x v="0"/>
  </r>
  <r>
    <s v="TXN-100886"/>
    <n v="45789"/>
    <x v="11"/>
    <s v="Financial Services"/>
    <x v="1"/>
    <s v="USD"/>
    <n v="111813.42925"/>
    <n v="72475.990000000005"/>
    <n v="39337.440000000002"/>
    <n v="68248.33"/>
    <n v="69342.17"/>
    <n v="180030.04"/>
    <n v="822"/>
    <n v="5.0999999999999997E-2"/>
    <n v="0.3518"/>
    <n v="0.38519999999999999"/>
    <s v="2025Q2"/>
    <x v="0"/>
    <x v="1"/>
  </r>
  <r>
    <s v="TXN-100887"/>
    <n v="45195"/>
    <x v="4"/>
    <s v="Energy"/>
    <x v="2"/>
    <s v="USD"/>
    <n v="45512.31"/>
    <n v="29569.86"/>
    <n v="15942.45"/>
    <n v="53777.26"/>
    <n v="35107.69"/>
    <n v="75806.789999999994"/>
    <n v="803"/>
    <n v="3.5000000000000003E-2"/>
    <n v="0.3503"/>
    <n v="0.46310000000000001"/>
    <s v="2023Q3"/>
    <x v="1"/>
    <x v="1"/>
  </r>
  <r>
    <s v="TXN-100888"/>
    <n v="45477"/>
    <x v="0"/>
    <s v="Real Estate"/>
    <x v="2"/>
    <s v="USD"/>
    <n v="65377.53"/>
    <n v="55856.959999999999"/>
    <n v="9520.57"/>
    <n v="9762.76"/>
    <n v="14067.21"/>
    <n v="48265.62"/>
    <n v="1056"/>
    <n v="0.1573"/>
    <n v="0.14560000000000001"/>
    <n v="0.29149999999999998"/>
    <s v="2024Q3"/>
    <x v="3"/>
    <x v="0"/>
  </r>
  <r>
    <s v="TXN-100889"/>
    <n v="45688"/>
    <x v="8"/>
    <s v="Logistics"/>
    <x v="1"/>
    <s v="USD"/>
    <n v="79075.451849999998"/>
    <n v="46609.21"/>
    <n v="32466.25"/>
    <n v="27332.71"/>
    <n v="18734.62"/>
    <n v="91179.42"/>
    <n v="1015"/>
    <n v="-4.2299999999999997E-2"/>
    <n v="0.41060000000000002"/>
    <n v="0.20549999999999999"/>
    <s v="2025Q1"/>
    <x v="0"/>
    <x v="0"/>
  </r>
  <r>
    <s v="TXN-100890"/>
    <n v="45361"/>
    <x v="1"/>
    <s v="Food &amp; Beverage"/>
    <x v="2"/>
    <s v="USD"/>
    <n v="99363.61"/>
    <n v="56051.39"/>
    <n v="43312.22"/>
    <n v="91724.52"/>
    <n v="117979.34"/>
    <n v="147117.01"/>
    <n v="615"/>
    <n v="-1.9800000000000002E-2"/>
    <n v="0.43590000000000001"/>
    <n v="0.80189999999999995"/>
    <s v="2024Q1"/>
    <x v="3"/>
    <x v="2"/>
  </r>
  <r>
    <s v="TXN-100891"/>
    <d v="2022-08-10T00:00:00"/>
    <x v="5"/>
    <s v="Retail"/>
    <x v="0"/>
    <s v="USD"/>
    <n v="71545.649999999994"/>
    <n v="47433.39"/>
    <n v="24112.26"/>
    <n v="45753.25"/>
    <n v="6568.11"/>
    <n v="82818.95"/>
    <n v="1165"/>
    <n v="-0.10290000000000001"/>
    <n v="0.33700000000000002"/>
    <n v="7.9299999999999995E-2"/>
    <s v="2022Q3"/>
    <x v="2"/>
    <x v="0"/>
  </r>
  <r>
    <s v="TXN-100892"/>
    <n v="45727"/>
    <x v="8"/>
    <s v="Logistics"/>
    <x v="1"/>
    <s v="USD"/>
    <n v="130130.24614999999"/>
    <n v="108399.52"/>
    <n v="21730.73"/>
    <n v="29020.52"/>
    <n v="30841.78"/>
    <n v="78836.14"/>
    <n v="1324"/>
    <n v="-8.8300000000000003E-2"/>
    <n v="0.16700000000000001"/>
    <n v="0.39119999999999999"/>
    <s v="2025Q1"/>
    <x v="0"/>
    <x v="1"/>
  </r>
  <r>
    <s v="TXN-100893"/>
    <n v="44807"/>
    <x v="7"/>
    <s v="Manufacturing"/>
    <x v="0"/>
    <s v="USD"/>
    <n v="71795.649999999994"/>
    <n v="60517.04"/>
    <n v="11278.61"/>
    <n v="12148.67"/>
    <n v="215143.03"/>
    <n v="28580.14"/>
    <n v="1226"/>
    <n v="9.7500000000000003E-2"/>
    <n v="0.15709999999999999"/>
    <n v="7.5277000000000003"/>
    <s v="2022Q3"/>
    <x v="2"/>
    <x v="2"/>
  </r>
  <r>
    <s v="TXN-100894"/>
    <n v="44845"/>
    <x v="11"/>
    <s v="Financial Services"/>
    <x v="2"/>
    <s v="USD"/>
    <n v="60549.29"/>
    <n v="49649.74"/>
    <n v="10899.55"/>
    <n v="44842.05"/>
    <n v="35384.01"/>
    <n v="119641.17"/>
    <n v="674"/>
    <n v="3.61E-2"/>
    <n v="0.18"/>
    <n v="0.29580000000000001"/>
    <s v="2022Q4"/>
    <x v="2"/>
    <x v="0"/>
  </r>
  <r>
    <s v="TXN-100895"/>
    <d v="2023-11-28T00:00:00"/>
    <x v="5"/>
    <s v="Retail"/>
    <x v="0"/>
    <s v="USD"/>
    <n v="309240.18"/>
    <n v="281399.58"/>
    <n v="27840.6"/>
    <n v="34205.64"/>
    <n v="29288.39"/>
    <n v="71315.710000000006"/>
    <n v="874"/>
    <n v="9.4600000000000004E-2"/>
    <n v="0.09"/>
    <n v="0.41070000000000001"/>
    <s v="2023Q4"/>
    <x v="1"/>
    <x v="1"/>
  </r>
  <r>
    <s v="TXN-100896"/>
    <n v="45438"/>
    <x v="8"/>
    <s v="Logistics"/>
    <x v="1"/>
    <s v="USD"/>
    <n v="68085.306750000003"/>
    <n v="46679.46"/>
    <n v="21405.84"/>
    <n v="17380.849999999999"/>
    <n v="143501.69"/>
    <n v="132605.68"/>
    <n v="484"/>
    <n v="9.9599999999999994E-2"/>
    <n v="0.31440000000000001"/>
    <n v="1.0822000000000001"/>
    <s v="2024Q2"/>
    <x v="3"/>
    <x v="2"/>
  </r>
  <r>
    <s v="TXN-100897"/>
    <n v="44857"/>
    <x v="0"/>
    <s v="Real Estate"/>
    <x v="3"/>
    <s v="USD"/>
    <n v="46286.080000000002"/>
    <n v="37654.17"/>
    <n v="8631.91"/>
    <n v="51465.42"/>
    <n v="10158.299999999999"/>
    <n v="126222.04"/>
    <n v="887"/>
    <n v="-0.1191"/>
    <n v="0.1865"/>
    <n v="8.0500000000000002E-2"/>
    <s v="2022Q4"/>
    <x v="2"/>
    <x v="0"/>
  </r>
  <r>
    <s v="TXN-100898"/>
    <n v="44905"/>
    <x v="3"/>
    <s v="Telecommunications"/>
    <x v="1"/>
    <s v="USD"/>
    <n v="21335.540700000001"/>
    <n v="16200.67"/>
    <n v="5134.87"/>
    <n v="107128.11"/>
    <n v="48877"/>
    <n v="167115.35"/>
    <n v="962"/>
    <n v="-1.9900000000000001E-2"/>
    <n v="0.2407"/>
    <n v="0.29249999999999998"/>
    <s v="2022Q4"/>
    <x v="2"/>
    <x v="0"/>
  </r>
  <r>
    <s v="TXN-100899"/>
    <n v="44624"/>
    <x v="7"/>
    <s v="Manufacturing"/>
    <x v="0"/>
    <s v="USD"/>
    <n v="28409.18"/>
    <n v="17731.009999999998"/>
    <n v="10678.17"/>
    <n v="39652.019999999997"/>
    <n v="50284.74"/>
    <n v="137882.48000000001"/>
    <s v="null"/>
    <n v="4.3799999999999999E-2"/>
    <n v="0.37590000000000001"/>
    <n v="0.36470000000000002"/>
    <s v="2022Q1"/>
    <x v="2"/>
    <x v="1"/>
  </r>
  <r>
    <s v="TXN-100900"/>
    <n v="44638"/>
    <x v="7"/>
    <s v="Manufacturing"/>
    <x v="0"/>
    <s v="USD"/>
    <n v="51399.07"/>
    <n v="37275.67"/>
    <n v="14123.4"/>
    <n v="96344.01"/>
    <n v="47343.42"/>
    <n v="150014.99"/>
    <n v="1018"/>
    <n v="2.8999999999999998E-3"/>
    <n v="0.27479999999999999"/>
    <n v="0.31559999999999999"/>
    <s v="2022Q1"/>
    <x v="2"/>
    <x v="1"/>
  </r>
  <r>
    <s v="TXN-100901"/>
    <n v="45391"/>
    <x v="9"/>
    <s v="Media"/>
    <x v="2"/>
    <s v="USD"/>
    <n v="38180.04"/>
    <n v="34256.400000000001"/>
    <n v="3923.64"/>
    <n v="152591.82999999999"/>
    <n v="21573.89"/>
    <n v="198239.46"/>
    <n v="872"/>
    <n v="-2.3599999999999999E-2"/>
    <n v="0.1028"/>
    <n v="0.10879999999999999"/>
    <s v="2024Q2"/>
    <x v="3"/>
    <x v="0"/>
  </r>
  <r>
    <s v="TXN-100902"/>
    <n v="45426"/>
    <x v="1"/>
    <s v="Food &amp; Beverage"/>
    <x v="3"/>
    <s v="USD"/>
    <n v="111323.1"/>
    <n v="65010.98"/>
    <n v="46312.12"/>
    <n v="165691.23000000001"/>
    <n v="15986.1"/>
    <n v="212555.67"/>
    <n v="2210"/>
    <n v="-1.3100000000000001E-2"/>
    <n v="0.41599999999999998"/>
    <n v="7.5200000000000003E-2"/>
    <s v="2024Q2"/>
    <x v="3"/>
    <x v="0"/>
  </r>
  <r>
    <s v="TXN-100903"/>
    <n v="45151"/>
    <x v="0"/>
    <s v="Real Estate"/>
    <x v="0"/>
    <s v="USD"/>
    <n v="38161.82"/>
    <n v="25661.09"/>
    <n v="12500.73"/>
    <n v="18059.61"/>
    <n v="28849.93"/>
    <n v="34080"/>
    <n v="1170"/>
    <n v="-0.2029"/>
    <n v="0.3276"/>
    <n v="0.84650000000000003"/>
    <s v="2023Q3"/>
    <x v="1"/>
    <x v="2"/>
  </r>
  <r>
    <s v="TXN-100904"/>
    <n v="45355"/>
    <x v="7"/>
    <s v="Manufacturing"/>
    <x v="1"/>
    <s v="USD"/>
    <n v="53587.774750000004"/>
    <n v="36402.46"/>
    <n v="17185.32"/>
    <n v="26299.23"/>
    <n v="61300.95"/>
    <n v="152181.16"/>
    <n v="533"/>
    <n v="6.4399999999999999E-2"/>
    <n v="0.32069999999999999"/>
    <n v="0.40279999999999999"/>
    <s v="2024Q1"/>
    <x v="3"/>
    <x v="1"/>
  </r>
  <r>
    <s v="TXN-100905"/>
    <n v="45651"/>
    <x v="8"/>
    <s v="Logistics"/>
    <x v="1"/>
    <s v="USD"/>
    <n v="126122.01334999999"/>
    <n v="77653.53"/>
    <n v="48468.480000000003"/>
    <n v="107628.92"/>
    <n v="13314.17"/>
    <n v="134256.92000000001"/>
    <n v="1557"/>
    <n v="2.8799999999999999E-2"/>
    <n v="0.38429999999999997"/>
    <n v="9.9199999999999997E-2"/>
    <s v="2024Q4"/>
    <x v="3"/>
    <x v="0"/>
  </r>
  <r>
    <s v="TXN-100906"/>
    <n v="44760"/>
    <x v="0"/>
    <s v="Real Estate"/>
    <x v="0"/>
    <s v="USD"/>
    <n v="70167.66"/>
    <n v="60145.31"/>
    <n v="10022.35"/>
    <n v="12663.3"/>
    <n v="30130"/>
    <n v="98178.04"/>
    <n v="1520"/>
    <n v="-0.11409999999999999"/>
    <n v="0.14280000000000001"/>
    <n v="0.30690000000000001"/>
    <s v="2022Q3"/>
    <x v="2"/>
    <x v="1"/>
  </r>
  <r>
    <s v="TXN-100907"/>
    <n v="45474"/>
    <x v="3"/>
    <s v="Telecommunications"/>
    <x v="1"/>
    <s v="USD"/>
    <n v="93313.423800000004"/>
    <n v="62536.38"/>
    <n v="30777.040000000001"/>
    <n v="79013.16"/>
    <n v="26090.77"/>
    <n v="263695.37"/>
    <n v="773"/>
    <n v="-0.14069999999999999"/>
    <n v="0.32979999999999998"/>
    <n v="9.8900000000000002E-2"/>
    <s v="2024Q3"/>
    <x v="3"/>
    <x v="0"/>
  </r>
  <r>
    <s v="TXN-100908"/>
    <n v="44575"/>
    <x v="10"/>
    <s v="Technology"/>
    <x v="2"/>
    <s v="USD"/>
    <n v="30605"/>
    <n v="21063.81"/>
    <n v="9541.19"/>
    <n v="23389.09"/>
    <n v="12091.78"/>
    <n v="64056.18"/>
    <n v="709"/>
    <n v="0.1905"/>
    <n v="0.31180000000000002"/>
    <n v="0.1888"/>
    <s v="2022Q1"/>
    <x v="2"/>
    <x v="0"/>
  </r>
  <r>
    <s v="TXN-100909"/>
    <n v="45668"/>
    <x v="9"/>
    <s v="Media"/>
    <x v="3"/>
    <s v="USD"/>
    <n v="120855.52"/>
    <n v="106092.7"/>
    <n v="14762.82"/>
    <n v="56852.3"/>
    <n v="34337.74"/>
    <n v="124526.79"/>
    <n v="914"/>
    <n v="-0.1469"/>
    <n v="0.1222"/>
    <n v="0.2757"/>
    <s v="2025Q1"/>
    <x v="0"/>
    <x v="0"/>
  </r>
  <r>
    <s v="TXN-100910"/>
    <n v="45129"/>
    <x v="6"/>
    <s v="Travel"/>
    <x v="1"/>
    <s v="USD"/>
    <n v="65872.204949999999"/>
    <n v="42571.78"/>
    <n v="23300.43"/>
    <n v="31799.119999999999"/>
    <n v="17749.55"/>
    <n v="129159.27"/>
    <n v="1619"/>
    <n v="9.7799999999999998E-2"/>
    <n v="0.35370000000000001"/>
    <n v="0.13739999999999999"/>
    <s v="2023Q3"/>
    <x v="1"/>
    <x v="0"/>
  </r>
  <r>
    <s v="TXN-100911"/>
    <n v="45484"/>
    <x v="9"/>
    <s v="Media"/>
    <x v="1"/>
    <s v="USD"/>
    <n v="36998.671249999999"/>
    <n v="32582.880000000001"/>
    <n v="4415.8"/>
    <n v="92767.05"/>
    <n v="46894.27"/>
    <n v="111268.89"/>
    <n v="755"/>
    <n v="-2.76E-2"/>
    <n v="0.11940000000000001"/>
    <n v="0.4214"/>
    <s v="2024Q3"/>
    <x v="3"/>
    <x v="1"/>
  </r>
  <r>
    <s v="TXN-100912"/>
    <n v="45116"/>
    <x v="7"/>
    <s v="Manufacturing"/>
    <x v="0"/>
    <s v="USD"/>
    <n v="30718.02"/>
    <n v="16905.63"/>
    <n v="13812.39"/>
    <n v="49821.84"/>
    <n v="23395.09"/>
    <n v="215885.43"/>
    <n v="824"/>
    <n v="7.3700000000000002E-2"/>
    <n v="0.44969999999999999"/>
    <n v="0.1084"/>
    <s v="2023Q3"/>
    <x v="1"/>
    <x v="0"/>
  </r>
  <r>
    <s v="TXN-100913"/>
    <n v="45963"/>
    <x v="11"/>
    <s v="Financial Services"/>
    <x v="2"/>
    <s v="USD"/>
    <n v="193309.51"/>
    <n v="143997.12"/>
    <n v="49312.39"/>
    <n v="26923.7"/>
    <n v="10925.53"/>
    <n v="58486.73"/>
    <n v="934"/>
    <n v="-2.69E-2"/>
    <n v="0.25509999999999999"/>
    <n v="0.18679999999999999"/>
    <s v="2025Q4"/>
    <x v="0"/>
    <x v="0"/>
  </r>
  <r>
    <s v="TXN-100914"/>
    <n v="45758"/>
    <x v="11"/>
    <s v="Financial Services"/>
    <x v="0"/>
    <s v="USD"/>
    <n v="171890.43"/>
    <n v="142376.38"/>
    <n v="29514.05"/>
    <n v="71775.179999999993"/>
    <n v="58727.22"/>
    <n v="132048.41"/>
    <n v="474"/>
    <n v="8.3299999999999999E-2"/>
    <n v="0.17169999999999999"/>
    <n v="0.44469999999999998"/>
    <s v="2025Q2"/>
    <x v="0"/>
    <x v="1"/>
  </r>
  <r>
    <s v="TXN-100915"/>
    <n v="45304"/>
    <x v="10"/>
    <s v="Technology"/>
    <x v="2"/>
    <s v="USD"/>
    <n v="61344.36"/>
    <n v="35029.53"/>
    <n v="26314.83"/>
    <n v="12421.12"/>
    <n v="28224.07"/>
    <n v="88774.92"/>
    <n v="2181"/>
    <n v="6.4100000000000004E-2"/>
    <n v="0.42899999999999999"/>
    <n v="0.31790000000000002"/>
    <s v="2024Q1"/>
    <x v="3"/>
    <x v="1"/>
  </r>
  <r>
    <s v="TXN-100916"/>
    <n v="45535"/>
    <x v="10"/>
    <s v="Technology"/>
    <x v="0"/>
    <s v="USD"/>
    <n v="49207.57"/>
    <n v="29027.87"/>
    <n v="20179.7"/>
    <n v="36874.639999999999"/>
    <n v="9238.67"/>
    <n v="170517.29"/>
    <n v="824"/>
    <n v="-0.15279999999999999"/>
    <n v="0.41010000000000002"/>
    <n v="5.4199999999999998E-2"/>
    <s v="2024Q3"/>
    <x v="3"/>
    <x v="0"/>
  </r>
  <r>
    <s v="TXN-100917"/>
    <n v="45682"/>
    <x v="6"/>
    <s v="Travel"/>
    <x v="0"/>
    <s v="USD"/>
    <n v="26312.14"/>
    <n v="17417.560000000001"/>
    <n v="8894.58"/>
    <n v="22178.83"/>
    <n v="32626.02"/>
    <n v="38553.5"/>
    <n v="799"/>
    <n v="0.19500000000000001"/>
    <n v="0.33800000000000002"/>
    <n v="0.84630000000000005"/>
    <s v="2025Q1"/>
    <x v="0"/>
    <x v="2"/>
  </r>
  <r>
    <s v="TXN-100918"/>
    <n v="45255"/>
    <x v="0"/>
    <s v="Real Estate"/>
    <x v="2"/>
    <s v="USD"/>
    <n v="18400.25"/>
    <n v="13807.37"/>
    <n v="4592.88"/>
    <n v="27900.23"/>
    <n v="64702.66"/>
    <n v="204412.82"/>
    <n v="2588"/>
    <n v="-0.1081"/>
    <n v="0.24959999999999999"/>
    <n v="0.3165"/>
    <s v="2023Q4"/>
    <x v="1"/>
    <x v="1"/>
  </r>
  <r>
    <s v="TXN-100919"/>
    <n v="44639"/>
    <x v="0"/>
    <s v="Real Estate"/>
    <x v="2"/>
    <s v="USD"/>
    <n v="123575.73"/>
    <n v="102122.14"/>
    <n v="21453.59"/>
    <n v="14365.93"/>
    <n v="63816.92"/>
    <n v="182517.41"/>
    <n v="983"/>
    <n v="-5.8999999999999999E-3"/>
    <n v="0.1736"/>
    <n v="0.34960000000000002"/>
    <s v="2022Q1"/>
    <x v="2"/>
    <x v="1"/>
  </r>
  <r>
    <s v="TXN-100920"/>
    <n v="45613"/>
    <x v="11"/>
    <s v="Financial Services"/>
    <x v="0"/>
    <s v="USD"/>
    <n v="30052.01"/>
    <n v="17724.61"/>
    <n v="12327.4"/>
    <n v="26670.84"/>
    <n v="11823.66"/>
    <n v="79641.570000000007"/>
    <n v="2567"/>
    <n v="-8.9999999999999993E-3"/>
    <n v="0.41020000000000001"/>
    <n v="0.14849999999999999"/>
    <s v="2024Q4"/>
    <x v="3"/>
    <x v="0"/>
  </r>
  <r>
    <s v="TXN-100921"/>
    <n v="45001"/>
    <x v="11"/>
    <s v="Financial Services"/>
    <x v="0"/>
    <s v="USD"/>
    <n v="64996.49"/>
    <n v="42673.58"/>
    <n v="22322.91"/>
    <n v="24668.61"/>
    <n v="16202.43"/>
    <n v="76515.69"/>
    <n v="956"/>
    <n v="2.0899999999999998E-2"/>
    <n v="0.34339999999999998"/>
    <n v="0.21179999999999999"/>
    <s v="2023Q1"/>
    <x v="1"/>
    <x v="0"/>
  </r>
  <r>
    <s v="TXN-100922"/>
    <n v="44614"/>
    <x v="1"/>
    <s v="Food &amp; Beverage"/>
    <x v="3"/>
    <s v="USD"/>
    <n v="67926.69"/>
    <n v="57354.94"/>
    <n v="10571.75"/>
    <n v="31599.72"/>
    <n v="8491.99"/>
    <n v="74600.81"/>
    <n v="1032"/>
    <n v="-5.5999999999999999E-3"/>
    <n v="0.15559999999999999"/>
    <n v="0.1138"/>
    <s v="2022Q1"/>
    <x v="2"/>
    <x v="0"/>
  </r>
  <r>
    <s v="TXN-100923"/>
    <n v="45121"/>
    <x v="9"/>
    <s v="Media"/>
    <x v="1"/>
    <s v="USD"/>
    <n v="59548.530249999996"/>
    <n v="47611.44"/>
    <n v="11937.09"/>
    <n v="38185.43"/>
    <n v="11592.22"/>
    <n v="51984.160000000003"/>
    <n v="854"/>
    <n v="8.9800000000000005E-2"/>
    <n v="0.20050000000000001"/>
    <n v="0.223"/>
    <s v="2023Q3"/>
    <x v="1"/>
    <x v="0"/>
  </r>
  <r>
    <s v="TXN-100924"/>
    <n v="44759"/>
    <x v="2"/>
    <s v="Healthcare"/>
    <x v="2"/>
    <s v="USD"/>
    <n v="147817.51999999999"/>
    <n v="110950.48"/>
    <n v="36867.040000000001"/>
    <n v="28029.24"/>
    <n v="20954.38"/>
    <n v="282833.83"/>
    <n v="400"/>
    <n v="-0.14130000000000001"/>
    <n v="0.24940000000000001"/>
    <n v="7.4099999999999999E-2"/>
    <s v="2022Q3"/>
    <x v="2"/>
    <x v="0"/>
  </r>
  <r>
    <s v="TXN-100925"/>
    <n v="44696"/>
    <x v="0"/>
    <s v="Real Estate"/>
    <x v="1"/>
    <s v="USD"/>
    <n v="68182.90655"/>
    <n v="41222.28"/>
    <n v="26960.63"/>
    <n v="63182.5"/>
    <n v="10983.47"/>
    <n v="117177.89"/>
    <n v="904"/>
    <n v="-2.12E-2"/>
    <n v="0.39539999999999997"/>
    <n v="9.3700000000000006E-2"/>
    <s v="2022Q2"/>
    <x v="2"/>
    <x v="0"/>
  </r>
  <r>
    <s v="TXN-100926"/>
    <n v="45377"/>
    <x v="8"/>
    <s v="Logistics"/>
    <x v="0"/>
    <s v="USD"/>
    <n v="215070.61"/>
    <n v="196735.52"/>
    <n v="18335.09"/>
    <n v="27273.14"/>
    <n v="10501.46"/>
    <n v="133983.74"/>
    <n v="1236"/>
    <n v="0.12790000000000001"/>
    <n v="8.5300000000000001E-2"/>
    <n v="7.8399999999999997E-2"/>
    <s v="2024Q1"/>
    <x v="3"/>
    <x v="0"/>
  </r>
  <r>
    <s v="TXN-100927"/>
    <n v="45947"/>
    <x v="11"/>
    <s v="Financial Services"/>
    <x v="2"/>
    <s v="USD"/>
    <n v="101941.73"/>
    <n v="83334.649999999994"/>
    <n v="18607.080000000002"/>
    <n v="31063.52"/>
    <n v="77678.89"/>
    <n v="143406.71"/>
    <n v="1297"/>
    <n v="-0.24690000000000001"/>
    <n v="0.1825"/>
    <n v="0.54169999999999996"/>
    <s v="2025Q4"/>
    <x v="0"/>
    <x v="1"/>
  </r>
  <r>
    <s v="TXN-100928"/>
    <n v="44633"/>
    <x v="5"/>
    <s v="Retail"/>
    <x v="2"/>
    <s v="USD"/>
    <n v="31995.200000000001"/>
    <n v="25947.82"/>
    <n v="6047.38"/>
    <n v="33062.03"/>
    <n v="11820.9"/>
    <n v="61619.6"/>
    <n v="1119"/>
    <n v="-1.5599999999999999E-2"/>
    <n v="0.189"/>
    <n v="0.1918"/>
    <s v="2022Q1"/>
    <x v="2"/>
    <x v="0"/>
  </r>
  <r>
    <s v="TXN-100929"/>
    <n v="44563"/>
    <x v="11"/>
    <s v="Financial Services"/>
    <x v="2"/>
    <s v="USD"/>
    <n v="135385.66"/>
    <n v="84167.02"/>
    <n v="51218.64"/>
    <n v="52695.56"/>
    <n v="28929.95"/>
    <n v="69202.429999999993"/>
    <n v="1323"/>
    <n v="-2.0400000000000001E-2"/>
    <n v="0.37830000000000003"/>
    <n v="0.41799999999999998"/>
    <s v="2022Q1"/>
    <x v="2"/>
    <x v="1"/>
  </r>
  <r>
    <s v="TXN-100930"/>
    <n v="45005"/>
    <x v="6"/>
    <s v="Travel"/>
    <x v="1"/>
    <s v="USD"/>
    <n v="213404.65344999998"/>
    <n v="143640.32000000001"/>
    <n v="69764.33"/>
    <n v="50657.03"/>
    <n v="20176.46"/>
    <n v="173492.58"/>
    <n v="465"/>
    <n v="2.76E-2"/>
    <n v="0.32690000000000002"/>
    <n v="0.1163"/>
    <s v="2023Q1"/>
    <x v="1"/>
    <x v="0"/>
  </r>
  <r>
    <s v="TXN-100931"/>
    <n v="45220"/>
    <x v="3"/>
    <s v="Telecommunications"/>
    <x v="2"/>
    <s v="USD"/>
    <n v="97365.78"/>
    <n v="89006.06"/>
    <n v="8359.7199999999993"/>
    <n v="22818.39"/>
    <n v="45630.73"/>
    <n v="76427.8"/>
    <n v="910"/>
    <n v="-3.0999999999999999E-3"/>
    <n v="8.5900000000000004E-2"/>
    <n v="0.59699999999999998"/>
    <s v="2023Q4"/>
    <x v="1"/>
    <x v="1"/>
  </r>
  <r>
    <s v="TXN-100932"/>
    <n v="45320"/>
    <x v="10"/>
    <s v="Technology"/>
    <x v="2"/>
    <s v="USD"/>
    <n v="85969.18"/>
    <n v="68916.38"/>
    <n v="17052.8"/>
    <n v="22044.6"/>
    <n v="38117.82"/>
    <n v="89881.66"/>
    <n v="305"/>
    <n v="-4.0899999999999999E-2"/>
    <n v="0.19839999999999999"/>
    <n v="0.42409999999999998"/>
    <s v="2024Q1"/>
    <x v="3"/>
    <x v="1"/>
  </r>
  <r>
    <s v="TXN-100933"/>
    <n v="45167"/>
    <x v="7"/>
    <s v="Manufacturing"/>
    <x v="1"/>
    <s v="USD"/>
    <n v="39461.646399999998"/>
    <n v="36001.910000000003"/>
    <n v="3459.73"/>
    <n v="9403.32"/>
    <n v="197603.58"/>
    <n v="61305.3"/>
    <n v="733"/>
    <n v="8.9700000000000002E-2"/>
    <n v="8.77E-2"/>
    <n v="3.2233000000000001"/>
    <s v="2023Q3"/>
    <x v="1"/>
    <x v="2"/>
  </r>
  <r>
    <s v="TXN-100934"/>
    <n v="45131"/>
    <x v="3"/>
    <s v="Telecommunications"/>
    <x v="1"/>
    <s v="USD"/>
    <n v="128914.09585"/>
    <n v="110441.23"/>
    <n v="18472.87"/>
    <n v="32813.9"/>
    <n v="15128.22"/>
    <n v="93629"/>
    <n v="568"/>
    <n v="3.5400000000000001E-2"/>
    <n v="0.14330000000000001"/>
    <n v="0.16159999999999999"/>
    <s v="2023Q3"/>
    <x v="1"/>
    <x v="0"/>
  </r>
  <r>
    <s v="TXN-100935"/>
    <n v="45852"/>
    <x v="6"/>
    <s v="Travel"/>
    <x v="0"/>
    <s v="USD"/>
    <n v="153455.03"/>
    <n v="111883.21"/>
    <n v="41571.82"/>
    <n v="14383.51"/>
    <n v="19149.87"/>
    <n v="68623.91"/>
    <n v="819"/>
    <n v="2.3099999999999999E-2"/>
    <n v="0.27089999999999997"/>
    <n v="0.27910000000000001"/>
    <s v="2025Q3"/>
    <x v="0"/>
    <x v="0"/>
  </r>
  <r>
    <s v="TXN-100936"/>
    <n v="44878"/>
    <x v="10"/>
    <s v="Technology"/>
    <x v="2"/>
    <s v="USD"/>
    <n v="99141.04"/>
    <n v="63173.09"/>
    <n v="35967.949999999997"/>
    <n v="39342.730000000003"/>
    <n v="21624.77"/>
    <n v="132195.09"/>
    <n v="1018"/>
    <n v="0.1474"/>
    <n v="0.36280000000000001"/>
    <n v="0.1636"/>
    <s v="2022Q4"/>
    <x v="2"/>
    <x v="0"/>
  </r>
  <r>
    <s v="TXN-100937"/>
    <n v="45830"/>
    <x v="8"/>
    <s v="Logistics"/>
    <x v="1"/>
    <s v="USD"/>
    <n v="46391.804700000001"/>
    <n v="35005"/>
    <n v="11386.81"/>
    <n v="57427.58"/>
    <n v="20744.64"/>
    <n v="79987.11"/>
    <n v="877"/>
    <n v="-0.1086"/>
    <n v="0.24540000000000001"/>
    <n v="0.25929999999999997"/>
    <s v="2025Q2"/>
    <x v="0"/>
    <x v="0"/>
  </r>
  <r>
    <s v="TXN-100938"/>
    <n v="45389"/>
    <x v="1"/>
    <s v="Food &amp; Beverage"/>
    <x v="2"/>
    <s v="USD"/>
    <n v="42721.71"/>
    <n v="34466.9"/>
    <n v="8254.81"/>
    <n v="36776.93"/>
    <n v="39097.03"/>
    <n v="76583.12"/>
    <n v="715"/>
    <n v="-0.104"/>
    <n v="0.19320000000000001"/>
    <n v="0.51049999999999995"/>
    <s v="2024Q2"/>
    <x v="3"/>
    <x v="1"/>
  </r>
  <r>
    <s v="TXN-100939"/>
    <n v="45871"/>
    <x v="4"/>
    <s v="Energy"/>
    <x v="2"/>
    <s v="USD"/>
    <n v="82319.55"/>
    <n v="49602.7"/>
    <n v="32716.85"/>
    <n v="15911.97"/>
    <n v="41943.21"/>
    <n v="89812.7"/>
    <n v="714"/>
    <n v="-0.1996"/>
    <n v="0.39739999999999998"/>
    <n v="0.46700000000000003"/>
    <s v="2025Q3"/>
    <x v="0"/>
    <x v="1"/>
  </r>
  <r>
    <s v="TXN-100940"/>
    <n v="44848"/>
    <x v="7"/>
    <s v="Manufacturing"/>
    <x v="2"/>
    <s v="USD"/>
    <n v="417621.49"/>
    <n v="336191.56"/>
    <n v="81429.929999999993"/>
    <n v="24414.28"/>
    <n v="14726.99"/>
    <n v="79398.740000000005"/>
    <n v="703"/>
    <n v="0.1048"/>
    <n v="0.19500000000000001"/>
    <n v="0.1855"/>
    <s v="2022Q4"/>
    <x v="2"/>
    <x v="0"/>
  </r>
  <r>
    <s v="TXN-100941"/>
    <n v="45336"/>
    <x v="10"/>
    <s v="Technology"/>
    <x v="2"/>
    <s v="USD"/>
    <n v="53852.77"/>
    <n v="41605.199999999997"/>
    <n v="12247.57"/>
    <n v="72029.55"/>
    <n v="7338.98"/>
    <n v="228290.07"/>
    <n v="900"/>
    <n v="7.9100000000000004E-2"/>
    <n v="0.22739999999999999"/>
    <n v="3.2099999999999997E-2"/>
    <s v="2024Q1"/>
    <x v="3"/>
    <x v="0"/>
  </r>
  <r>
    <s v="TXN-100942"/>
    <n v="45120"/>
    <x v="3"/>
    <s v="Telecommunications"/>
    <x v="3"/>
    <s v="USD"/>
    <n v="52631.5"/>
    <n v="33679.46"/>
    <n v="18952.04"/>
    <n v="36512.269999999997"/>
    <n v="37295.96"/>
    <n v="155586.56"/>
    <n v="377"/>
    <n v="-5.1700000000000003E-2"/>
    <n v="0.36009999999999998"/>
    <n v="0.2397"/>
    <s v="2023Q3"/>
    <x v="1"/>
    <x v="0"/>
  </r>
  <r>
    <s v="TXN-100943"/>
    <n v="45414"/>
    <x v="2"/>
    <s v="Healthcare"/>
    <x v="0"/>
    <s v="USD"/>
    <n v="285929.88"/>
    <n v="214957.58"/>
    <n v="70972.3"/>
    <n v="49916.77"/>
    <n v="157184.44"/>
    <n v="113476.62"/>
    <n v="159"/>
    <n v="0.1028"/>
    <n v="0.2482"/>
    <n v="1.3852"/>
    <s v="2024Q2"/>
    <x v="3"/>
    <x v="2"/>
  </r>
  <r>
    <s v="TXN-100944"/>
    <n v="45258"/>
    <x v="5"/>
    <s v="Retail"/>
    <x v="3"/>
    <s v="USD"/>
    <n v="56444.36"/>
    <n v="51364.46"/>
    <n v="5079.8999999999996"/>
    <n v="24037.01"/>
    <n v="18425.72"/>
    <n v="59156.79"/>
    <n v="1955"/>
    <n v="0.1167"/>
    <n v="0.09"/>
    <n v="0.3115"/>
    <s v="2023Q4"/>
    <x v="1"/>
    <x v="1"/>
  </r>
  <r>
    <s v="TXN-100945"/>
    <n v="45182"/>
    <x v="9"/>
    <s v="Media"/>
    <x v="0"/>
    <s v="USD"/>
    <n v="64243.41"/>
    <n v="39934.410000000003"/>
    <n v="24309"/>
    <n v="24553.29"/>
    <n v="4952.22"/>
    <n v="148652.44"/>
    <n v="1084"/>
    <n v="-6.5500000000000003E-2"/>
    <n v="0.37840000000000001"/>
    <n v="3.3300000000000003E-2"/>
    <s v="2023Q3"/>
    <x v="1"/>
    <x v="0"/>
  </r>
  <r>
    <s v="TXN-100946"/>
    <n v="45111"/>
    <x v="10"/>
    <s v="Technology"/>
    <x v="2"/>
    <s v="USD"/>
    <n v="217373.09"/>
    <n v="136064.79999999999"/>
    <n v="81308.289999999994"/>
    <n v="29834.7"/>
    <n v="12379.22"/>
    <n v="52321.66"/>
    <n v="1204"/>
    <n v="4.4900000000000002E-2"/>
    <n v="0.374"/>
    <n v="0.2366"/>
    <s v="2023Q3"/>
    <x v="1"/>
    <x v="0"/>
  </r>
  <r>
    <s v="TXN-100947"/>
    <n v="44684"/>
    <x v="4"/>
    <s v="Energy"/>
    <x v="0"/>
    <s v="USD"/>
    <n v="84873.02"/>
    <n v="61500.42"/>
    <n v="23372.6"/>
    <n v="20501.16"/>
    <n v="22086.97"/>
    <n v="124418.29"/>
    <n v="900"/>
    <n v="-0.12859999999999999"/>
    <n v="0.27539999999999998"/>
    <n v="0.17749999999999999"/>
    <s v="2022Q2"/>
    <x v="2"/>
    <x v="0"/>
  </r>
  <r>
    <s v="TXN-100948"/>
    <n v="45195"/>
    <x v="6"/>
    <s v="Travel"/>
    <x v="2"/>
    <s v="USD"/>
    <n v="107001.69"/>
    <n v="97366.93"/>
    <n v="9634.76"/>
    <n v="44417.87"/>
    <n v="55896.76"/>
    <n v="72976.53"/>
    <n v="1857"/>
    <n v="-6.2399999999999997E-2"/>
    <n v="0.09"/>
    <n v="0.76600000000000001"/>
    <s v="2023Q3"/>
    <x v="1"/>
    <x v="2"/>
  </r>
  <r>
    <s v="TXN-100949"/>
    <n v="45731"/>
    <x v="9"/>
    <s v="Media"/>
    <x v="2"/>
    <s v="USD"/>
    <n v="26478.49"/>
    <n v="23189.93"/>
    <n v="3288.56"/>
    <n v="54588.17"/>
    <n v="10257.459999999999"/>
    <n v="83078.009999999995"/>
    <n v="659"/>
    <n v="-2.3300000000000001E-2"/>
    <n v="0.1242"/>
    <n v="0.1235"/>
    <s v="2025Q1"/>
    <x v="0"/>
    <x v="0"/>
  </r>
  <r>
    <s v="TXN-100950"/>
    <n v="45210"/>
    <x v="10"/>
    <s v="Technology"/>
    <x v="2"/>
    <s v="USD"/>
    <n v="32989.040000000001"/>
    <n v="18394.099999999999"/>
    <n v="14594.94"/>
    <n v="6275.54"/>
    <n v="27233.59"/>
    <n v="51819.78"/>
    <n v="1043"/>
    <n v="2.1100000000000001E-2"/>
    <n v="0.44240000000000002"/>
    <n v="0.52549999999999997"/>
    <s v="2023Q4"/>
    <x v="1"/>
    <x v="1"/>
  </r>
  <r>
    <s v="TXN-100951"/>
    <n v="45400"/>
    <x v="11"/>
    <s v="Financial Services"/>
    <x v="1"/>
    <s v="USD"/>
    <n v="79008.938800000004"/>
    <n v="61671.58"/>
    <n v="17337.36"/>
    <n v="24277.599999999999"/>
    <n v="45217.54"/>
    <n v="158380.29"/>
    <n v="824"/>
    <n v="-9.8299999999999998E-2"/>
    <n v="0.21940000000000001"/>
    <n v="0.28549999999999998"/>
    <s v="2024Q2"/>
    <x v="3"/>
    <x v="0"/>
  </r>
  <r>
    <s v="TXN-100952"/>
    <n v="44717"/>
    <x v="7"/>
    <s v="Manufacturing"/>
    <x v="2"/>
    <s v="USD"/>
    <n v="107188.4"/>
    <n v="88091.92"/>
    <n v="19096.48"/>
    <n v="32822.19"/>
    <n v="13701.32"/>
    <n v="145554.44"/>
    <n v="631"/>
    <n v="-2E-3"/>
    <n v="0.1782"/>
    <n v="9.4100000000000003E-2"/>
    <s v="2022Q2"/>
    <x v="2"/>
    <x v="0"/>
  </r>
  <r>
    <s v="TXN-100953"/>
    <d v="2022-07-05T00:00:00"/>
    <x v="5"/>
    <s v="Retail"/>
    <x v="0"/>
    <s v="USD"/>
    <n v="94460.09"/>
    <n v="70602.67"/>
    <n v="23857.42"/>
    <n v="44105.17"/>
    <n v="38177.19"/>
    <n v="202396.39"/>
    <n v="569"/>
    <n v="9.1600000000000001E-2"/>
    <n v="0.25259999999999999"/>
    <n v="0.18859999999999999"/>
    <s v="2022Q3"/>
    <x v="2"/>
    <x v="0"/>
  </r>
  <r>
    <s v="TXN-100954"/>
    <n v="45735"/>
    <x v="7"/>
    <s v="Manufacturing"/>
    <x v="1"/>
    <s v="USD"/>
    <n v="47744.507700000002"/>
    <n v="40326.49"/>
    <n v="7418.02"/>
    <n v="83311.259999999995"/>
    <n v="9127.39"/>
    <n v="96395.01"/>
    <n v="2056"/>
    <n v="1.84E-2"/>
    <n v="0.15540000000000001"/>
    <n v="9.4700000000000006E-2"/>
    <s v="2025Q1"/>
    <x v="0"/>
    <x v="0"/>
  </r>
  <r>
    <s v="TXN-100955"/>
    <n v="44738"/>
    <x v="11"/>
    <s v="Financial Services"/>
    <x v="2"/>
    <s v="USD"/>
    <n v="48444.15"/>
    <n v="38240.370000000003"/>
    <n v="10203.780000000001"/>
    <n v="8652.77"/>
    <n v="181092.93"/>
    <n v="63521.36"/>
    <n v="1900"/>
    <n v="3.3000000000000002E-2"/>
    <n v="0.21060000000000001"/>
    <n v="2.8509000000000002"/>
    <s v="2022Q2"/>
    <x v="2"/>
    <x v="2"/>
  </r>
  <r>
    <s v="TXN-100956"/>
    <n v="44588"/>
    <x v="7"/>
    <s v="Manufacturing"/>
    <x v="3"/>
    <s v="USD"/>
    <n v="64750.86"/>
    <n v="45501.87"/>
    <n v="19248.990000000002"/>
    <n v="67701.27"/>
    <n v="38825.94"/>
    <n v="247723.84"/>
    <n v="951"/>
    <n v="-3.4299999999999997E-2"/>
    <n v="0.29730000000000001"/>
    <n v="0.15670000000000001"/>
    <s v="2022Q1"/>
    <x v="2"/>
    <x v="0"/>
  </r>
  <r>
    <s v="TXN-100957"/>
    <n v="45731"/>
    <x v="3"/>
    <s v="Telecommunications"/>
    <x v="2"/>
    <s v="USD"/>
    <n v="40671.17"/>
    <n v="23942.51"/>
    <n v="16728.66"/>
    <n v="217255.67999999999"/>
    <n v="85710.39"/>
    <n v="317317.11"/>
    <n v="1021"/>
    <n v="2.41E-2"/>
    <n v="0.4113"/>
    <n v="0.27010000000000001"/>
    <s v="2025Q1"/>
    <x v="0"/>
    <x v="0"/>
  </r>
  <r>
    <s v="TXN-100958"/>
    <n v="45478"/>
    <x v="2"/>
    <s v="Healthcare"/>
    <x v="0"/>
    <s v="USD"/>
    <n v="55982.64"/>
    <n v="34089.769999999997"/>
    <n v="21892.87"/>
    <n v="55090.68"/>
    <n v="5387.45"/>
    <n v="77272.679999999993"/>
    <n v="2025"/>
    <n v="0.1331"/>
    <n v="0.3911"/>
    <n v="6.9699999999999998E-2"/>
    <s v="2024Q3"/>
    <x v="3"/>
    <x v="0"/>
  </r>
  <r>
    <s v="TXN-100959"/>
    <n v="44588"/>
    <x v="0"/>
    <s v="Real Estate"/>
    <x v="2"/>
    <s v="USD"/>
    <n v="21778.720000000001"/>
    <n v="12049.46"/>
    <n v="9729.26"/>
    <n v="57049.93"/>
    <n v="30004.19"/>
    <n v="117185.1"/>
    <n v="2941"/>
    <n v="0.1217"/>
    <n v="0.44669999999999999"/>
    <n v="0.25600000000000001"/>
    <s v="2022Q1"/>
    <x v="2"/>
    <x v="0"/>
  </r>
  <r>
    <s v="TXN-100960"/>
    <n v="45035"/>
    <x v="10"/>
    <s v="Technology"/>
    <x v="1"/>
    <s v="USD"/>
    <n v="61411.410900000003"/>
    <n v="41825.980000000003"/>
    <n v="19585.43"/>
    <n v="66370.5"/>
    <n v="34697.71"/>
    <n v="126662.96"/>
    <n v="933"/>
    <n v="8.8000000000000005E-3"/>
    <n v="0.31890000000000002"/>
    <n v="0.27389999999999998"/>
    <s v="2023Q2"/>
    <x v="1"/>
    <x v="0"/>
  </r>
  <r>
    <s v="TXN-100961"/>
    <n v="45637"/>
    <x v="9"/>
    <s v="Media"/>
    <x v="2"/>
    <s v="USD"/>
    <n v="20061.04"/>
    <n v="11590.43"/>
    <n v="8470.61"/>
    <n v="41467.440000000002"/>
    <n v="28544.03"/>
    <n v="105847.05"/>
    <n v="1063"/>
    <n v="-2.6800000000000001E-2"/>
    <n v="0.42220000000000002"/>
    <n v="0.2697"/>
    <s v="2024Q4"/>
    <x v="3"/>
    <x v="0"/>
  </r>
  <r>
    <s v="TXN-100962"/>
    <n v="45259"/>
    <x v="2"/>
    <s v="Healthcare"/>
    <x v="1"/>
    <s v="USD"/>
    <n v="124649.15405"/>
    <n v="100849.85"/>
    <n v="23799.31"/>
    <n v="28069.24"/>
    <n v="178111.37"/>
    <n v="168459.67"/>
    <n v="875"/>
    <n v="-5.6800000000000003E-2"/>
    <n v="0.19089999999999999"/>
    <n v="1.0572999999999999"/>
    <s v="2023Q4"/>
    <x v="1"/>
    <x v="2"/>
  </r>
  <r>
    <s v="TXN-100963"/>
    <n v="45266"/>
    <x v="7"/>
    <s v="Manufacturing"/>
    <x v="2"/>
    <s v="USD"/>
    <n v="64751.95"/>
    <n v="40590.879999999997"/>
    <n v="24161.07"/>
    <n v="57523.519999999997"/>
    <n v="54286.89"/>
    <n v="135467.57999999999"/>
    <n v="1159"/>
    <n v="3.8699999999999998E-2"/>
    <n v="0.37309999999999999"/>
    <n v="0.4007"/>
    <s v="2023Q4"/>
    <x v="1"/>
    <x v="1"/>
  </r>
  <r>
    <s v="TXN-100964"/>
    <n v="44598"/>
    <x v="2"/>
    <s v="Healthcare"/>
    <x v="2"/>
    <s v="USD"/>
    <n v="86012.35"/>
    <n v="76874.25"/>
    <n v="9138.1"/>
    <n v="5952.15"/>
    <n v="18569.32"/>
    <n v="32885.83"/>
    <n v="1302"/>
    <n v="-0.1031"/>
    <n v="0.1062"/>
    <n v="0.56469999999999998"/>
    <s v="2022Q1"/>
    <x v="2"/>
    <x v="1"/>
  </r>
  <r>
    <s v="TXN-100965"/>
    <n v="45073"/>
    <x v="4"/>
    <s v="Energy"/>
    <x v="3"/>
    <s v="USD"/>
    <n v="63904.73"/>
    <n v="46703.53"/>
    <n v="17201.2"/>
    <n v="35243.74"/>
    <n v="119419.37"/>
    <n v="188897.98"/>
    <n v="428"/>
    <n v="-4.9700000000000001E-2"/>
    <n v="0.26919999999999999"/>
    <n v="0.63219999999999998"/>
    <s v="2023Q2"/>
    <x v="1"/>
    <x v="2"/>
  </r>
  <r>
    <s v="TXN-100966"/>
    <n v="45933"/>
    <x v="8"/>
    <s v="Logistics"/>
    <x v="1"/>
    <s v="USD"/>
    <n v="110443.6085"/>
    <n v="90054.33"/>
    <n v="20389.28"/>
    <n v="43001.99"/>
    <n v="18575.52"/>
    <n v="143034.10999999999"/>
    <n v="719"/>
    <n v="-0.18840000000000001"/>
    <n v="0.18459999999999999"/>
    <n v="0.12989999999999999"/>
    <s v="2025Q4"/>
    <x v="0"/>
    <x v="0"/>
  </r>
  <r>
    <s v="TXN-100967"/>
    <n v="45613"/>
    <x v="9"/>
    <s v="Media"/>
    <x v="3"/>
    <s v="USD"/>
    <n v="141318.46"/>
    <n v="102315.52"/>
    <n v="39002.94"/>
    <n v="14889.71"/>
    <n v="35401.29"/>
    <n v="73465.759999999995"/>
    <n v="433"/>
    <n v="-8.4699999999999998E-2"/>
    <n v="0.27600000000000002"/>
    <n v="0.4819"/>
    <s v="2024Q4"/>
    <x v="3"/>
    <x v="1"/>
  </r>
  <r>
    <s v="TXN-100968"/>
    <n v="45336"/>
    <x v="7"/>
    <s v="Manufacturing"/>
    <x v="0"/>
    <s v="USD"/>
    <n v="380025.73"/>
    <n v="234438.95"/>
    <n v="145586.78"/>
    <n v="31003.77"/>
    <n v="6694.54"/>
    <n v="106884.39"/>
    <n v="1261"/>
    <n v="4.9299999999999997E-2"/>
    <n v="0.3831"/>
    <n v="6.2600000000000003E-2"/>
    <s v="2024Q1"/>
    <x v="3"/>
    <x v="0"/>
  </r>
  <r>
    <s v="TXN-100969"/>
    <n v="44806"/>
    <x v="7"/>
    <s v="Manufacturing"/>
    <x v="2"/>
    <s v="USD"/>
    <n v="242924.43"/>
    <n v="171600.4"/>
    <n v="71324.03"/>
    <n v="35455.47"/>
    <n v="9732.67"/>
    <n v="144473.81"/>
    <n v="842"/>
    <n v="-4.3099999999999999E-2"/>
    <n v="0.29360000000000003"/>
    <n v="6.7400000000000002E-2"/>
    <s v="2022Q3"/>
    <x v="2"/>
    <x v="0"/>
  </r>
  <r>
    <s v="TXN-100970"/>
    <n v="44588"/>
    <x v="0"/>
    <s v="Real Estate"/>
    <x v="3"/>
    <s v="USD"/>
    <n v="59249.95"/>
    <n v="37470.67"/>
    <n v="21779.279999999999"/>
    <n v="37087.47"/>
    <n v="19522.77"/>
    <n v="233591.64"/>
    <n v="1161"/>
    <n v="0.14050000000000001"/>
    <n v="0.36759999999999998"/>
    <n v="8.3599999999999994E-2"/>
    <s v="2022Q1"/>
    <x v="2"/>
    <x v="0"/>
  </r>
  <r>
    <s v="TXN-100971"/>
    <n v="45866"/>
    <x v="11"/>
    <s v="Financial Services"/>
    <x v="2"/>
    <s v="USD"/>
    <n v="62540.12"/>
    <n v="39628.959999999999"/>
    <n v="22911.16"/>
    <n v="18140.689999999999"/>
    <n v="18521.11"/>
    <n v="131002.11"/>
    <n v="773"/>
    <n v="-2.3599999999999999E-2"/>
    <n v="0.36630000000000001"/>
    <n v="0.1414"/>
    <s v="2025Q3"/>
    <x v="0"/>
    <x v="0"/>
  </r>
  <r>
    <s v="TXN-100972"/>
    <n v="45385"/>
    <x v="0"/>
    <s v="Real Estate"/>
    <x v="0"/>
    <s v="USD"/>
    <n v="71992.42"/>
    <n v="58971.65"/>
    <n v="13020.77"/>
    <n v="46977.33"/>
    <n v="10767.94"/>
    <n v="89100.97"/>
    <n v="516"/>
    <n v="-5.7000000000000002E-3"/>
    <n v="0.18090000000000001"/>
    <n v="0.12089999999999999"/>
    <s v="2024Q2"/>
    <x v="3"/>
    <x v="0"/>
  </r>
  <r>
    <s v="TXN-100973"/>
    <n v="45647"/>
    <x v="0"/>
    <s v="Real Estate"/>
    <x v="2"/>
    <s v="USD"/>
    <n v="231044.12"/>
    <n v="173072.71"/>
    <n v="57971.41"/>
    <n v="78741.66"/>
    <n v="14339.06"/>
    <n v="155566.19"/>
    <n v="407"/>
    <n v="4.3999999999999997E-2"/>
    <n v="0.25090000000000001"/>
    <n v="9.2200000000000004E-2"/>
    <s v="2024Q4"/>
    <x v="3"/>
    <x v="0"/>
  </r>
  <r>
    <s v="TXN-100974"/>
    <n v="45995"/>
    <x v="10"/>
    <s v="Technology"/>
    <x v="2"/>
    <s v="USD"/>
    <n v="45895.56"/>
    <n v="41377.919999999998"/>
    <n v="4517.6400000000003"/>
    <n v="13637.63"/>
    <n v="6046.46"/>
    <n v="149345.70000000001"/>
    <n v="843"/>
    <n v="3.7600000000000001E-2"/>
    <n v="9.8400000000000001E-2"/>
    <n v="4.0500000000000001E-2"/>
    <s v="2025Q4"/>
    <x v="0"/>
    <x v="0"/>
  </r>
  <r>
    <s v="TXN-100975"/>
    <n v="45659"/>
    <x v="7"/>
    <s v="Manufacturing"/>
    <x v="1"/>
    <s v="USD"/>
    <n v="131271.34170000002"/>
    <n v="80239.62"/>
    <n v="51031.72"/>
    <n v="27320.23"/>
    <n v="35685.050000000003"/>
    <n v="280079.78999999998"/>
    <n v="914"/>
    <n v="3.7100000000000001E-2"/>
    <n v="0.38869999999999999"/>
    <n v="0.12740000000000001"/>
    <s v="2025Q1"/>
    <x v="0"/>
    <x v="0"/>
  </r>
  <r>
    <s v="TXN-100976"/>
    <n v="45992"/>
    <x v="1"/>
    <s v="Food &amp; Beverage"/>
    <x v="0"/>
    <s v="USD"/>
    <n v="26032.959999999999"/>
    <n v="16340.24"/>
    <n v="9692.7199999999993"/>
    <n v="81245.009999999995"/>
    <n v="25322.87"/>
    <n v="270938.23999999999"/>
    <n v="667"/>
    <n v="-3.4599999999999999E-2"/>
    <n v="0.37230000000000002"/>
    <n v="9.35E-2"/>
    <s v="2025Q4"/>
    <x v="0"/>
    <x v="0"/>
  </r>
  <r>
    <s v="TXN-100977"/>
    <n v="44873"/>
    <x v="6"/>
    <s v="Travel"/>
    <x v="0"/>
    <s v="USD"/>
    <n v="308449.82"/>
    <n v="269753.96000000002"/>
    <n v="38695.86"/>
    <n v="12792.36"/>
    <n v="23974.15"/>
    <n v="147692.22"/>
    <n v="880"/>
    <n v="-1.09E-2"/>
    <n v="0.1255"/>
    <n v="0.1623"/>
    <s v="2022Q4"/>
    <x v="2"/>
    <x v="0"/>
  </r>
  <r>
    <s v="TXN-100978"/>
    <n v="45025"/>
    <x v="7"/>
    <s v="Manufacturing"/>
    <x v="1"/>
    <s v="USD"/>
    <n v="109811.0647"/>
    <n v="67817.240000000005"/>
    <n v="41993.83"/>
    <n v="18885.71"/>
    <n v="16528.8"/>
    <n v="188972.79"/>
    <n v="858"/>
    <n v="1.35E-2"/>
    <n v="0.38240000000000002"/>
    <n v="8.7499999999999994E-2"/>
    <s v="2023Q2"/>
    <x v="1"/>
    <x v="0"/>
  </r>
  <r>
    <s v="TXN-100979"/>
    <n v="44753"/>
    <x v="1"/>
    <s v="Food &amp; Beverage"/>
    <x v="3"/>
    <s v="USD"/>
    <n v="114136.16"/>
    <n v="89412.96"/>
    <n v="24723.200000000001"/>
    <n v="21090.6"/>
    <n v="6477.56"/>
    <n v="154093.74"/>
    <n v="2772"/>
    <n v="-2.3900000000000001E-2"/>
    <n v="0.21659999999999999"/>
    <n v="4.2000000000000003E-2"/>
    <s v="2022Q3"/>
    <x v="2"/>
    <x v="0"/>
  </r>
  <r>
    <s v="TXN-100980"/>
    <n v="45366"/>
    <x v="9"/>
    <s v="Media"/>
    <x v="1"/>
    <s v="USD"/>
    <n v="148829.14955"/>
    <n v="126259.42"/>
    <n v="22569.72"/>
    <n v="16108.72"/>
    <n v="26061.84"/>
    <n v="43550.33"/>
    <n v="368"/>
    <n v="5.1000000000000004E-3"/>
    <n v="0.15160000000000001"/>
    <n v="0.59840000000000004"/>
    <s v="2024Q1"/>
    <x v="3"/>
    <x v="1"/>
  </r>
  <r>
    <s v="TXN-100981"/>
    <n v="45994"/>
    <x v="2"/>
    <s v="Logistics"/>
    <x v="2"/>
    <s v="USD"/>
    <n v="152689.4"/>
    <n v="97101.04"/>
    <n v="55588.36"/>
    <n v="90440.6"/>
    <n v="2850.95"/>
    <n v="170167.01"/>
    <n v="1738"/>
    <n v="-5.5399999999999998E-2"/>
    <n v="0.36409999999999998"/>
    <n v="1.6799999999999999E-2"/>
    <s v="2025Q4"/>
    <x v="0"/>
    <x v="0"/>
  </r>
  <r>
    <s v="TXN-100982"/>
    <n v="45707"/>
    <x v="5"/>
    <s v="Retail"/>
    <x v="2"/>
    <s v="USD"/>
    <n v="23527.040000000001"/>
    <n v="19587.419999999998"/>
    <n v="3939.62"/>
    <n v="15697.76"/>
    <n v="21681.360000000001"/>
    <n v="50309.99"/>
    <n v="799"/>
    <n v="-2.7900000000000001E-2"/>
    <n v="0.16750000000000001"/>
    <n v="0.43099999999999999"/>
    <s v="2025Q1"/>
    <x v="0"/>
    <x v="1"/>
  </r>
  <r>
    <s v="TXN-100983"/>
    <n v="45396"/>
    <x v="3"/>
    <s v="Telecommunications"/>
    <x v="2"/>
    <s v="USD"/>
    <s v="null"/>
    <n v="185065.72"/>
    <s v="null"/>
    <n v="72947.11"/>
    <n v="44839.05"/>
    <n v="286837.26"/>
    <n v="1042"/>
    <n v="5.8500000000000003E-2"/>
    <s v="null"/>
    <n v="0.15629999999999999"/>
    <s v="2024Q2"/>
    <x v="3"/>
    <x v="0"/>
  </r>
  <r>
    <s v="TXN-100984"/>
    <n v="45179"/>
    <x v="11"/>
    <s v="Financial Services"/>
    <x v="0"/>
    <s v="USD"/>
    <n v="46887.12"/>
    <n v="42349.19"/>
    <n v="4537.93"/>
    <n v="32649.63"/>
    <n v="36762.1"/>
    <n v="67173.88"/>
    <n v="730"/>
    <n v="1.0500000000000001E-2"/>
    <n v="9.6799999999999997E-2"/>
    <n v="0.54730000000000001"/>
    <s v="2023Q3"/>
    <x v="1"/>
    <x v="1"/>
  </r>
  <r>
    <s v="TXN-100985"/>
    <n v="45702"/>
    <x v="6"/>
    <s v="Travel"/>
    <x v="2"/>
    <s v="USD"/>
    <n v="182542.93"/>
    <n v="103354.59"/>
    <n v="79188.34"/>
    <n v="38659.72"/>
    <n v="5494.68"/>
    <n v="198098.58"/>
    <n v="1606"/>
    <n v="-2.1899999999999999E-2"/>
    <n v="0.43380000000000002"/>
    <n v="2.7699999999999999E-2"/>
    <s v="2025Q1"/>
    <x v="0"/>
    <x v="0"/>
  </r>
  <r>
    <s v="TXN-100986"/>
    <n v="45807"/>
    <x v="5"/>
    <s v="Retail"/>
    <x v="2"/>
    <s v="USD"/>
    <n v="156904.47"/>
    <n v="143138.97"/>
    <n v="13765.5"/>
    <n v="75454.66"/>
    <n v="25662.53"/>
    <n v="315481.28000000003"/>
    <n v="405"/>
    <n v="-2.1600000000000001E-2"/>
    <n v="8.77E-2"/>
    <n v="8.1299999999999997E-2"/>
    <s v="2025Q2"/>
    <x v="0"/>
    <x v="0"/>
  </r>
  <r>
    <s v="TXN-100987"/>
    <n v="45425"/>
    <x v="1"/>
    <s v="Food &amp; Beverage"/>
    <x v="0"/>
    <s v="USD"/>
    <n v="477376.54"/>
    <n v="335196.82"/>
    <n v="142179.72"/>
    <n v="48246.74"/>
    <n v="11974.08"/>
    <n v="103606.6"/>
    <n v="648"/>
    <n v="0.14910000000000001"/>
    <n v="0.29780000000000001"/>
    <n v="0.11559999999999999"/>
    <s v="2024Q2"/>
    <x v="3"/>
    <x v="0"/>
  </r>
  <r>
    <s v="TXN-100988"/>
    <n v="45987"/>
    <x v="9"/>
    <s v="Media"/>
    <x v="2"/>
    <s v="USD"/>
    <n v="81242.649999999994"/>
    <n v="55764.11"/>
    <n v="25478.54"/>
    <n v="103163.28"/>
    <n v="30919.98"/>
    <n v="140823.84"/>
    <n v="433"/>
    <n v="5.7200000000000001E-2"/>
    <n v="0.31359999999999999"/>
    <n v="0.21959999999999999"/>
    <s v="2025Q4"/>
    <x v="0"/>
    <x v="0"/>
  </r>
  <r>
    <s v="TXN-100989"/>
    <n v="45460"/>
    <x v="7"/>
    <s v="Manufacturing"/>
    <x v="0"/>
    <s v="USD"/>
    <n v="245642.26"/>
    <n v="144213.07999999999"/>
    <n v="101429.18"/>
    <n v="7339.3"/>
    <n v="23276.77"/>
    <n v="102903.73"/>
    <n v="822"/>
    <n v="-4.4499999999999998E-2"/>
    <n v="0.41289999999999999"/>
    <n v="0.22620000000000001"/>
    <s v="2024Q2"/>
    <x v="3"/>
    <x v="0"/>
  </r>
  <r>
    <s v="TXN-100990"/>
    <n v="44733"/>
    <x v="4"/>
    <s v="Energy"/>
    <x v="1"/>
    <s v="USD"/>
    <n v="133507.96179999999"/>
    <n v="85010.67"/>
    <n v="48497.29"/>
    <n v="91409.03"/>
    <n v="14830.14"/>
    <n v="223111.88"/>
    <n v="1144"/>
    <n v="-5.8900000000000001E-2"/>
    <n v="0.36330000000000001"/>
    <n v="6.6500000000000004E-2"/>
    <s v="2022Q2"/>
    <x v="2"/>
    <x v="0"/>
  </r>
  <r>
    <s v="TXN-100991"/>
    <n v="45505"/>
    <x v="2"/>
    <s v="Healthcare"/>
    <x v="1"/>
    <s v="USD"/>
    <n v="24479.229800000001"/>
    <n v="17943.490000000002"/>
    <n v="6535.74"/>
    <n v="46452.28"/>
    <n v="49648.47"/>
    <n v="199052.31"/>
    <n v="1718"/>
    <n v="2.41E-2"/>
    <n v="0.26700000000000002"/>
    <n v="0.24940000000000001"/>
    <s v="2024Q3"/>
    <x v="3"/>
    <x v="0"/>
  </r>
  <r>
    <s v="TXN-100992"/>
    <n v="45590"/>
    <x v="4"/>
    <s v="Energy"/>
    <x v="0"/>
    <s v="USD"/>
    <n v="97140.479999999996"/>
    <n v="86832.66"/>
    <n v="10307.82"/>
    <n v="16258.93"/>
    <n v="20687.09"/>
    <n v="62119.65"/>
    <n v="1635"/>
    <n v="-1.1599999999999999E-2"/>
    <n v="0.1061"/>
    <n v="0.33300000000000002"/>
    <s v="2024Q4"/>
    <x v="3"/>
    <x v="1"/>
  </r>
  <r>
    <s v="TXN-100993"/>
    <n v="45700"/>
    <x v="9"/>
    <s v="Media"/>
    <x v="0"/>
    <s v="USD"/>
    <n v="362692.99"/>
    <n v="236372.86"/>
    <n v="126320.13"/>
    <n v="30447.69"/>
    <n v="46862.12"/>
    <n v="226938.47"/>
    <n v="629"/>
    <n v="6.2E-2"/>
    <n v="0.3483"/>
    <n v="0.20649999999999999"/>
    <s v="2025Q1"/>
    <x v="0"/>
    <x v="0"/>
  </r>
  <r>
    <s v="TXN-100994"/>
    <n v="44658"/>
    <x v="2"/>
    <s v="Healthcare"/>
    <x v="3"/>
    <s v="USD"/>
    <n v="142098.51"/>
    <n v="123560.41"/>
    <n v="18538.099999999999"/>
    <n v="38095.31"/>
    <n v="10056.51"/>
    <n v="77944.179999999993"/>
    <n v="764"/>
    <n v="0.11990000000000001"/>
    <n v="0.1305"/>
    <n v="0.129"/>
    <s v="2022Q2"/>
    <x v="2"/>
    <x v="0"/>
  </r>
  <r>
    <s v="TXN-100995"/>
    <n v="45805"/>
    <x v="0"/>
    <s v="Real Estate"/>
    <x v="2"/>
    <s v="USD"/>
    <n v="70249.649999999994"/>
    <n v="38714.31"/>
    <n v="31535.34"/>
    <n v="73513.83"/>
    <n v="14450.33"/>
    <n v="99094.98"/>
    <n v="1239"/>
    <n v="-9.7000000000000003E-3"/>
    <n v="0.44890000000000002"/>
    <n v="0.14580000000000001"/>
    <s v="2025Q2"/>
    <x v="0"/>
    <x v="0"/>
  </r>
  <r>
    <s v="TXN-100996"/>
    <n v="44909"/>
    <x v="6"/>
    <s v="Travel"/>
    <x v="1"/>
    <s v="USD"/>
    <n v="90375.47"/>
    <n v="55964.68"/>
    <n v="34410.79"/>
    <n v="10262.92"/>
    <n v="69133.73"/>
    <n v="57051.92"/>
    <n v="554"/>
    <n v="0.13270000000000001"/>
    <n v="0.38080000000000003"/>
    <n v="1.2118"/>
    <s v="2022Q4"/>
    <x v="2"/>
    <x v="2"/>
  </r>
  <r>
    <s v="TXN-100997"/>
    <n v="45200"/>
    <x v="1"/>
    <s v="Food &amp; Beverage"/>
    <x v="1"/>
    <s v="USD"/>
    <n v="73997.0677"/>
    <n v="45450.29"/>
    <n v="28546.77"/>
    <n v="60096.959999999999"/>
    <n v="17605.28"/>
    <n v="154831.09"/>
    <n v="477"/>
    <n v="-0.1216"/>
    <n v="0.38579999999999998"/>
    <n v="0.1137"/>
    <s v="2023Q4"/>
    <x v="1"/>
    <x v="0"/>
  </r>
  <r>
    <s v="TXN-100998"/>
    <d v="2025-02-19T00:00:00"/>
    <x v="5"/>
    <s v="Retail"/>
    <x v="0"/>
    <s v="USD"/>
    <n v="115744.56"/>
    <n v="95207.19"/>
    <n v="20537.37"/>
    <n v="30988.73"/>
    <n v="170204.73"/>
    <n v="51951.29"/>
    <n v="1284"/>
    <n v="0.1348"/>
    <n v="0.1774"/>
    <n v="3.2761999999999998"/>
    <s v="2025Q1"/>
    <x v="0"/>
    <x v="2"/>
  </r>
  <r>
    <s v="TXN-100999"/>
    <n v="45680"/>
    <x v="3"/>
    <s v="Telecommunications"/>
    <x v="1"/>
    <s v="USD"/>
    <n v="176384.731"/>
    <n v="137124.64000000001"/>
    <n v="39260.089999999997"/>
    <n v="91766.12"/>
    <n v="29186.080000000002"/>
    <n v="259580.44"/>
    <n v="769"/>
    <n v="7.7700000000000005E-2"/>
    <n v="0.22259999999999999"/>
    <n v="0.1124"/>
    <s v="2025Q1"/>
    <x v="0"/>
    <x v="0"/>
  </r>
  <r>
    <s v="TXN-101000"/>
    <n v="45668"/>
    <x v="2"/>
    <s v="Healthcare"/>
    <x v="0"/>
    <s v="USD"/>
    <n v="83671.539999999994"/>
    <n v="74424.3"/>
    <n v="9247.24"/>
    <n v="62512.86"/>
    <n v="36792.75"/>
    <n v="653047.44999999995"/>
    <n v="1000"/>
    <n v="-0.1023"/>
    <n v="0.1105"/>
    <n v="5.6300000000000003E-2"/>
    <s v="2025Q1"/>
    <x v="0"/>
    <x v="0"/>
  </r>
  <r>
    <s v="TXN-101001"/>
    <n v="45140"/>
    <x v="7"/>
    <s v="Manufacturing"/>
    <x v="0"/>
    <s v="USD"/>
    <n v="64323.32"/>
    <n v="56253.88"/>
    <n v="8069.44"/>
    <n v="26439.97"/>
    <n v="14722.37"/>
    <n v="36773.06"/>
    <n v="926"/>
    <n v="9.5299999999999996E-2"/>
    <n v="0.1255"/>
    <n v="0.40039999999999998"/>
    <s v="2023Q3"/>
    <x v="1"/>
    <x v="1"/>
  </r>
  <r>
    <s v="TXN-101002"/>
    <n v="44712"/>
    <x v="7"/>
    <s v="Manufacturing"/>
    <x v="2"/>
    <s v="USD"/>
    <n v="71505.759999999995"/>
    <n v="51507.1"/>
    <n v="19998.66"/>
    <n v="61945.01"/>
    <n v="10797.47"/>
    <n v="132366.18"/>
    <n v="1591"/>
    <n v="1.1000000000000001E-3"/>
    <n v="0.2797"/>
    <n v="8.1600000000000006E-2"/>
    <s v="2022Q2"/>
    <x v="2"/>
    <x v="0"/>
  </r>
  <r>
    <s v="TXN-101003"/>
    <n v="45880"/>
    <x v="2"/>
    <s v="Healthcare"/>
    <x v="1"/>
    <s v="USD"/>
    <n v="81350.349300000002"/>
    <n v="47320.1"/>
    <n v="34030.25"/>
    <n v="31309.67"/>
    <n v="25086.18"/>
    <n v="80312.94"/>
    <n v="1131"/>
    <n v="0.17780000000000001"/>
    <n v="0.41830000000000001"/>
    <n v="0.31240000000000001"/>
    <s v="2025Q3"/>
    <x v="0"/>
    <x v="1"/>
  </r>
  <r>
    <s v="TXN-101004"/>
    <n v="45755"/>
    <x v="3"/>
    <s v="Telecommunications"/>
    <x v="0"/>
    <s v="USD"/>
    <n v="99437.72"/>
    <n v="80901.119999999995"/>
    <n v="18536.599999999999"/>
    <n v="38276.06"/>
    <n v="83439.12"/>
    <n v="69357.009999999995"/>
    <n v="853"/>
    <n v="-2.4E-2"/>
    <n v="0.18640000000000001"/>
    <n v="1.2030000000000001"/>
    <s v="2025Q2"/>
    <x v="0"/>
    <x v="2"/>
  </r>
  <r>
    <s v="TXN-101005"/>
    <n v="44913"/>
    <x v="11"/>
    <s v="Financial Services"/>
    <x v="0"/>
    <s v="USD"/>
    <n v="150244.42000000001"/>
    <n v="137569.09"/>
    <n v="12675.33"/>
    <n v="48855.46"/>
    <n v="64297.7"/>
    <n v="65791.87"/>
    <n v="1384"/>
    <n v="7.1599999999999997E-2"/>
    <n v="8.4400000000000003E-2"/>
    <n v="0.97729999999999995"/>
    <s v="2022Q4"/>
    <x v="2"/>
    <x v="2"/>
  </r>
  <r>
    <s v="TXN-101006"/>
    <n v="44686"/>
    <x v="5"/>
    <s v="Retail"/>
    <x v="2"/>
    <s v="USD"/>
    <n v="78961.08"/>
    <n v="58981.45"/>
    <n v="19979.63"/>
    <n v="7557.53"/>
    <n v="37440.86"/>
    <n v="57824.01"/>
    <n v="732"/>
    <n v="2.0000000000000001E-4"/>
    <n v="0.253"/>
    <n v="0.64749999999999996"/>
    <s v="2022Q2"/>
    <x v="2"/>
    <x v="2"/>
  </r>
  <r>
    <s v="TXN-101007"/>
    <n v="44900"/>
    <x v="4"/>
    <s v="Energy"/>
    <x v="2"/>
    <s v="USD"/>
    <n v="47956.76"/>
    <n v="40911.47"/>
    <n v="7045.29"/>
    <n v="24865.98"/>
    <n v="87771.93"/>
    <n v="44562.6"/>
    <n v="640"/>
    <n v="0.124"/>
    <n v="0.1469"/>
    <n v="1.9696"/>
    <s v="2022Q4"/>
    <x v="2"/>
    <x v="2"/>
  </r>
  <r>
    <s v="TXN-101008"/>
    <n v="45092"/>
    <x v="11"/>
    <s v="Financial Services"/>
    <x v="0"/>
    <s v="USD"/>
    <n v="277426.28000000003"/>
    <n v="250387.6"/>
    <n v="27038.68"/>
    <n v="20218.169999999998"/>
    <n v="20184.97"/>
    <n v="33138.83"/>
    <n v="1500"/>
    <n v="-6.93E-2"/>
    <n v="9.7500000000000003E-2"/>
    <n v="0.60909999999999997"/>
    <s v="2023Q2"/>
    <x v="1"/>
    <x v="2"/>
  </r>
  <r>
    <s v="TXN-101009"/>
    <n v="45136"/>
    <x v="11"/>
    <s v="Financial Services"/>
    <x v="2"/>
    <s v="USD"/>
    <n v="67064.08"/>
    <n v="60937.599999999999"/>
    <n v="6126.48"/>
    <n v="24635.95"/>
    <n v="13670.24"/>
    <n v="41331.24"/>
    <n v="819"/>
    <n v="1.43E-2"/>
    <n v="9.1399999999999995E-2"/>
    <n v="0.33069999999999999"/>
    <s v="2023Q3"/>
    <x v="1"/>
    <x v="1"/>
  </r>
  <r>
    <s v="TXN-101010"/>
    <n v="45921"/>
    <x v="8"/>
    <s v="Logistics"/>
    <x v="0"/>
    <s v="USD"/>
    <n v="152496.07"/>
    <n v="137648.79999999999"/>
    <n v="14847.27"/>
    <n v="30551.96"/>
    <n v="10088.61"/>
    <n v="78844.7"/>
    <n v="757"/>
    <n v="0.1024"/>
    <n v="9.74E-2"/>
    <n v="0.128"/>
    <s v="2025Q3"/>
    <x v="0"/>
    <x v="0"/>
  </r>
  <r>
    <s v="TXN-101011"/>
    <n v="44710"/>
    <x v="1"/>
    <s v="Food &amp; Beverage"/>
    <x v="2"/>
    <s v="USD"/>
    <n v="51791.42"/>
    <n v="40638.879999999997"/>
    <n v="11152.54"/>
    <n v="14035"/>
    <n v="20441.689999999999"/>
    <n v="155054.79"/>
    <n v="1511"/>
    <n v="-2.8999999999999998E-3"/>
    <n v="0.21529999999999999"/>
    <n v="0.1318"/>
    <s v="2022Q2"/>
    <x v="2"/>
    <x v="0"/>
  </r>
  <r>
    <s v="TXN-101012"/>
    <n v="45916"/>
    <x v="10"/>
    <s v="Technology"/>
    <x v="0"/>
    <s v="USD"/>
    <n v="157835.23000000001"/>
    <n v="119699.6"/>
    <n v="38135.629999999997"/>
    <n v="14541.12"/>
    <n v="18106.169999999998"/>
    <n v="45495.53"/>
    <n v="1027"/>
    <n v="5.7599999999999998E-2"/>
    <n v="0.24160000000000001"/>
    <n v="0.39800000000000002"/>
    <s v="2025Q3"/>
    <x v="0"/>
    <x v="1"/>
  </r>
  <r>
    <s v="TXN-101013"/>
    <n v="45399"/>
    <x v="7"/>
    <s v="Manufacturing"/>
    <x v="0"/>
    <s v="USD"/>
    <n v="57711.48"/>
    <n v="39145.769999999997"/>
    <n v="18565.71"/>
    <n v="135613.44"/>
    <n v="28299.11"/>
    <n v="184298.14"/>
    <n v="533"/>
    <n v="-0.12620000000000001"/>
    <n v="0.32169999999999999"/>
    <n v="0.15359999999999999"/>
    <s v="2024Q2"/>
    <x v="3"/>
    <x v="0"/>
  </r>
  <r>
    <s v="TXN-101014"/>
    <n v="45486"/>
    <x v="1"/>
    <s v="Food &amp; Beverage"/>
    <x v="3"/>
    <s v="USD"/>
    <n v="79873.440000000002"/>
    <n v="70593.09"/>
    <n v="9280.35"/>
    <n v="19695.849999999999"/>
    <n v="26882.86"/>
    <n v="67133.69"/>
    <n v="1395"/>
    <n v="-0.1273"/>
    <n v="0.1162"/>
    <n v="0.40039999999999998"/>
    <s v="2024Q3"/>
    <x v="3"/>
    <x v="1"/>
  </r>
  <r>
    <s v="TXN-101015"/>
    <n v="45697"/>
    <x v="5"/>
    <s v="Retail"/>
    <x v="2"/>
    <s v="USD"/>
    <n v="33389.67"/>
    <n v="26054.61"/>
    <n v="7335.06"/>
    <n v="118032.27"/>
    <n v="16326.26"/>
    <n v="143867.16"/>
    <n v="2249"/>
    <n v="0.1114"/>
    <n v="0.21970000000000001"/>
    <n v="0.1135"/>
    <s v="2025Q1"/>
    <x v="0"/>
    <x v="0"/>
  </r>
  <r>
    <s v="TXN-101016"/>
    <n v="45454"/>
    <x v="6"/>
    <s v="Travel"/>
    <x v="3"/>
    <s v="USD"/>
    <n v="52126.59"/>
    <n v="32516.2"/>
    <n v="19610.39"/>
    <n v="16658.28"/>
    <n v="60107.98"/>
    <n v="274521.42"/>
    <n v="448"/>
    <n v="-6.8099999999999994E-2"/>
    <n v="0.37619999999999998"/>
    <n v="0.219"/>
    <s v="2024Q2"/>
    <x v="3"/>
    <x v="0"/>
  </r>
  <r>
    <s v="TXN-101017"/>
    <n v="44647"/>
    <x v="2"/>
    <s v="Healthcare"/>
    <x v="2"/>
    <s v="USD"/>
    <n v="150696.29999999999"/>
    <n v="129405.9"/>
    <n v="21290.400000000001"/>
    <n v="59373.27"/>
    <n v="17532.32"/>
    <n v="111620.8"/>
    <n v="528"/>
    <n v="4.48E-2"/>
    <n v="0.14130000000000001"/>
    <n v="0.15709999999999999"/>
    <s v="2022Q1"/>
    <x v="2"/>
    <x v="0"/>
  </r>
  <r>
    <s v="TXN-101018"/>
    <n v="45846"/>
    <x v="4"/>
    <s v="Energy"/>
    <x v="0"/>
    <s v="USD"/>
    <n v="115754.7"/>
    <n v="73393.710000000006"/>
    <n v="42360.99"/>
    <n v="32422.71"/>
    <n v="89999.49"/>
    <n v="50936.44"/>
    <n v="1062"/>
    <n v="2.7900000000000001E-2"/>
    <n v="0.36599999999999999"/>
    <n v="1.7668999999999999"/>
    <s v="2025Q3"/>
    <x v="0"/>
    <x v="2"/>
  </r>
  <r>
    <s v="TXN-101019"/>
    <n v="45546"/>
    <x v="10"/>
    <s v="Technology"/>
    <x v="0"/>
    <s v="USD"/>
    <n v="52364.639999999999"/>
    <n v="29903.01"/>
    <n v="22461.63"/>
    <n v="58947.75"/>
    <n v="24830.85"/>
    <n v="96618.559999999998"/>
    <n v="831"/>
    <n v="3.5700000000000003E-2"/>
    <n v="0.4289"/>
    <n v="0.25700000000000001"/>
    <s v="2024Q3"/>
    <x v="3"/>
    <x v="0"/>
  </r>
  <r>
    <s v="TXN-101020"/>
    <n v="44904"/>
    <x v="8"/>
    <s v="Logistics"/>
    <x v="2"/>
    <s v="USD"/>
    <n v="65670.3"/>
    <n v="46410.96"/>
    <n v="19259.34"/>
    <n v="57305.32"/>
    <n v="34089.56"/>
    <n v="123580.56"/>
    <n v="741"/>
    <n v="-0.1143"/>
    <n v="0.29330000000000001"/>
    <n v="0.27579999999999999"/>
    <s v="2022Q4"/>
    <x v="2"/>
    <x v="0"/>
  </r>
  <r>
    <s v="TXN-101021"/>
    <n v="45010"/>
    <x v="7"/>
    <s v="Manufacturing"/>
    <x v="2"/>
    <s v="USD"/>
    <n v="87613.34"/>
    <n v="54241.08"/>
    <n v="33372.26"/>
    <n v="18156.22"/>
    <n v="334274.71000000002"/>
    <n v="155356.99"/>
    <n v="856"/>
    <n v="8.8900000000000007E-2"/>
    <n v="0.38090000000000002"/>
    <n v="2.1516999999999999"/>
    <s v="2023Q1"/>
    <x v="1"/>
    <x v="2"/>
  </r>
  <r>
    <s v="TXN-101022"/>
    <n v="44694"/>
    <x v="2"/>
    <s v="Healthcare"/>
    <x v="2"/>
    <s v="USD"/>
    <n v="23267.39"/>
    <n v="18550.97"/>
    <n v="4716.42"/>
    <n v="65857.59"/>
    <n v="15056.01"/>
    <n v="92493.94"/>
    <n v="857"/>
    <n v="3.3099999999999997E-2"/>
    <n v="0.20269999999999999"/>
    <n v="0.1628"/>
    <s v="2022Q2"/>
    <x v="2"/>
    <x v="0"/>
  </r>
  <r>
    <s v="TXN-101023"/>
    <n v="44794"/>
    <x v="10"/>
    <s v="Technology"/>
    <x v="1"/>
    <s v="USD"/>
    <n v="104359.54795000001"/>
    <n v="58358.29"/>
    <n v="46001.26"/>
    <n v="1.1499999999999999"/>
    <n v="59689.78"/>
    <n v="90914.21"/>
    <n v="585"/>
    <n v="-6.0699999999999997E-2"/>
    <n v="0.44080000000000003"/>
    <n v="0.65659999999999996"/>
    <s v="2022Q3"/>
    <x v="2"/>
    <x v="2"/>
  </r>
  <r>
    <s v="TXN-101024"/>
    <n v="45388"/>
    <x v="5"/>
    <s v="Retail"/>
    <x v="1"/>
    <s v="USD"/>
    <n v="249070.95690000002"/>
    <n v="219460.64"/>
    <n v="29610.32"/>
    <n v="27340.29"/>
    <n v="13218.77"/>
    <n v="136756.18"/>
    <n v="851"/>
    <n v="2.6100000000000002E-2"/>
    <n v="0.11890000000000001"/>
    <n v="9.6699999999999994E-2"/>
    <s v="2024Q2"/>
    <x v="3"/>
    <x v="0"/>
  </r>
  <r>
    <s v="TXN-101025"/>
    <n v="45016"/>
    <x v="7"/>
    <s v="Manufacturing"/>
    <x v="0"/>
    <s v="USD"/>
    <n v="36535.25"/>
    <n v="28262.52"/>
    <n v="8272.73"/>
    <n v="16573.37"/>
    <n v="42269.5"/>
    <n v="116617.29"/>
    <n v="604"/>
    <n v="-5.1499999999999997E-2"/>
    <n v="0.22639999999999999"/>
    <n v="0.36249999999999999"/>
    <s v="2023Q1"/>
    <x v="1"/>
    <x v="1"/>
  </r>
  <r>
    <s v="TXN-101026"/>
    <n v="45262"/>
    <x v="4"/>
    <s v="Energy"/>
    <x v="2"/>
    <s v="USD"/>
    <n v="63261.57"/>
    <n v="56966.74"/>
    <n v="6294.83"/>
    <n v="40031.64"/>
    <n v="14910.13"/>
    <n v="53897.58"/>
    <n v="1228"/>
    <n v="0.13350000000000001"/>
    <n v="9.9500000000000005E-2"/>
    <n v="0.27660000000000001"/>
    <s v="2023Q4"/>
    <x v="1"/>
    <x v="0"/>
  </r>
  <r>
    <s v="TXN-101027"/>
    <n v="45372"/>
    <x v="1"/>
    <s v="Food &amp; Beverage"/>
    <x v="1"/>
    <s v="USD"/>
    <n v="62796.849450000002"/>
    <n v="41662.04"/>
    <n v="21134.81"/>
    <n v="58707.05"/>
    <n v="20526.400000000001"/>
    <n v="192056.33"/>
    <n v="407"/>
    <n v="-6.7699999999999996E-2"/>
    <n v="0.33660000000000001"/>
    <n v="0.1069"/>
    <s v="2024Q1"/>
    <x v="3"/>
    <x v="0"/>
  </r>
  <r>
    <s v="TXN-101028"/>
    <n v="45828"/>
    <x v="4"/>
    <s v="Energy"/>
    <x v="1"/>
    <s v="USD"/>
    <n v="65991.582649999997"/>
    <n v="38936.31"/>
    <n v="27055.27"/>
    <n v="42579.92"/>
    <n v="2495.5700000000002"/>
    <n v="166913.49"/>
    <s v="null"/>
    <n v="0.1115"/>
    <n v="0.41"/>
    <n v="1.4999999999999999E-2"/>
    <s v="2025Q2"/>
    <x v="0"/>
    <x v="0"/>
  </r>
  <r>
    <s v="TXN-101029"/>
    <n v="45395"/>
    <x v="1"/>
    <s v="Food &amp; Beverage"/>
    <x v="0"/>
    <s v="USD"/>
    <n v="132974.87"/>
    <n v="80435"/>
    <n v="52539.87"/>
    <n v="87745.84"/>
    <n v="17407.349999999999"/>
    <n v="192520.83"/>
    <n v="1124"/>
    <n v="2.6700000000000002E-2"/>
    <n v="0.39510000000000001"/>
    <n v="9.0399999999999994E-2"/>
    <s v="2024Q2"/>
    <x v="3"/>
    <x v="0"/>
  </r>
  <r>
    <s v="TXN-101030"/>
    <n v="45251"/>
    <x v="5"/>
    <s v="Retail"/>
    <x v="2"/>
    <s v="USD"/>
    <n v="33213.81"/>
    <n v="25522.01"/>
    <n v="7691.8"/>
    <n v="29984.6"/>
    <n v="34915.58"/>
    <n v="99025.98"/>
    <n v="911"/>
    <n v="9.9199999999999997E-2"/>
    <n v="0.2316"/>
    <n v="0.35260000000000002"/>
    <s v="2023Q4"/>
    <x v="1"/>
    <x v="1"/>
  </r>
  <r>
    <s v="TXN-101031"/>
    <n v="45202"/>
    <x v="3"/>
    <s v="Telecommunications"/>
    <x v="0"/>
    <s v="USD"/>
    <n v="65940.67"/>
    <n v="56822.19"/>
    <n v="9118.48"/>
    <n v="16472.89"/>
    <n v="93284.53"/>
    <n v="115375.91"/>
    <n v="1937"/>
    <n v="-7.0000000000000007E-2"/>
    <n v="0.13830000000000001"/>
    <n v="0.8085"/>
    <s v="2023Q4"/>
    <x v="1"/>
    <x v="2"/>
  </r>
  <r>
    <s v="TXN-101032"/>
    <n v="44640"/>
    <x v="3"/>
    <s v="Telecommunications"/>
    <x v="2"/>
    <s v="USD"/>
    <n v="66136.27"/>
    <n v="45205.51"/>
    <n v="20930.759999999998"/>
    <n v="31505.21"/>
    <n v="29584.28"/>
    <n v="63248.2"/>
    <n v="683"/>
    <n v="-2.1000000000000001E-2"/>
    <n v="0.3165"/>
    <n v="0.4677"/>
    <s v="2022Q1"/>
    <x v="2"/>
    <x v="1"/>
  </r>
  <r>
    <s v="TXN-101033"/>
    <n v="45367"/>
    <x v="11"/>
    <s v="Financial Services"/>
    <x v="3"/>
    <s v="USD"/>
    <n v="68211.31"/>
    <n v="40929.129999999997"/>
    <n v="27282.18"/>
    <n v="20015.330000000002"/>
    <n v="13863.71"/>
    <n v="57930.89"/>
    <n v="1052"/>
    <n v="5.8900000000000001E-2"/>
    <n v="0.4"/>
    <n v="0.23930000000000001"/>
    <s v="2024Q1"/>
    <x v="3"/>
    <x v="0"/>
  </r>
  <r>
    <s v="TXN-101034"/>
    <n v="45516"/>
    <x v="8"/>
    <s v="Logistics"/>
    <x v="2"/>
    <s v="USD"/>
    <n v="107027.67"/>
    <n v="86135.1"/>
    <n v="20892.57"/>
    <n v="89081.16"/>
    <n v="23772.39"/>
    <n v="104448.97"/>
    <n v="890"/>
    <n v="1.7600000000000001E-2"/>
    <n v="0.19520000000000001"/>
    <n v="0.2276"/>
    <s v="2024Q3"/>
    <x v="3"/>
    <x v="0"/>
  </r>
  <r>
    <s v="TXN-101035"/>
    <n v="44656"/>
    <x v="2"/>
    <s v="Healthcare"/>
    <x v="0"/>
    <s v="USD"/>
    <n v="71945.649999999994"/>
    <n v="56450.55"/>
    <n v="15495.1"/>
    <n v="38454.089999999997"/>
    <n v="36418.11"/>
    <n v="76449.94"/>
    <s v="null"/>
    <n v="-0.1167"/>
    <n v="0.21540000000000001"/>
    <n v="0.47639999999999999"/>
    <s v="2022Q2"/>
    <x v="2"/>
    <x v="1"/>
  </r>
  <r>
    <s v="TXN-101036"/>
    <n v="45705"/>
    <x v="11"/>
    <s v="Financial Services"/>
    <x v="2"/>
    <s v="USD"/>
    <n v="159209.53"/>
    <n v="90707.9"/>
    <n v="68501.63"/>
    <n v="27207.47"/>
    <n v="36508.03"/>
    <n v="156277.42000000001"/>
    <n v="1405"/>
    <n v="7.7999999999999996E-3"/>
    <n v="0.43030000000000002"/>
    <n v="0.2336"/>
    <s v="2025Q1"/>
    <x v="0"/>
    <x v="0"/>
  </r>
  <r>
    <s v="TXN-101037"/>
    <n v="45007"/>
    <x v="9"/>
    <s v="Media"/>
    <x v="1"/>
    <s v="USD"/>
    <n v="75645.924950000001"/>
    <n v="64633.59"/>
    <n v="11012.34"/>
    <n v="40742.43"/>
    <n v="18905.349999999999"/>
    <n v="124046.74"/>
    <n v="1270"/>
    <n v="0.1414"/>
    <n v="0.14560000000000001"/>
    <n v="0.15240000000000001"/>
    <s v="2023Q1"/>
    <x v="1"/>
    <x v="0"/>
  </r>
  <r>
    <s v="TXN-101038"/>
    <n v="45926"/>
    <x v="2"/>
    <s v="Healthcare"/>
    <x v="0"/>
    <s v="USD"/>
    <n v="130220.58"/>
    <n v="83995.01"/>
    <n v="46225.57"/>
    <n v="18908.09"/>
    <n v="116787.88"/>
    <n v="59865.79"/>
    <n v="968"/>
    <n v="-4.6399999999999997E-2"/>
    <n v="0.35499999999999998"/>
    <n v="1.9508000000000001"/>
    <s v="2025Q3"/>
    <x v="0"/>
    <x v="2"/>
  </r>
  <r>
    <s v="TXN-101039"/>
    <n v="45486"/>
    <x v="4"/>
    <s v="Energy"/>
    <x v="0"/>
    <s v="USD"/>
    <n v="29691.040000000001"/>
    <n v="23222.22"/>
    <n v="6468.82"/>
    <n v="30391.75"/>
    <n v="26278.82"/>
    <n v="110929.43"/>
    <n v="911"/>
    <n v="0.111"/>
    <n v="0.21790000000000001"/>
    <n v="0.2369"/>
    <s v="2024Q3"/>
    <x v="3"/>
    <x v="0"/>
  </r>
  <r>
    <s v="TXN-101040"/>
    <n v="44598"/>
    <x v="8"/>
    <s v="Logistics"/>
    <x v="2"/>
    <s v="USD"/>
    <n v="126444.14"/>
    <n v="102543.9"/>
    <n v="23900.240000000002"/>
    <n v="139791.14000000001"/>
    <n v="88688.09"/>
    <n v="181663.76"/>
    <n v="1516"/>
    <n v="-1.8599999999999998E-2"/>
    <n v="0.189"/>
    <n v="0.48820000000000002"/>
    <s v="2022Q1"/>
    <x v="2"/>
    <x v="1"/>
  </r>
  <r>
    <s v="TXN-101041"/>
    <n v="44954"/>
    <x v="7"/>
    <s v="Manufacturing"/>
    <x v="0"/>
    <s v="USD"/>
    <n v="81680.679999999993"/>
    <n v="47967.519999999997"/>
    <n v="33713.160000000003"/>
    <n v="32060.35"/>
    <n v="6663.32"/>
    <n v="67738.47"/>
    <n v="826"/>
    <n v="1.4E-3"/>
    <n v="0.41270000000000001"/>
    <n v="9.8400000000000001E-2"/>
    <s v="2023Q1"/>
    <x v="1"/>
    <x v="0"/>
  </r>
  <r>
    <s v="TXN-101042"/>
    <n v="45741"/>
    <x v="9"/>
    <s v="Media"/>
    <x v="1"/>
    <s v="USD"/>
    <n v="78357.548299999995"/>
    <n v="46964.2"/>
    <n v="31393.35"/>
    <n v="38626.43"/>
    <n v="13497.03"/>
    <n v="151799.10999999999"/>
    <n v="1974"/>
    <n v="-3.3300000000000003E-2"/>
    <n v="0.40060000000000001"/>
    <n v="8.8900000000000007E-2"/>
    <s v="2025Q1"/>
    <x v="0"/>
    <x v="0"/>
  </r>
  <r>
    <s v="TXN-101043"/>
    <n v="45538"/>
    <x v="4"/>
    <s v="Energy"/>
    <x v="1"/>
    <s v="USD"/>
    <n v="45778.245000000003"/>
    <n v="39217.85"/>
    <n v="6560.39"/>
    <n v="83111.92"/>
    <n v="8581.0300000000007"/>
    <n v="292722.71999999997"/>
    <n v="2263"/>
    <n v="0.12570000000000001"/>
    <n v="0.14330000000000001"/>
    <n v="2.93E-2"/>
    <s v="2024Q3"/>
    <x v="3"/>
    <x v="0"/>
  </r>
  <r>
    <s v="TXN-101044"/>
    <n v="44869"/>
    <x v="4"/>
    <s v="Energy"/>
    <x v="1"/>
    <s v="USD"/>
    <n v="112543.5156"/>
    <n v="101176.24"/>
    <n v="11367.27"/>
    <n v="12735.54"/>
    <n v="65775.44"/>
    <n v="171013.79"/>
    <n v="757"/>
    <n v="-5.7500000000000002E-2"/>
    <n v="0.10100000000000001"/>
    <n v="0.3846"/>
    <s v="2022Q4"/>
    <x v="2"/>
    <x v="1"/>
  </r>
  <r>
    <s v="TXN-101045"/>
    <n v="44839"/>
    <x v="2"/>
    <s v="Healthcare"/>
    <x v="1"/>
    <s v="USD"/>
    <n v="104503.69200000001"/>
    <n v="70659.03"/>
    <n v="33844.67"/>
    <n v="63323.11"/>
    <n v="81516.649999999994"/>
    <n v="140359.91"/>
    <n v="508"/>
    <n v="-8.2199999999999995E-2"/>
    <n v="0.32390000000000002"/>
    <n v="0.58079999999999998"/>
    <s v="2022Q4"/>
    <x v="2"/>
    <x v="1"/>
  </r>
  <r>
    <s v="TXN-101046"/>
    <n v="45779"/>
    <x v="6"/>
    <s v="Travel"/>
    <x v="2"/>
    <s v="USD"/>
    <n v="58588.26"/>
    <n v="48265.79"/>
    <n v="10322.469999999999"/>
    <n v="67196.350000000006"/>
    <n v="8658.86"/>
    <n v="245533.65"/>
    <n v="1091"/>
    <n v="-4.5699999999999998E-2"/>
    <n v="0.1762"/>
    <n v="3.5299999999999998E-2"/>
    <s v="2025Q2"/>
    <x v="0"/>
    <x v="0"/>
  </r>
  <r>
    <s v="TXN-101047"/>
    <n v="45089"/>
    <x v="5"/>
    <s v="Retail"/>
    <x v="1"/>
    <s v="USD"/>
    <n v="226715.6563"/>
    <n v="133969.51999999999"/>
    <n v="92746.13"/>
    <n v="50502.61"/>
    <n v="36116.86"/>
    <n v="220680.52"/>
    <n v="793"/>
    <n v="-6.2300000000000001E-2"/>
    <n v="0.40910000000000002"/>
    <n v="0.16370000000000001"/>
    <s v="2023Q2"/>
    <x v="1"/>
    <x v="0"/>
  </r>
  <r>
    <s v="TXN-101048"/>
    <n v="45315"/>
    <x v="10"/>
    <s v="Technology"/>
    <x v="1"/>
    <s v="USD"/>
    <n v="243849.97445000001"/>
    <n v="164710.28"/>
    <n v="79139.7"/>
    <n v="46934.39"/>
    <n v="14601.28"/>
    <n v="109944.71"/>
    <n v="870"/>
    <n v="-4.8599999999999997E-2"/>
    <n v="0.32450000000000001"/>
    <n v="0.1328"/>
    <s v="2024Q1"/>
    <x v="3"/>
    <x v="0"/>
  </r>
  <r>
    <s v="TXN-101049"/>
    <n v="44769"/>
    <x v="4"/>
    <s v="Energy"/>
    <x v="1"/>
    <s v="USD"/>
    <n v="95052.587200000009"/>
    <n v="77321.5"/>
    <n v="17731.09"/>
    <n v="79803.27"/>
    <n v="27790.62"/>
    <n v="250567.3"/>
    <n v="960"/>
    <n v="0.13"/>
    <n v="0.1865"/>
    <n v="0.1109"/>
    <s v="2022Q3"/>
    <x v="2"/>
    <x v="0"/>
  </r>
  <r>
    <s v="TXN-101050"/>
    <n v="45413"/>
    <x v="1"/>
    <s v="Food &amp; Beverage"/>
    <x v="0"/>
    <s v="USD"/>
    <n v="27171.88"/>
    <n v="23688.84"/>
    <n v="3483.04"/>
    <n v="22652.19"/>
    <n v="77595.929999999993"/>
    <n v="70754.759999999995"/>
    <n v="586"/>
    <n v="9.1999999999999998E-3"/>
    <n v="0.12820000000000001"/>
    <n v="1.0967"/>
    <s v="2024Q2"/>
    <x v="3"/>
    <x v="2"/>
  </r>
  <r>
    <s v="TXN-101051"/>
    <n v="45552"/>
    <x v="1"/>
    <s v="Food &amp; Beverage"/>
    <x v="0"/>
    <s v="USD"/>
    <n v="42212.39"/>
    <n v="27694.03"/>
    <n v="14518.36"/>
    <n v="30310.25"/>
    <n v="17804.650000000001"/>
    <n v="112161.17"/>
    <n v="1207"/>
    <n v="2.7400000000000001E-2"/>
    <n v="0.34389999999999998"/>
    <n v="0.15870000000000001"/>
    <s v="2024Q3"/>
    <x v="3"/>
    <x v="0"/>
  </r>
  <r>
    <s v="TXN-101052"/>
    <n v="45492"/>
    <x v="4"/>
    <s v="Energy"/>
    <x v="2"/>
    <s v="USD"/>
    <n v="60367.94"/>
    <n v="53182.91"/>
    <n v="7185.03"/>
    <n v="23765.75"/>
    <n v="54810.82"/>
    <n v="191201.63"/>
    <n v="591"/>
    <n v="0.14249999999999999"/>
    <n v="0.11899999999999999"/>
    <n v="0.28670000000000001"/>
    <s v="2024Q3"/>
    <x v="3"/>
    <x v="0"/>
  </r>
  <r>
    <s v="TXN-101053"/>
    <n v="46009"/>
    <x v="4"/>
    <s v="Energy"/>
    <x v="1"/>
    <s v="USD"/>
    <n v="154158.22"/>
    <n v="103961.08"/>
    <n v="50197.14"/>
    <n v="35978.980000000003"/>
    <n v="54014.79"/>
    <n v="87252.06"/>
    <n v="927"/>
    <n v="0.11799999999999999"/>
    <n v="0.3256"/>
    <n v="0.61909999999999998"/>
    <s v="2025Q4"/>
    <x v="0"/>
    <x v="2"/>
  </r>
  <r>
    <s v="TXN-101054"/>
    <d v="2022-11-22T00:00:00"/>
    <x v="5"/>
    <s v="Retail"/>
    <x v="0"/>
    <s v="USD"/>
    <n v="34552.879999999997"/>
    <n v="29698.03"/>
    <n v="4854.8500000000004"/>
    <n v="98448.27"/>
    <n v="73577.2"/>
    <n v="138579.53"/>
    <n v="565"/>
    <n v="-2.4400000000000002E-2"/>
    <n v="0.14050000000000001"/>
    <n v="0.53090000000000004"/>
    <s v="2022Q4"/>
    <x v="2"/>
    <x v="1"/>
  </r>
  <r>
    <s v="TXN-101055"/>
    <n v="44951"/>
    <x v="2"/>
    <s v="Healthcare"/>
    <x v="2"/>
    <s v="USD"/>
    <n v="85009.49"/>
    <n v="71885.47"/>
    <n v="13124.02"/>
    <n v="39107.879999999997"/>
    <n v="10099.42"/>
    <n v="77365.740000000005"/>
    <n v="819"/>
    <n v="4.3900000000000002E-2"/>
    <n v="0.15440000000000001"/>
    <n v="0.1305"/>
    <s v="2023Q1"/>
    <x v="1"/>
    <x v="0"/>
  </r>
  <r>
    <s v="TXN-101056"/>
    <n v="45160"/>
    <x v="8"/>
    <s v="Logistics"/>
    <x v="0"/>
    <s v="USD"/>
    <n v="24076.77"/>
    <n v="13822.99"/>
    <n v="10253.780000000001"/>
    <n v="43225.62"/>
    <n v="4860.07"/>
    <n v="94894.720000000001"/>
    <n v="1243"/>
    <n v="-2.9999999999999997E-4"/>
    <n v="0.4259"/>
    <n v="5.1200000000000002E-2"/>
    <s v="2023Q3"/>
    <x v="1"/>
    <x v="0"/>
  </r>
  <r>
    <s v="TXN-101057"/>
    <n v="45833"/>
    <x v="7"/>
    <s v="Manufacturing"/>
    <x v="2"/>
    <s v="USD"/>
    <n v="58530.81"/>
    <n v="40445.4"/>
    <n v="18085.41"/>
    <n v="54804.54"/>
    <n v="92034.37"/>
    <n v="227724.27"/>
    <n v="293"/>
    <n v="-2.4400000000000002E-2"/>
    <n v="0.309"/>
    <n v="0.40410000000000001"/>
    <s v="2025Q2"/>
    <x v="0"/>
    <x v="1"/>
  </r>
  <r>
    <s v="TXN-101058"/>
    <n v="45769"/>
    <x v="11"/>
    <s v="Financial Services"/>
    <x v="0"/>
    <s v="USD"/>
    <n v="69974.990000000005"/>
    <n v="52115.1"/>
    <n v="17859.89"/>
    <n v="27093.47"/>
    <n v="10508.55"/>
    <n v="151980.91"/>
    <n v="664"/>
    <n v="-9.4700000000000006E-2"/>
    <n v="0.25519999999999998"/>
    <n v="6.9099999999999995E-2"/>
    <s v="2025Q2"/>
    <x v="0"/>
    <x v="0"/>
  </r>
  <r>
    <s v="TXN-101059"/>
    <n v="45123"/>
    <x v="8"/>
    <s v="Logistics"/>
    <x v="0"/>
    <s v="USD"/>
    <n v="174439.31"/>
    <n v="120512.68"/>
    <n v="53926.63"/>
    <n v="28811.040000000001"/>
    <n v="58601.7"/>
    <n v="93136.6"/>
    <n v="870"/>
    <n v="-2.0999999999999999E-3"/>
    <n v="0.30909999999999999"/>
    <n v="0.62919999999999998"/>
    <s v="2023Q3"/>
    <x v="1"/>
    <x v="2"/>
  </r>
  <r>
    <s v="TXN-101060"/>
    <n v="45380"/>
    <x v="4"/>
    <s v="Energy"/>
    <x v="0"/>
    <s v="USD"/>
    <n v="90281.84"/>
    <n v="82800.36"/>
    <n v="7481.48"/>
    <n v="46688.63"/>
    <n v="8419.34"/>
    <n v="62382.9"/>
    <n v="388"/>
    <n v="9.0999999999999998E-2"/>
    <n v="8.2900000000000001E-2"/>
    <n v="0.13500000000000001"/>
    <s v="2024Q1"/>
    <x v="3"/>
    <x v="0"/>
  </r>
  <r>
    <s v="TXN-101061"/>
    <n v="45936"/>
    <x v="8"/>
    <s v="Logistics"/>
    <x v="0"/>
    <s v="USD"/>
    <n v="23173.46"/>
    <n v="20870.32"/>
    <n v="2303.14"/>
    <n v="33312.300000000003"/>
    <n v="15422.17"/>
    <n v="90682.240000000005"/>
    <n v="600"/>
    <n v="9.98E-2"/>
    <n v="9.9400000000000002E-2"/>
    <n v="0.1701"/>
    <s v="2025Q4"/>
    <x v="0"/>
    <x v="0"/>
  </r>
  <r>
    <s v="TXN-101062"/>
    <n v="45110"/>
    <x v="3"/>
    <s v="Telecommunications"/>
    <x v="0"/>
    <s v="USD"/>
    <n v="189951.96"/>
    <n v="169696.1"/>
    <n v="20255.86"/>
    <n v="42924.9"/>
    <n v="13757.1"/>
    <n v="67037.919999999998"/>
    <n v="1276"/>
    <n v="5.1000000000000004E-3"/>
    <n v="0.1066"/>
    <n v="0.20519999999999999"/>
    <s v="2023Q3"/>
    <x v="1"/>
    <x v="0"/>
  </r>
  <r>
    <s v="TXN-101063"/>
    <n v="44674"/>
    <x v="6"/>
    <s v="Travel"/>
    <x v="3"/>
    <s v="USD"/>
    <n v="74895.78"/>
    <n v="59513.21"/>
    <n v="15382.57"/>
    <n v="40884.18"/>
    <n v="11255.27"/>
    <n v="59674.53"/>
    <n v="656"/>
    <n v="2.1399999999999999E-2"/>
    <n v="0.2054"/>
    <n v="0.18859999999999999"/>
    <s v="2022Q2"/>
    <x v="2"/>
    <x v="0"/>
  </r>
  <r>
    <s v="TXN-101064"/>
    <n v="45429"/>
    <x v="5"/>
    <s v="Retail"/>
    <x v="1"/>
    <s v="USD"/>
    <n v="85165.203049999996"/>
    <n v="64520.27"/>
    <n v="20644.93"/>
    <n v="1.1499999999999999"/>
    <n v="9650.67"/>
    <n v="69324.92"/>
    <n v="600"/>
    <n v="3.7900000000000003E-2"/>
    <n v="0.2424"/>
    <n v="0.13919999999999999"/>
    <s v="2024Q2"/>
    <x v="3"/>
    <x v="0"/>
  </r>
  <r>
    <s v="TXN-101065"/>
    <n v="45774"/>
    <x v="1"/>
    <s v="Food &amp; Beverage"/>
    <x v="2"/>
    <s v="USD"/>
    <n v="100939.34"/>
    <n v="76500.38"/>
    <n v="24438.959999999999"/>
    <n v="23615.48"/>
    <n v="16507.18"/>
    <n v="68351.22"/>
    <n v="279"/>
    <n v="3.0000000000000001E-3"/>
    <n v="0.24210000000000001"/>
    <n v="0.24149999999999999"/>
    <s v="2025Q2"/>
    <x v="0"/>
    <x v="0"/>
  </r>
  <r>
    <s v="TXN-101066"/>
    <n v="44582"/>
    <x v="1"/>
    <s v="Food &amp; Beverage"/>
    <x v="1"/>
    <s v="USD"/>
    <n v="55814.639450000002"/>
    <n v="48849.26"/>
    <n v="6965.38"/>
    <n v="67953.070000000007"/>
    <n v="105901.68"/>
    <n v="125319.45"/>
    <n v="422"/>
    <n v="7.0800000000000002E-2"/>
    <n v="0.12479999999999999"/>
    <n v="0.84509999999999996"/>
    <s v="2022Q1"/>
    <x v="2"/>
    <x v="2"/>
  </r>
  <r>
    <s v="TXN-101067"/>
    <n v="45094"/>
    <x v="4"/>
    <s v="Energy"/>
    <x v="0"/>
    <s v="USD"/>
    <n v="54134.19"/>
    <n v="40456.379999999997"/>
    <n v="13677.81"/>
    <n v="26504.400000000001"/>
    <n v="37982.11"/>
    <n v="124129.84"/>
    <n v="725"/>
    <n v="-9.0499999999999997E-2"/>
    <n v="0.25269999999999998"/>
    <n v="0.30599999999999999"/>
    <s v="2023Q2"/>
    <x v="1"/>
    <x v="1"/>
  </r>
  <r>
    <s v="TXN-101068"/>
    <d v="2025-08-26T00:00:00"/>
    <x v="5"/>
    <s v="Retail"/>
    <x v="0"/>
    <s v="USD"/>
    <n v="258275.96"/>
    <n v="152735.66"/>
    <n v="105540.3"/>
    <n v="35054.71"/>
    <n v="7680.44"/>
    <n v="116307.29"/>
    <n v="2162"/>
    <n v="-6.4600000000000005E-2"/>
    <n v="0.40860000000000002"/>
    <n v="6.6000000000000003E-2"/>
    <s v="2025Q3"/>
    <x v="0"/>
    <x v="0"/>
  </r>
  <r>
    <s v="TXN-101069"/>
    <d v="2025-03-24T00:00:00"/>
    <x v="5"/>
    <s v="Retail"/>
    <x v="0"/>
    <s v="USD"/>
    <n v="44628.53"/>
    <n v="40840.230000000003"/>
    <n v="3788.3"/>
    <n v="19990.04"/>
    <n v="14878.3"/>
    <n v="64830.1"/>
    <n v="1494"/>
    <n v="2.0799999999999999E-2"/>
    <n v="8.4900000000000003E-2"/>
    <n v="0.22950000000000001"/>
    <s v="2025Q1"/>
    <x v="0"/>
    <x v="0"/>
  </r>
  <r>
    <s v="TXN-101070"/>
    <n v="45086"/>
    <x v="3"/>
    <s v="Telecommunications"/>
    <x v="2"/>
    <s v="USD"/>
    <n v="224420.11"/>
    <n v="183889.54"/>
    <n v="40530.57"/>
    <n v="46457.5"/>
    <n v="52267.45"/>
    <n v="125649.59"/>
    <n v="991"/>
    <n v="8.7400000000000005E-2"/>
    <n v="0.18060000000000001"/>
    <n v="0.41599999999999998"/>
    <s v="2023Q2"/>
    <x v="1"/>
    <x v="1"/>
  </r>
  <r>
    <s v="TXN-101071"/>
    <n v="45314"/>
    <x v="3"/>
    <s v="Telecommunications"/>
    <x v="1"/>
    <s v="USD"/>
    <n v="77176.881550000006"/>
    <n v="67348.490000000005"/>
    <n v="9828.39"/>
    <n v="14754.96"/>
    <n v="27768.73"/>
    <n v="36410.29"/>
    <n v="789"/>
    <n v="-6.4799999999999996E-2"/>
    <n v="0.1273"/>
    <n v="0.76270000000000004"/>
    <s v="2024Q1"/>
    <x v="3"/>
    <x v="2"/>
  </r>
  <r>
    <s v="TXN-101072"/>
    <n v="46009"/>
    <x v="5"/>
    <s v="Retail"/>
    <x v="2"/>
    <s v="USD"/>
    <n v="54622.96"/>
    <n v="34903.96"/>
    <n v="19719"/>
    <n v="24728.77"/>
    <n v="237635.77"/>
    <n v="119150.39"/>
    <n v="1238"/>
    <n v="-4.82E-2"/>
    <n v="0.36099999999999999"/>
    <n v="1.9944"/>
    <s v="2025Q4"/>
    <x v="0"/>
    <x v="2"/>
  </r>
  <r>
    <s v="TXN-101073"/>
    <n v="44869"/>
    <x v="4"/>
    <s v="Energy"/>
    <x v="2"/>
    <s v="USD"/>
    <n v="43947.79"/>
    <n v="37015.79"/>
    <n v="6932"/>
    <n v="126799.7"/>
    <n v="16990.52"/>
    <n v="241925.07"/>
    <n v="1129"/>
    <n v="-4.0000000000000001E-3"/>
    <n v="0.15770000000000001"/>
    <n v="7.0199999999999999E-2"/>
    <s v="2022Q4"/>
    <x v="2"/>
    <x v="0"/>
  </r>
  <r>
    <s v="TXN-101074"/>
    <n v="45288"/>
    <x v="0"/>
    <s v="Real Estate"/>
    <x v="0"/>
    <s v="USD"/>
    <n v="180673.66"/>
    <n v="150955.95000000001"/>
    <n v="29717.71"/>
    <n v="28322.99"/>
    <n v="28350.58"/>
    <n v="139712.1"/>
    <n v="979"/>
    <n v="-5.5399999999999998E-2"/>
    <n v="0.16450000000000001"/>
    <n v="0.2029"/>
    <s v="2023Q4"/>
    <x v="1"/>
    <x v="0"/>
  </r>
  <r>
    <s v="TXN-101075"/>
    <d v="2025-11-21T00:00:00"/>
    <x v="5"/>
    <s v="Retail"/>
    <x v="0"/>
    <s v="USD"/>
    <n v="133759.85"/>
    <n v="106759.81"/>
    <n v="27000.04"/>
    <n v="38463.519999999997"/>
    <n v="43800.09"/>
    <n v="85144.93"/>
    <n v="1039"/>
    <n v="4.5999999999999999E-2"/>
    <n v="0.2019"/>
    <n v="0.51439999999999997"/>
    <s v="2025Q4"/>
    <x v="0"/>
    <x v="1"/>
  </r>
  <r>
    <s v="TXN-101076"/>
    <n v="45753"/>
    <x v="8"/>
    <s v="Logistics"/>
    <x v="2"/>
    <s v="USD"/>
    <n v="181282.53"/>
    <n v="118017.54"/>
    <n v="63264.99"/>
    <n v="40730.92"/>
    <n v="65272.23"/>
    <n v="123218.26"/>
    <n v="826"/>
    <n v="0.14960000000000001"/>
    <n v="0.34899999999999998"/>
    <n v="0.52969999999999995"/>
    <s v="2025Q2"/>
    <x v="0"/>
    <x v="1"/>
  </r>
  <r>
    <s v="TXN-101077"/>
    <d v="2025-03-21T00:00:00"/>
    <x v="5"/>
    <s v="Retail"/>
    <x v="0"/>
    <s v="USD"/>
    <n v="173799.99"/>
    <n v="142315.04"/>
    <n v="31484.95"/>
    <n v="45838.78"/>
    <n v="62864.2"/>
    <n v="171453.11"/>
    <n v="461"/>
    <n v="-0.186"/>
    <n v="0.1812"/>
    <n v="0.36670000000000003"/>
    <s v="2025Q1"/>
    <x v="0"/>
    <x v="1"/>
  </r>
  <r>
    <s v="TXN-101078"/>
    <n v="45864"/>
    <x v="7"/>
    <s v="Manufacturing"/>
    <x v="0"/>
    <s v="USD"/>
    <n v="252974.28"/>
    <n v="219285.88"/>
    <n v="33688.400000000001"/>
    <n v="15892.56"/>
    <n v="8065.36"/>
    <n v="73566.89"/>
    <n v="688"/>
    <n v="3.4799999999999998E-2"/>
    <n v="0.13320000000000001"/>
    <n v="0.1096"/>
    <s v="2025Q3"/>
    <x v="0"/>
    <x v="0"/>
  </r>
  <r>
    <s v="TXN-101079"/>
    <n v="45691"/>
    <x v="5"/>
    <s v="Retail"/>
    <x v="3"/>
    <s v="USD"/>
    <n v="212728.47"/>
    <n v="121379.95"/>
    <n v="91348.52"/>
    <n v="16784.91"/>
    <n v="26855.06"/>
    <n v="43672.62"/>
    <n v="509"/>
    <n v="-6.54E-2"/>
    <n v="0.4294"/>
    <n v="0.6149"/>
    <s v="2025Q1"/>
    <x v="0"/>
    <x v="2"/>
  </r>
  <r>
    <s v="TXN-101080"/>
    <n v="45848"/>
    <x v="2"/>
    <s v="Healthcare"/>
    <x v="1"/>
    <s v="USD"/>
    <n v="250628.74085"/>
    <n v="207982.45"/>
    <n v="42646.29"/>
    <n v="23209.24"/>
    <n v="27992.1"/>
    <n v="236650.13"/>
    <n v="813"/>
    <n v="7.7000000000000002E-3"/>
    <n v="0.17019999999999999"/>
    <n v="0.1183"/>
    <s v="2025Q3"/>
    <x v="0"/>
    <x v="0"/>
  </r>
  <r>
    <s v="TXN-101081"/>
    <n v="44636"/>
    <x v="3"/>
    <s v="Telecommunications"/>
    <x v="0"/>
    <s v="USD"/>
    <n v="110634.83"/>
    <n v="94539.73"/>
    <n v="16095.1"/>
    <n v="23562.51"/>
    <n v="21068.33"/>
    <n v="74913.149999999994"/>
    <n v="886"/>
    <n v="-2.01E-2"/>
    <n v="0.14549999999999999"/>
    <n v="0.28120000000000001"/>
    <s v="2022Q1"/>
    <x v="2"/>
    <x v="0"/>
  </r>
  <r>
    <s v="TXN-101082"/>
    <n v="44778"/>
    <x v="11"/>
    <s v="Financial Services"/>
    <x v="1"/>
    <s v="USD"/>
    <n v="50373.759750000005"/>
    <n v="30736.68"/>
    <n v="19637.080000000002"/>
    <n v="40959.050000000003"/>
    <n v="11813.97"/>
    <n v="90744.41"/>
    <n v="753"/>
    <n v="0.11169999999999999"/>
    <n v="0.38979999999999998"/>
    <n v="0.13020000000000001"/>
    <s v="2022Q3"/>
    <x v="2"/>
    <x v="0"/>
  </r>
  <r>
    <s v="TXN-101083"/>
    <n v="45543"/>
    <x v="7"/>
    <s v="Manufacturing"/>
    <x v="1"/>
    <s v="USD"/>
    <n v="48492.112550000005"/>
    <n v="31358.7"/>
    <n v="17133.41"/>
    <n v="24746.55"/>
    <n v="17695.310000000001"/>
    <n v="212102.55"/>
    <n v="615"/>
    <n v="-1.9900000000000001E-2"/>
    <n v="0.3533"/>
    <n v="8.3400000000000002E-2"/>
    <s v="2024Q3"/>
    <x v="3"/>
    <x v="0"/>
  </r>
  <r>
    <s v="TXN-101084"/>
    <n v="44988"/>
    <x v="10"/>
    <s v="Technology"/>
    <x v="3"/>
    <s v="USD"/>
    <n v="78436.45"/>
    <n v="67292.479999999996"/>
    <n v="11143.97"/>
    <n v="27586.3"/>
    <n v="38793.65"/>
    <n v="144119.69"/>
    <n v="903"/>
    <n v="5.6500000000000002E-2"/>
    <n v="0.1421"/>
    <n v="0.26919999999999999"/>
    <s v="2023Q1"/>
    <x v="1"/>
    <x v="0"/>
  </r>
  <r>
    <s v="TXN-101085"/>
    <n v="44886"/>
    <x v="8"/>
    <s v="Logistics"/>
    <x v="2"/>
    <s v="USD"/>
    <n v="54073.16"/>
    <n v="33665.94"/>
    <n v="20407.22"/>
    <n v="59474.7"/>
    <n v="5523.6"/>
    <n v="333263.65000000002"/>
    <n v="1323"/>
    <n v="-5.2299999999999999E-2"/>
    <n v="0.37740000000000001"/>
    <n v="1.66E-2"/>
    <s v="2022Q4"/>
    <x v="2"/>
    <x v="0"/>
  </r>
  <r>
    <s v="TXN-101086"/>
    <d v="2023-08-30T00:00:00"/>
    <x v="5"/>
    <s v="Retail"/>
    <x v="0"/>
    <s v="USD"/>
    <n v="199317.77"/>
    <n v="121286.68"/>
    <n v="78031.09"/>
    <n v="12162.17"/>
    <n v="23634.19"/>
    <n v="150146.43"/>
    <n v="871"/>
    <n v="7.3200000000000001E-2"/>
    <n v="0.39150000000000001"/>
    <n v="0.15740000000000001"/>
    <s v="2023Q3"/>
    <x v="1"/>
    <x v="0"/>
  </r>
  <r>
    <s v="TXN-101087"/>
    <n v="44633"/>
    <x v="9"/>
    <s v="Media"/>
    <x v="0"/>
    <s v="USD"/>
    <n v="81539.37"/>
    <n v="56960.23"/>
    <n v="24579.14"/>
    <n v="17357.62"/>
    <n v="39015.18"/>
    <n v="74151.47"/>
    <n v="677"/>
    <n v="0.1293"/>
    <n v="0.3014"/>
    <n v="0.5262"/>
    <s v="2022Q1"/>
    <x v="2"/>
    <x v="1"/>
  </r>
  <r>
    <s v="TXN-101088"/>
    <n v="45468"/>
    <x v="3"/>
    <s v="Telecommunications"/>
    <x v="3"/>
    <s v="USD"/>
    <n v="93552.16"/>
    <n v="62424.53"/>
    <n v="31127.63"/>
    <n v="29245.7"/>
    <n v="16307.52"/>
    <n v="100388.42"/>
    <n v="1274"/>
    <n v="-4.4900000000000002E-2"/>
    <n v="0.3327"/>
    <n v="0.16239999999999999"/>
    <s v="2024Q2"/>
    <x v="3"/>
    <x v="0"/>
  </r>
  <r>
    <s v="TXN-101089"/>
    <n v="45947"/>
    <x v="2"/>
    <s v="Healthcare"/>
    <x v="2"/>
    <s v="USD"/>
    <n v="66431.02"/>
    <n v="60606.47"/>
    <n v="5824.55"/>
    <n v="69538.720000000001"/>
    <n v="24910.14"/>
    <n v="142246.07999999999"/>
    <n v="1143"/>
    <n v="-8.3699999999999997E-2"/>
    <n v="8.77E-2"/>
    <n v="0.17510000000000001"/>
    <s v="2025Q4"/>
    <x v="0"/>
    <x v="0"/>
  </r>
  <r>
    <s v="TXN-101090"/>
    <n v="45067"/>
    <x v="0"/>
    <s v="Real Estate"/>
    <x v="0"/>
    <s v="USD"/>
    <n v="62219.07"/>
    <n v="50460.33"/>
    <n v="11758.74"/>
    <n v="50156.5"/>
    <n v="60949.33"/>
    <n v="143079.19"/>
    <n v="936"/>
    <n v="-0.13189999999999999"/>
    <n v="0.189"/>
    <n v="0.42599999999999999"/>
    <s v="2023Q2"/>
    <x v="1"/>
    <x v="1"/>
  </r>
  <r>
    <s v="TXN-101091"/>
    <n v="45424"/>
    <x v="3"/>
    <s v="Telecommunications"/>
    <x v="2"/>
    <s v="USD"/>
    <n v="21853.37"/>
    <n v="16081.62"/>
    <n v="5771.75"/>
    <n v="23031.41"/>
    <n v="70099.83"/>
    <n v="57111.16"/>
    <n v="1436"/>
    <n v="1.9099999999999999E-2"/>
    <n v="0.2641"/>
    <n v="1.2274"/>
    <s v="2024Q2"/>
    <x v="3"/>
    <x v="2"/>
  </r>
  <r>
    <s v="TXN-101092"/>
    <n v="44628"/>
    <x v="6"/>
    <s v="Travel"/>
    <x v="2"/>
    <s v="USD"/>
    <n v="44300.18"/>
    <n v="27590.7"/>
    <n v="16709.48"/>
    <n v="52471.81"/>
    <n v="16365.25"/>
    <n v="344654.84"/>
    <n v="1745"/>
    <n v="6.3E-2"/>
    <n v="0.37719999999999998"/>
    <n v="4.7500000000000001E-2"/>
    <s v="2022Q1"/>
    <x v="2"/>
    <x v="0"/>
  </r>
  <r>
    <s v="TXN-101093"/>
    <n v="44810"/>
    <x v="5"/>
    <s v="Retail"/>
    <x v="3"/>
    <s v="USD"/>
    <n v="57295.81"/>
    <n v="45099.77"/>
    <n v="12196.04"/>
    <n v="27450.77"/>
    <n v="57257.08"/>
    <n v="89838.74"/>
    <n v="929"/>
    <n v="0.14319999999999999"/>
    <n v="0.21290000000000001"/>
    <n v="0.63729999999999998"/>
    <s v="2022Q3"/>
    <x v="2"/>
    <x v="2"/>
  </r>
  <r>
    <s v="TXN-101094"/>
    <n v="45557"/>
    <x v="6"/>
    <s v="Travel"/>
    <x v="1"/>
    <s v="USD"/>
    <n v="93857.012549999999"/>
    <n v="84692.02"/>
    <n v="9164.99"/>
    <n v="18362.740000000002"/>
    <n v="41306.99"/>
    <n v="209236.83"/>
    <n v="1166"/>
    <n v="2.4899999999999999E-2"/>
    <n v="9.7600000000000006E-2"/>
    <n v="0.19739999999999999"/>
    <s v="2024Q3"/>
    <x v="3"/>
    <x v="0"/>
  </r>
  <r>
    <s v="TXN-101095"/>
    <n v="44771"/>
    <x v="8"/>
    <s v="Logistics"/>
    <x v="0"/>
    <s v="USD"/>
    <n v="268514.90000000002"/>
    <n v="244300.03"/>
    <n v="24214.87"/>
    <n v="61650.29"/>
    <n v="24164.69"/>
    <n v="96915.15"/>
    <n v="839"/>
    <n v="-0.1125"/>
    <n v="9.0200000000000002E-2"/>
    <n v="0.24929999999999999"/>
    <s v="2022Q3"/>
    <x v="2"/>
    <x v="0"/>
  </r>
  <r>
    <s v="TXN-101096"/>
    <n v="45315"/>
    <x v="0"/>
    <s v="Real Estate"/>
    <x v="0"/>
    <s v="USD"/>
    <n v="252628.98"/>
    <n v="141972.16"/>
    <n v="110656.82"/>
    <n v="20776.84"/>
    <n v="78325.25"/>
    <n v="319296.96000000002"/>
    <n v="541"/>
    <n v="-3.3300000000000003E-2"/>
    <n v="0.438"/>
    <n v="0.24529999999999999"/>
    <s v="2024Q1"/>
    <x v="3"/>
    <x v="0"/>
  </r>
  <r>
    <s v="TXN-101097"/>
    <n v="45746"/>
    <x v="2"/>
    <s v="Healthcare"/>
    <x v="2"/>
    <s v="USD"/>
    <n v="267958.39"/>
    <n v="201832.41"/>
    <n v="66125.98"/>
    <n v="75005.86"/>
    <n v="12863.11"/>
    <n v="107391.16"/>
    <n v="525"/>
    <n v="4.3099999999999999E-2"/>
    <n v="0.24679999999999999"/>
    <n v="0.1198"/>
    <s v="2025Q1"/>
    <x v="0"/>
    <x v="0"/>
  </r>
  <r>
    <s v="TXN-101098"/>
    <n v="45621"/>
    <x v="9"/>
    <s v="Media"/>
    <x v="2"/>
    <s v="USD"/>
    <n v="66572.97"/>
    <n v="39538.269999999997"/>
    <n v="27034.7"/>
    <n v="24244.78"/>
    <n v="113617.96"/>
    <n v="60681.18"/>
    <n v="1270"/>
    <n v="-2.4899999999999999E-2"/>
    <n v="0.40610000000000002"/>
    <n v="1.8724000000000001"/>
    <s v="2024Q4"/>
    <x v="3"/>
    <x v="2"/>
  </r>
  <r>
    <s v="TXN-101099"/>
    <n v="45842"/>
    <x v="2"/>
    <s v="Healthcare"/>
    <x v="1"/>
    <s v="USD"/>
    <n v="93945.463799999998"/>
    <n v="82800.31"/>
    <n v="11145.16"/>
    <n v="48734.13"/>
    <n v="17452.310000000001"/>
    <n v="76382.45"/>
    <n v="730"/>
    <n v="0.1249"/>
    <n v="0.1186"/>
    <n v="0.22850000000000001"/>
    <s v="2025Q3"/>
    <x v="0"/>
    <x v="0"/>
  </r>
  <r>
    <s v="TXN-101100"/>
    <n v="45148"/>
    <x v="6"/>
    <s v="Travel"/>
    <x v="0"/>
    <s v="USD"/>
    <n v="314301.68"/>
    <n v="286127.06"/>
    <n v="28174.62"/>
    <n v="15320.98"/>
    <n v="41967.92"/>
    <n v="65839.960000000006"/>
    <n v="739"/>
    <n v="0.16059999999999999"/>
    <n v="8.9599999999999999E-2"/>
    <n v="0.63739999999999997"/>
    <s v="2023Q3"/>
    <x v="1"/>
    <x v="2"/>
  </r>
  <r>
    <s v="TXN-101101"/>
    <n v="44746"/>
    <x v="8"/>
    <s v="Logistics"/>
    <x v="0"/>
    <s v="USD"/>
    <n v="50337.66"/>
    <n v="29809.89"/>
    <n v="20527.77"/>
    <n v="25976.69"/>
    <n v="71477.56"/>
    <n v="61188.14"/>
    <n v="612"/>
    <n v="2.7300000000000001E-2"/>
    <n v="0.4078"/>
    <n v="1.1681999999999999"/>
    <s v="2022Q3"/>
    <x v="2"/>
    <x v="2"/>
  </r>
  <r>
    <s v="TXN-101102"/>
    <n v="45435"/>
    <x v="2"/>
    <s v="Healthcare"/>
    <x v="2"/>
    <s v="USD"/>
    <n v="77633.31"/>
    <n v="47730.1"/>
    <n v="29903.21"/>
    <n v="39114.65"/>
    <n v="151006.73000000001"/>
    <n v="84117.41"/>
    <n v="758"/>
    <n v="-3.2099999999999997E-2"/>
    <n v="0.38519999999999999"/>
    <n v="1.7951999999999999"/>
    <s v="2024Q2"/>
    <x v="3"/>
    <x v="2"/>
  </r>
  <r>
    <s v="TXN-101103"/>
    <n v="45720"/>
    <x v="5"/>
    <s v="Retail"/>
    <x v="1"/>
    <s v="USD"/>
    <n v="108953.63145"/>
    <n v="83956.52"/>
    <n v="24997.11"/>
    <n v="20816.86"/>
    <n v="26591.32"/>
    <n v="60861.440000000002"/>
    <n v="759"/>
    <n v="-6.8500000000000005E-2"/>
    <n v="0.22939999999999999"/>
    <n v="0.43690000000000001"/>
    <s v="2025Q1"/>
    <x v="0"/>
    <x v="1"/>
  </r>
  <r>
    <s v="TXN-101104"/>
    <n v="45855"/>
    <x v="5"/>
    <s v="Retail"/>
    <x v="3"/>
    <s v="USD"/>
    <n v="46623.14"/>
    <n v="36235.11"/>
    <n v="10388.030000000001"/>
    <n v="14265.09"/>
    <n v="37277.75"/>
    <n v="106837.8"/>
    <n v="355"/>
    <n v="6.9900000000000004E-2"/>
    <n v="0.2228"/>
    <n v="0.34889999999999999"/>
    <s v="2025Q3"/>
    <x v="0"/>
    <x v="1"/>
  </r>
  <r>
    <s v="TXN-101105"/>
    <n v="45904"/>
    <x v="10"/>
    <s v="Technology"/>
    <x v="2"/>
    <s v="USD"/>
    <n v="165053.53"/>
    <n v="93099.96"/>
    <n v="71953.570000000007"/>
    <n v="72803.47"/>
    <n v="20252.66"/>
    <n v="451907.03"/>
    <n v="780"/>
    <n v="-3.1300000000000001E-2"/>
    <n v="0.43590000000000001"/>
    <n v="4.48E-2"/>
    <s v="2025Q3"/>
    <x v="0"/>
    <x v="0"/>
  </r>
  <r>
    <s v="TXN-101106"/>
    <n v="45387"/>
    <x v="10"/>
    <s v="Technology"/>
    <x v="1"/>
    <s v="USD"/>
    <n v="191139.91090000002"/>
    <n v="170461.65"/>
    <n v="20678.259999999998"/>
    <n v="31670.6"/>
    <n v="74104.61"/>
    <n v="129636.92"/>
    <n v="685"/>
    <n v="-4.7300000000000002E-2"/>
    <n v="0.1082"/>
    <n v="0.5716"/>
    <s v="2024Q2"/>
    <x v="3"/>
    <x v="1"/>
  </r>
  <r>
    <s v="TXN-101107"/>
    <n v="45077"/>
    <x v="10"/>
    <s v="Technology"/>
    <x v="1"/>
    <s v="USD"/>
    <n v="203392.38415"/>
    <n v="124028.25"/>
    <n v="79364.13"/>
    <n v="32146.959999999999"/>
    <n v="69405.3"/>
    <n v="60614.83"/>
    <n v="1425"/>
    <n v="-3.8600000000000002E-2"/>
    <n v="0.39019999999999999"/>
    <n v="1.145"/>
    <s v="2023Q2"/>
    <x v="1"/>
    <x v="2"/>
  </r>
  <r>
    <s v="TXN-101108"/>
    <n v="45666"/>
    <x v="1"/>
    <s v="Food &amp; Beverage"/>
    <x v="0"/>
    <s v="USD"/>
    <n v="22319.73"/>
    <n v="14196.69"/>
    <n v="8123.04"/>
    <n v="66276.44"/>
    <n v="31193.66"/>
    <n v="428924.37"/>
    <n v="608"/>
    <n v="0.16300000000000001"/>
    <n v="0.3639"/>
    <n v="7.2700000000000001E-2"/>
    <s v="2025Q1"/>
    <x v="0"/>
    <x v="0"/>
  </r>
  <r>
    <s v="TXN-101109"/>
    <n v="45074"/>
    <x v="8"/>
    <s v="Logistics"/>
    <x v="2"/>
    <s v="USD"/>
    <s v="null"/>
    <n v="12540.18"/>
    <s v="null"/>
    <n v="49257.09"/>
    <n v="12726.4"/>
    <n v="105732.57"/>
    <n v="541"/>
    <n v="-0.1045"/>
    <s v="null"/>
    <n v="0.12039999999999999"/>
    <s v="2023Q2"/>
    <x v="1"/>
    <x v="0"/>
  </r>
  <r>
    <s v="TXN-101110"/>
    <n v="45282"/>
    <x v="11"/>
    <s v="Financial Services"/>
    <x v="1"/>
    <s v="USD"/>
    <n v="64490.086900000002"/>
    <n v="40947.800000000003"/>
    <n v="23542.29"/>
    <n v="74398.37"/>
    <n v="20192.82"/>
    <n v="107653.17"/>
    <n v="1849"/>
    <n v="0.1163"/>
    <n v="0.36509999999999998"/>
    <n v="0.18759999999999999"/>
    <s v="2023Q4"/>
    <x v="1"/>
    <x v="0"/>
  </r>
  <r>
    <s v="TXN-101111"/>
    <d v="2025-08-08T00:00:00"/>
    <x v="5"/>
    <s v="Retail"/>
    <x v="0"/>
    <s v="USD"/>
    <n v="151786.13"/>
    <n v="127071.03"/>
    <n v="24715.1"/>
    <n v="52780.44"/>
    <n v="83897.97"/>
    <n v="120675.1"/>
    <n v="425"/>
    <n v="7.4300000000000005E-2"/>
    <n v="0.1628"/>
    <n v="0.69520000000000004"/>
    <s v="2025Q3"/>
    <x v="0"/>
    <x v="2"/>
  </r>
  <r>
    <s v="TXN-101112"/>
    <n v="44989"/>
    <x v="4"/>
    <s v="Energy"/>
    <x v="1"/>
    <s v="USD"/>
    <n v="65459.867550000003"/>
    <n v="53936.82"/>
    <n v="11523.05"/>
    <n v="12755.69"/>
    <n v="17015.48"/>
    <n v="76739.5"/>
    <n v="1107"/>
    <n v="-2.98E-2"/>
    <n v="0.17599999999999999"/>
    <n v="0.22170000000000001"/>
    <s v="2023Q1"/>
    <x v="1"/>
    <x v="0"/>
  </r>
  <r>
    <s v="TXN-101113"/>
    <n v="45978"/>
    <x v="5"/>
    <s v="Retail"/>
    <x v="2"/>
    <s v="USD"/>
    <n v="82588"/>
    <n v="55498.6"/>
    <n v="27089.4"/>
    <n v="43126.69"/>
    <n v="86071.58"/>
    <n v="79638.03"/>
    <n v="1887"/>
    <n v="8.3199999999999996E-2"/>
    <n v="0.32800000000000001"/>
    <n v="1.0808"/>
    <s v="2025Q4"/>
    <x v="0"/>
    <x v="2"/>
  </r>
  <r>
    <s v="TXN-101114"/>
    <n v="45728"/>
    <x v="0"/>
    <s v="Real Estate"/>
    <x v="0"/>
    <s v="USD"/>
    <n v="126320.14"/>
    <n v="115548.26"/>
    <n v="10771.88"/>
    <n v="82754.63"/>
    <n v="38843.54"/>
    <n v="104639.23"/>
    <n v="667"/>
    <n v="9.5899999999999999E-2"/>
    <n v="8.5300000000000001E-2"/>
    <n v="0.37119999999999997"/>
    <s v="2025Q1"/>
    <x v="0"/>
    <x v="1"/>
  </r>
  <r>
    <s v="TXN-101115"/>
    <n v="44763"/>
    <x v="2"/>
    <s v="Healthcare"/>
    <x v="0"/>
    <s v="USD"/>
    <n v="81337.460000000006"/>
    <n v="58874.23"/>
    <n v="22463.23"/>
    <n v="32175.84"/>
    <n v="39647.68"/>
    <n v="79921.87"/>
    <s v="null"/>
    <n v="-7.1000000000000004E-3"/>
    <n v="0.2762"/>
    <n v="0.49609999999999999"/>
    <s v="2022Q3"/>
    <x v="2"/>
    <x v="1"/>
  </r>
  <r>
    <s v="TXN-101116"/>
    <n v="45014"/>
    <x v="2"/>
    <s v="Logistics"/>
    <x v="3"/>
    <s v="USD"/>
    <n v="79264.009999999995"/>
    <n v="53698.65"/>
    <n v="25565.360000000001"/>
    <n v="50537.599999999999"/>
    <n v="48908.82"/>
    <n v="121618.93"/>
    <n v="914"/>
    <n v="-0.1236"/>
    <n v="0.32250000000000001"/>
    <n v="0.40210000000000001"/>
    <s v="2023Q1"/>
    <x v="1"/>
    <x v="1"/>
  </r>
  <r>
    <s v="TXN-101117"/>
    <n v="45894"/>
    <x v="9"/>
    <s v="Media"/>
    <x v="1"/>
    <s v="USD"/>
    <n v="54020.493150000002"/>
    <n v="29958.880000000001"/>
    <n v="24061.61"/>
    <n v="7970.22"/>
    <n v="14922.18"/>
    <n v="20155.080000000002"/>
    <n v="841"/>
    <n v="-1.0699999999999999E-2"/>
    <n v="0.44540000000000002"/>
    <n v="0.74039999999999995"/>
    <s v="2025Q3"/>
    <x v="0"/>
    <x v="2"/>
  </r>
  <r>
    <s v="TXN-101118"/>
    <n v="45928"/>
    <x v="2"/>
    <s v="Healthcare"/>
    <x v="2"/>
    <s v="USD"/>
    <n v="131868.66"/>
    <n v="92474.36"/>
    <n v="39394.300000000003"/>
    <n v="47180.15"/>
    <n v="12300.85"/>
    <n v="143120.57999999999"/>
    <n v="877"/>
    <n v="2.1999999999999999E-2"/>
    <n v="0.29870000000000002"/>
    <n v="8.5900000000000004E-2"/>
    <s v="2025Q3"/>
    <x v="0"/>
    <x v="0"/>
  </r>
  <r>
    <s v="TXN-101119"/>
    <n v="44722"/>
    <x v="0"/>
    <s v="Real Estate"/>
    <x v="2"/>
    <s v="USD"/>
    <n v="42478.3"/>
    <n v="23452.07"/>
    <n v="19026.23"/>
    <n v="41417.760000000002"/>
    <n v="24014.03"/>
    <n v="111587.43"/>
    <n v="1172"/>
    <n v="1.46E-2"/>
    <n v="0.44790000000000002"/>
    <n v="0.2152"/>
    <s v="2022Q2"/>
    <x v="2"/>
    <x v="0"/>
  </r>
  <r>
    <s v="TXN-101120"/>
    <n v="45873"/>
    <x v="4"/>
    <s v="Energy"/>
    <x v="1"/>
    <s v="USD"/>
    <n v="77712.684299999994"/>
    <n v="65264.11"/>
    <n v="12448.58"/>
    <n v="105022.74"/>
    <n v="8758.85"/>
    <n v="154570.32"/>
    <n v="698"/>
    <n v="-7.1999999999999998E-3"/>
    <n v="0.16020000000000001"/>
    <n v="5.67E-2"/>
    <s v="2025Q3"/>
    <x v="0"/>
    <x v="0"/>
  </r>
  <r>
    <s v="TXN-101121"/>
    <n v="45545"/>
    <x v="3"/>
    <s v="Telecommunications"/>
    <x v="2"/>
    <s v="USD"/>
    <n v="59079.02"/>
    <n v="49215.83"/>
    <n v="9863.19"/>
    <n v="80943.23"/>
    <n v="28905.57"/>
    <n v="174586.87"/>
    <n v="1380"/>
    <n v="0.121"/>
    <n v="0.16689999999999999"/>
    <n v="0.1656"/>
    <s v="2024Q3"/>
    <x v="3"/>
    <x v="0"/>
  </r>
  <r>
    <s v="TXN-101122"/>
    <n v="44682"/>
    <x v="0"/>
    <s v="Real Estate"/>
    <x v="0"/>
    <s v="USD"/>
    <n v="5712.66"/>
    <n v="4106.0200000000004"/>
    <n v="1606.64"/>
    <n v="40080.76"/>
    <n v="45397.81"/>
    <n v="74121.759999999995"/>
    <n v="1158"/>
    <n v="5.4999999999999997E-3"/>
    <n v="0.28120000000000001"/>
    <n v="0.61250000000000004"/>
    <s v="2022Q2"/>
    <x v="2"/>
    <x v="2"/>
  </r>
  <r>
    <s v="TXN-101123"/>
    <n v="45124"/>
    <x v="11"/>
    <s v="Financial Services"/>
    <x v="1"/>
    <s v="USD"/>
    <n v="93690.50665000001"/>
    <n v="81732.88"/>
    <n v="11957.62"/>
    <n v="52136.34"/>
    <n v="21359.73"/>
    <n v="205261.6"/>
    <n v="544"/>
    <n v="3.4200000000000001E-2"/>
    <n v="0.12759999999999999"/>
    <n v="0.1041"/>
    <s v="2023Q3"/>
    <x v="1"/>
    <x v="0"/>
  </r>
  <r>
    <s v="TXN-101124"/>
    <n v="44770"/>
    <x v="8"/>
    <s v="Logistics"/>
    <x v="1"/>
    <s v="USD"/>
    <n v="16786.238150000001"/>
    <n v="10901.91"/>
    <n v="5884.33"/>
    <n v="65018.8"/>
    <n v="59489.23"/>
    <n v="153177.39000000001"/>
    <n v="973"/>
    <n v="-6.1699999999999998E-2"/>
    <n v="0.35049999999999998"/>
    <n v="0.38840000000000002"/>
    <s v="2022Q3"/>
    <x v="2"/>
    <x v="1"/>
  </r>
  <r>
    <s v="TXN-101125"/>
    <d v="2023-12-02T00:00:00"/>
    <x v="5"/>
    <s v="Retail"/>
    <x v="0"/>
    <s v="USD"/>
    <n v="70722.5"/>
    <n v="42834.21"/>
    <n v="27888.29"/>
    <n v="42734.07"/>
    <n v="130498.74"/>
    <n v="87922.01"/>
    <n v="836"/>
    <n v="0.1043"/>
    <n v="0.39429999999999998"/>
    <n v="1.4843"/>
    <s v="2023Q4"/>
    <x v="1"/>
    <x v="2"/>
  </r>
  <r>
    <s v="TXN-101126"/>
    <n v="45199"/>
    <x v="5"/>
    <s v="Retail"/>
    <x v="1"/>
    <s v="USD"/>
    <n v="29811.002450000004"/>
    <n v="26928.55"/>
    <n v="2882.46"/>
    <n v="49753.54"/>
    <n v="5870.51"/>
    <n v="108542.26"/>
    <n v="696"/>
    <n v="-4.2599999999999999E-2"/>
    <n v="9.6699999999999994E-2"/>
    <n v="5.4100000000000002E-2"/>
    <s v="2023Q3"/>
    <x v="1"/>
    <x v="0"/>
  </r>
  <r>
    <s v="TXN-101127"/>
    <n v="44949"/>
    <x v="8"/>
    <s v="Logistics"/>
    <x v="2"/>
    <s v="USD"/>
    <n v="804740.76"/>
    <n v="39889.74"/>
    <n v="764851.02"/>
    <n v="37943.01"/>
    <n v="215829.76000000001"/>
    <n v="88702.98"/>
    <n v="1247"/>
    <n v="-1.78E-2"/>
    <n v="0.95040000000000002"/>
    <n v="2.4331999999999998"/>
    <s v="2023Q1"/>
    <x v="1"/>
    <x v="2"/>
  </r>
  <r>
    <s v="TXN-101128"/>
    <n v="45774"/>
    <x v="10"/>
    <s v="Technology"/>
    <x v="2"/>
    <s v="USD"/>
    <n v="88295.09"/>
    <n v="60267.65"/>
    <n v="28027.439999999999"/>
    <n v="88336.31"/>
    <n v="32226.13"/>
    <n v="132476.35"/>
    <n v="1545"/>
    <n v="5.62E-2"/>
    <n v="0.31740000000000002"/>
    <n v="0.24329999999999999"/>
    <s v="2025Q2"/>
    <x v="0"/>
    <x v="0"/>
  </r>
  <r>
    <s v="TXN-101129"/>
    <n v="45447"/>
    <x v="0"/>
    <s v="Real Estate"/>
    <x v="2"/>
    <s v="USD"/>
    <n v="30858.59"/>
    <n v="25611.88"/>
    <n v="5246.71"/>
    <n v="14599.09"/>
    <n v="8429.49"/>
    <n v="64904.83"/>
    <n v="1076"/>
    <n v="-1.5100000000000001E-2"/>
    <n v="0.17"/>
    <n v="0.12989999999999999"/>
    <s v="2024Q2"/>
    <x v="3"/>
    <x v="0"/>
  </r>
  <r>
    <s v="TXN-101130"/>
    <n v="45522"/>
    <x v="9"/>
    <s v="Media"/>
    <x v="0"/>
    <s v="USD"/>
    <n v="51242.54"/>
    <n v="33342.04"/>
    <n v="17900.5"/>
    <n v="13684.93"/>
    <n v="19533.78"/>
    <n v="101073.02"/>
    <n v="931"/>
    <n v="-1.1000000000000001E-3"/>
    <n v="0.3493"/>
    <n v="0.1933"/>
    <s v="2024Q3"/>
    <x v="3"/>
    <x v="0"/>
  </r>
  <r>
    <s v="TXN-101131"/>
    <n v="45300"/>
    <x v="11"/>
    <s v="Financial Services"/>
    <x v="1"/>
    <s v="USD"/>
    <n v="100426.56455"/>
    <n v="67252.47"/>
    <n v="33174.1"/>
    <n v="84905.25"/>
    <n v="141551.85"/>
    <n v="161908.5"/>
    <n v="996"/>
    <n v="-4.8500000000000001E-2"/>
    <n v="0.33029999999999998"/>
    <n v="0.87429999999999997"/>
    <s v="2024Q1"/>
    <x v="3"/>
    <x v="2"/>
  </r>
  <r>
    <s v="TXN-101132"/>
    <n v="44901"/>
    <x v="4"/>
    <s v="Energy"/>
    <x v="3"/>
    <s v="USD"/>
    <n v="152613.45000000001"/>
    <n v="112837.56"/>
    <n v="39775.89"/>
    <n v="44900.32"/>
    <n v="12366.57"/>
    <n v="183652.34"/>
    <n v="1452"/>
    <n v="-8.2799999999999999E-2"/>
    <n v="0.2606"/>
    <n v="6.7299999999999999E-2"/>
    <s v="2022Q4"/>
    <x v="2"/>
    <x v="0"/>
  </r>
  <r>
    <s v="TXN-101133"/>
    <n v="45512"/>
    <x v="8"/>
    <s v="Logistics"/>
    <x v="1"/>
    <s v="USD"/>
    <n v="74665.163750000007"/>
    <n v="47986.55"/>
    <n v="26678.61"/>
    <n v="12920.65"/>
    <n v="26818.57"/>
    <n v="51937.74"/>
    <n v="475"/>
    <n v="-4.8000000000000001E-2"/>
    <n v="0.35730000000000001"/>
    <n v="0.51639999999999997"/>
    <s v="2024Q3"/>
    <x v="3"/>
    <x v="1"/>
  </r>
  <r>
    <s v="TXN-101134"/>
    <n v="45560"/>
    <x v="6"/>
    <s v="Travel"/>
    <x v="1"/>
    <s v="USD"/>
    <n v="143529.67734999998"/>
    <n v="97088.15"/>
    <n v="46441.53"/>
    <n v="45865.45"/>
    <n v="65999.039999999994"/>
    <n v="110173.16"/>
    <n v="1078"/>
    <n v="-6.7999999999999996E-3"/>
    <n v="0.3236"/>
    <n v="0.59899999999999998"/>
    <s v="2024Q3"/>
    <x v="3"/>
    <x v="1"/>
  </r>
  <r>
    <s v="TXN-101135"/>
    <n v="44911"/>
    <x v="3"/>
    <s v="Telecommunications"/>
    <x v="2"/>
    <s v="USD"/>
    <n v="35247.879999999997"/>
    <n v="23701.41"/>
    <n v="11546.47"/>
    <n v="19482.43"/>
    <n v="24381.56"/>
    <n v="96462.48"/>
    <n v="365"/>
    <n v="0.1116"/>
    <n v="0.3276"/>
    <n v="0.25280000000000002"/>
    <s v="2022Q4"/>
    <x v="2"/>
    <x v="0"/>
  </r>
  <r>
    <s v="TXN-101136"/>
    <n v="44806"/>
    <x v="4"/>
    <s v="Energy"/>
    <x v="1"/>
    <s v="USD"/>
    <n v="180453.93505"/>
    <n v="102553.68"/>
    <n v="77900.259999999995"/>
    <n v="41075.040000000001"/>
    <n v="39795.46"/>
    <n v="161666.31"/>
    <n v="1776"/>
    <n v="0.1154"/>
    <n v="0.43169999999999997"/>
    <n v="0.2462"/>
    <s v="2022Q3"/>
    <x v="2"/>
    <x v="0"/>
  </r>
  <r>
    <s v="TXN-101137"/>
    <n v="44854"/>
    <x v="10"/>
    <s v="Technology"/>
    <x v="2"/>
    <s v="USD"/>
    <n v="48496.05"/>
    <n v="35106.660000000003"/>
    <n v="13389.39"/>
    <n v="65106.85"/>
    <n v="50254.91"/>
    <n v="74051.839999999997"/>
    <n v="1388"/>
    <n v="-9.6299999999999997E-2"/>
    <n v="0.27610000000000001"/>
    <n v="0.67859999999999998"/>
    <s v="2022Q4"/>
    <x v="2"/>
    <x v="2"/>
  </r>
  <r>
    <s v="TXN-101138"/>
    <n v="45084"/>
    <x v="1"/>
    <s v="Food &amp; Beverage"/>
    <x v="0"/>
    <s v="USD"/>
    <n v="140903.28"/>
    <n v="97438.23"/>
    <n v="43465.05"/>
    <n v="18602.59"/>
    <n v="107320.36"/>
    <n v="49326.73"/>
    <n v="1204"/>
    <n v="9.35E-2"/>
    <n v="0.3085"/>
    <n v="2.1757"/>
    <s v="2023Q2"/>
    <x v="1"/>
    <x v="2"/>
  </r>
  <r>
    <s v="TXN-101139"/>
    <n v="44930"/>
    <x v="7"/>
    <s v="Manufacturing"/>
    <x v="2"/>
    <s v="USD"/>
    <n v="37449.660000000003"/>
    <n v="34000.85"/>
    <n v="3448.81"/>
    <n v="38516.9"/>
    <n v="25663.96"/>
    <n v="100540.84"/>
    <n v="1001"/>
    <n v="-6.2600000000000003E-2"/>
    <n v="9.2100000000000001E-2"/>
    <n v="0.25530000000000003"/>
    <s v="2023Q1"/>
    <x v="1"/>
    <x v="0"/>
  </r>
  <r>
    <s v="TXN-101140"/>
    <n v="45740"/>
    <x v="9"/>
    <s v="Media"/>
    <x v="1"/>
    <s v="USD"/>
    <n v="47439.422449999998"/>
    <n v="28906.14"/>
    <n v="18533.28"/>
    <n v="41946.98"/>
    <n v="26002.29"/>
    <n v="81307.740000000005"/>
    <n v="981"/>
    <n v="-3.7100000000000001E-2"/>
    <n v="0.39069999999999999"/>
    <n v="0.31979999999999997"/>
    <s v="2025Q1"/>
    <x v="0"/>
    <x v="1"/>
  </r>
  <r>
    <s v="TXN-101141"/>
    <n v="45854"/>
    <x v="11"/>
    <s v="Financial Services"/>
    <x v="1"/>
    <s v="USD"/>
    <n v="125972.5336"/>
    <n v="99054.56"/>
    <n v="26917.98"/>
    <n v="48311.16"/>
    <n v="11215.3"/>
    <n v="64662.01"/>
    <n v="695"/>
    <n v="0.14510000000000001"/>
    <n v="0.2137"/>
    <n v="0.1734"/>
    <s v="2025Q3"/>
    <x v="0"/>
    <x v="0"/>
  </r>
  <r>
    <s v="TXN-101142"/>
    <n v="44594"/>
    <x v="0"/>
    <s v="Real Estate"/>
    <x v="0"/>
    <s v="USD"/>
    <n v="64509.13"/>
    <n v="46716.31"/>
    <n v="17792.82"/>
    <n v="9438.19"/>
    <n v="68880.350000000006"/>
    <n v="53499.839999999997"/>
    <n v="2412"/>
    <n v="-6.7599999999999993E-2"/>
    <n v="0.27579999999999999"/>
    <n v="1.2875000000000001"/>
    <s v="2022Q1"/>
    <x v="2"/>
    <x v="2"/>
  </r>
  <r>
    <s v="TXN-101143"/>
    <n v="45351"/>
    <x v="5"/>
    <s v="Retail"/>
    <x v="3"/>
    <s v="USD"/>
    <n v="59455.7"/>
    <n v="33470.199999999997"/>
    <n v="25985.5"/>
    <n v="47975.3"/>
    <n v="13202.01"/>
    <n v="77102.14"/>
    <n v="1006"/>
    <n v="6.2300000000000001E-2"/>
    <n v="0.43709999999999999"/>
    <n v="0.17119999999999999"/>
    <s v="2024Q1"/>
    <x v="3"/>
    <x v="0"/>
  </r>
  <r>
    <s v="TXN-101144"/>
    <n v="44582"/>
    <x v="10"/>
    <s v="Technology"/>
    <x v="0"/>
    <s v="USD"/>
    <n v="94345.87"/>
    <n v="77562.039999999994"/>
    <n v="16783.830000000002"/>
    <n v="15927.17"/>
    <n v="16220.4"/>
    <n v="44384.76"/>
    <n v="657"/>
    <n v="-8.5500000000000007E-2"/>
    <n v="0.1779"/>
    <n v="0.3654"/>
    <s v="2022Q1"/>
    <x v="2"/>
    <x v="1"/>
  </r>
  <r>
    <s v="TXN-101145"/>
    <n v="45366"/>
    <x v="5"/>
    <s v="Retail"/>
    <x v="1"/>
    <s v="USD"/>
    <n v="79940.155849999996"/>
    <n v="44820.65"/>
    <n v="35119.51"/>
    <n v="125397.17"/>
    <n v="32406.41"/>
    <n v="165097.39000000001"/>
    <n v="595"/>
    <n v="6.2600000000000003E-2"/>
    <n v="0.43930000000000002"/>
    <n v="0.1963"/>
    <s v="2024Q1"/>
    <x v="3"/>
    <x v="0"/>
  </r>
  <r>
    <s v="TXN-101146"/>
    <n v="45816"/>
    <x v="9"/>
    <s v="Media"/>
    <x v="0"/>
    <s v="USD"/>
    <n v="103762.38"/>
    <n v="94579.86"/>
    <n v="9182.52"/>
    <n v="108269.7"/>
    <n v="14875.28"/>
    <n v="149651.37"/>
    <n v="694"/>
    <n v="2.9000000000000001E-2"/>
    <n v="8.8499999999999995E-2"/>
    <n v="9.9400000000000002E-2"/>
    <s v="2025Q2"/>
    <x v="0"/>
    <x v="0"/>
  </r>
  <r>
    <s v="TXN-101147"/>
    <n v="45053"/>
    <x v="11"/>
    <s v="Financial Services"/>
    <x v="1"/>
    <s v="USD"/>
    <n v="57877.998149999999"/>
    <n v="41577.769999999997"/>
    <n v="16300.23"/>
    <n v="20803.71"/>
    <n v="14053.79"/>
    <n v="59260.639999999999"/>
    <n v="1711"/>
    <n v="2.4400000000000002E-2"/>
    <n v="0.28160000000000002"/>
    <n v="0.23719999999999999"/>
    <s v="2023Q2"/>
    <x v="1"/>
    <x v="0"/>
  </r>
  <r>
    <s v="TXN-101148"/>
    <n v="44728"/>
    <x v="2"/>
    <s v="Healthcare"/>
    <x v="0"/>
    <s v="USD"/>
    <n v="158933.22"/>
    <n v="113631.59"/>
    <n v="45301.63"/>
    <n v="81696.91"/>
    <n v="59941.38"/>
    <n v="124185.13"/>
    <n v="633"/>
    <n v="9.4100000000000003E-2"/>
    <n v="0.28499999999999998"/>
    <n v="0.48270000000000002"/>
    <s v="2022Q2"/>
    <x v="2"/>
    <x v="1"/>
  </r>
  <r>
    <s v="TXN-101149"/>
    <n v="44689"/>
    <x v="5"/>
    <s v="Retail"/>
    <x v="2"/>
    <s v="USD"/>
    <n v="19103.560000000001"/>
    <n v="16609.060000000001"/>
    <n v="2494.5"/>
    <n v="66547.56"/>
    <n v="73807.240000000005"/>
    <n v="185152.33"/>
    <n v="721"/>
    <n v="-3.3599999999999998E-2"/>
    <n v="0.13059999999999999"/>
    <n v="0.39860000000000001"/>
    <s v="2022Q2"/>
    <x v="2"/>
    <x v="1"/>
  </r>
  <r>
    <s v="TXN-101150"/>
    <n v="45144"/>
    <x v="2"/>
    <s v="Healthcare"/>
    <x v="0"/>
    <s v="USD"/>
    <n v="59753.63"/>
    <n v="41127.75"/>
    <n v="18625.88"/>
    <n v="46199.63"/>
    <n v="35902.120000000003"/>
    <n v="178735.3"/>
    <n v="631"/>
    <n v="6.1699999999999998E-2"/>
    <n v="0.31169999999999998"/>
    <n v="0.2009"/>
    <s v="2023Q3"/>
    <x v="1"/>
    <x v="0"/>
  </r>
  <r>
    <s v="TXN-101151"/>
    <n v="45563"/>
    <x v="3"/>
    <s v="Telecommunications"/>
    <x v="1"/>
    <s v="USD"/>
    <n v="202816.9186"/>
    <n v="165741.5"/>
    <n v="37075.42"/>
    <n v="39369.97"/>
    <n v="13264.86"/>
    <n v="128307.5"/>
    <n v="883"/>
    <n v="-7.4800000000000005E-2"/>
    <n v="0.18279999999999999"/>
    <n v="0.10340000000000001"/>
    <s v="2024Q3"/>
    <x v="3"/>
    <x v="0"/>
  </r>
  <r>
    <s v="TXN-101152"/>
    <n v="44635"/>
    <x v="6"/>
    <s v="Travel"/>
    <x v="0"/>
    <s v="USD"/>
    <n v="107707.69"/>
    <n v="88840.25"/>
    <n v="18867.439999999999"/>
    <n v="21470.77"/>
    <n v="16072.68"/>
    <n v="79842.95"/>
    <n v="468"/>
    <n v="0.13750000000000001"/>
    <n v="0.17519999999999999"/>
    <n v="0.20130000000000001"/>
    <s v="2022Q1"/>
    <x v="2"/>
    <x v="0"/>
  </r>
  <r>
    <s v="TXN-101153"/>
    <n v="44976"/>
    <x v="0"/>
    <s v="Real Estate"/>
    <x v="0"/>
    <s v="USD"/>
    <n v="42129.46"/>
    <n v="36222.800000000003"/>
    <n v="5906.66"/>
    <n v="34054.93"/>
    <n v="10765.02"/>
    <n v="114575.94"/>
    <n v="1964"/>
    <n v="1.41E-2"/>
    <n v="0.14019999999999999"/>
    <n v="9.4E-2"/>
    <s v="2023Q1"/>
    <x v="1"/>
    <x v="0"/>
  </r>
  <r>
    <s v="TXN-101154"/>
    <n v="45907"/>
    <x v="7"/>
    <s v="Manufacturing"/>
    <x v="0"/>
    <s v="USD"/>
    <n v="52479.199999999997"/>
    <n v="39729.78"/>
    <n v="12749.42"/>
    <n v="13002.03"/>
    <n v="28455.1"/>
    <n v="74144.75"/>
    <n v="946"/>
    <n v="6.4600000000000005E-2"/>
    <n v="0.2429"/>
    <n v="0.38379999999999997"/>
    <s v="2025Q3"/>
    <x v="0"/>
    <x v="1"/>
  </r>
  <r>
    <s v="TXN-101155"/>
    <n v="45270"/>
    <x v="11"/>
    <s v="Financial Services"/>
    <x v="3"/>
    <s v="USD"/>
    <s v="null"/>
    <n v="94151.09"/>
    <s v="null"/>
    <n v="75687.570000000007"/>
    <n v="9029.56"/>
    <n v="133251.1"/>
    <n v="792"/>
    <n v="4.2500000000000003E-2"/>
    <s v="null"/>
    <n v="6.7799999999999999E-2"/>
    <s v="2023Q4"/>
    <x v="1"/>
    <x v="0"/>
  </r>
  <r>
    <s v="TXN-101156"/>
    <n v="45528"/>
    <x v="11"/>
    <s v="Financial Services"/>
    <x v="2"/>
    <s v="USD"/>
    <n v="54907.96"/>
    <n v="30774.01"/>
    <n v="24133.95"/>
    <n v="15040.24"/>
    <n v="22829.97"/>
    <n v="65507.07"/>
    <n v="964"/>
    <n v="-2.3800000000000002E-2"/>
    <n v="0.4395"/>
    <n v="0.34849999999999998"/>
    <s v="2024Q3"/>
    <x v="3"/>
    <x v="1"/>
  </r>
  <r>
    <s v="TXN-101157"/>
    <d v="2023-10-16T00:00:00"/>
    <x v="5"/>
    <s v="Retail"/>
    <x v="0"/>
    <s v="USD"/>
    <n v="60428.15"/>
    <n v="40510.699999999997"/>
    <n v="19917.45"/>
    <n v="42979.85"/>
    <n v="35851.26"/>
    <n v="70430.77"/>
    <n v="2062"/>
    <n v="-8.8099999999999998E-2"/>
    <n v="0.3296"/>
    <n v="0.50900000000000001"/>
    <s v="2023Q4"/>
    <x v="1"/>
    <x v="1"/>
  </r>
  <r>
    <s v="TXN-101158"/>
    <n v="45085"/>
    <x v="3"/>
    <s v="Telecommunications"/>
    <x v="2"/>
    <s v="USD"/>
    <n v="500244.24"/>
    <n v="25420.22"/>
    <n v="474824.02"/>
    <n v="15279.93"/>
    <n v="279913.68"/>
    <n v="165366.53"/>
    <n v="1521"/>
    <n v="4.1000000000000002E-2"/>
    <n v="0.94920000000000004"/>
    <n v="1.6927000000000001"/>
    <s v="2023Q2"/>
    <x v="1"/>
    <x v="2"/>
  </r>
  <r>
    <s v="TXN-101159"/>
    <n v="45059"/>
    <x v="10"/>
    <s v="Technology"/>
    <x v="1"/>
    <s v="USD"/>
    <n v="126699.55135000001"/>
    <n v="98473.76"/>
    <n v="28225.8"/>
    <n v="21102"/>
    <n v="21645.37"/>
    <n v="73243.06"/>
    <n v="1028"/>
    <n v="-5.7000000000000002E-2"/>
    <n v="0.2228"/>
    <n v="0.29549999999999998"/>
    <s v="2023Q2"/>
    <x v="1"/>
    <x v="0"/>
  </r>
  <r>
    <s v="TXN-101160"/>
    <n v="44582"/>
    <x v="0"/>
    <s v="Real Estate"/>
    <x v="2"/>
    <s v="USD"/>
    <n v="202301.97"/>
    <n v="163290.98000000001"/>
    <n v="39010.99"/>
    <n v="17457.3"/>
    <n v="111847.81"/>
    <n v="54190.68"/>
    <n v="1089"/>
    <n v="1.14E-2"/>
    <n v="0.1928"/>
    <n v="2.0640000000000001"/>
    <s v="2022Q1"/>
    <x v="2"/>
    <x v="2"/>
  </r>
  <r>
    <s v="TXN-101161"/>
    <n v="45336"/>
    <x v="10"/>
    <s v="Technology"/>
    <x v="0"/>
    <s v="USD"/>
    <n v="105439.43"/>
    <n v="90130.16"/>
    <n v="15309.27"/>
    <n v="30478.86"/>
    <n v="137241.54"/>
    <n v="81177.84"/>
    <n v="1990"/>
    <n v="-0.13689999999999999"/>
    <n v="0.1452"/>
    <n v="1.6906000000000001"/>
    <s v="2024Q1"/>
    <x v="3"/>
    <x v="2"/>
  </r>
  <r>
    <s v="TXN-101162"/>
    <n v="45174"/>
    <x v="11"/>
    <s v="Financial Services"/>
    <x v="1"/>
    <s v="USD"/>
    <n v="56589.804450000003"/>
    <n v="43535.99"/>
    <n v="13053.81"/>
    <n v="52207.4"/>
    <n v="115017.36"/>
    <n v="112188.12"/>
    <n v="617"/>
    <n v="2.7400000000000001E-2"/>
    <n v="0.23069999999999999"/>
    <n v="1.0251999999999999"/>
    <s v="2023Q3"/>
    <x v="1"/>
    <x v="2"/>
  </r>
  <r>
    <s v="TXN-101163"/>
    <n v="45878"/>
    <x v="4"/>
    <s v="Energy"/>
    <x v="2"/>
    <s v="USD"/>
    <n v="71674.16"/>
    <n v="44733.17"/>
    <n v="26940.99"/>
    <n v="35752.57"/>
    <n v="112509.01"/>
    <n v="57545.34"/>
    <n v="658"/>
    <n v="-6.1199999999999997E-2"/>
    <n v="0.37590000000000001"/>
    <n v="1.9551000000000001"/>
    <s v="2025Q3"/>
    <x v="0"/>
    <x v="2"/>
  </r>
  <r>
    <s v="TXN-101164"/>
    <n v="45757"/>
    <x v="3"/>
    <s v="Telecommunications"/>
    <x v="3"/>
    <s v="USD"/>
    <n v="41806.42"/>
    <n v="35262.589999999997"/>
    <n v="6543.83"/>
    <n v="24056.639999999999"/>
    <n v="13594.34"/>
    <n v="94380.94"/>
    <n v="535"/>
    <n v="0.152"/>
    <n v="0.1565"/>
    <n v="0.14399999999999999"/>
    <s v="2025Q2"/>
    <x v="0"/>
    <x v="0"/>
  </r>
  <r>
    <s v="TXN-101165"/>
    <n v="45396"/>
    <x v="4"/>
    <s v="Energy"/>
    <x v="0"/>
    <s v="USD"/>
    <n v="80632.38"/>
    <n v="58024.480000000003"/>
    <n v="22607.9"/>
    <n v="34304.54"/>
    <n v="7447.99"/>
    <n v="100889.92"/>
    <n v="990"/>
    <n v="0.1197"/>
    <n v="0.28039999999999998"/>
    <n v="7.3800000000000004E-2"/>
    <s v="2024Q2"/>
    <x v="3"/>
    <x v="0"/>
  </r>
  <r>
    <s v="TXN-101166"/>
    <n v="45382"/>
    <x v="1"/>
    <s v="Food &amp; Beverage"/>
    <x v="3"/>
    <s v="USD"/>
    <n v="427131.44"/>
    <n v="312664.09000000003"/>
    <n v="114467.35"/>
    <n v="11080.27"/>
    <n v="43238.29"/>
    <n v="142933.51999999999"/>
    <n v="766"/>
    <n v="-5.4199999999999998E-2"/>
    <n v="0.26800000000000002"/>
    <n v="0.30249999999999999"/>
    <s v="2024Q1"/>
    <x v="3"/>
    <x v="1"/>
  </r>
  <r>
    <s v="TXN-101167"/>
    <n v="45784"/>
    <x v="10"/>
    <s v="Technology"/>
    <x v="2"/>
    <s v="USD"/>
    <n v="50191.95"/>
    <n v="31644.48"/>
    <n v="18547.47"/>
    <n v="159611.72"/>
    <n v="33742.199999999997"/>
    <n v="215073.96"/>
    <n v="294"/>
    <n v="4.7600000000000003E-2"/>
    <n v="0.3695"/>
    <n v="0.15690000000000001"/>
    <s v="2025Q2"/>
    <x v="0"/>
    <x v="0"/>
  </r>
  <r>
    <s v="TXN-101168"/>
    <n v="44697"/>
    <x v="11"/>
    <s v="Financial Services"/>
    <x v="0"/>
    <s v="USD"/>
    <n v="37413.279999999999"/>
    <n v="28674.53"/>
    <n v="8738.75"/>
    <n v="22943.98"/>
    <n v="72687.7"/>
    <n v="146404.07999999999"/>
    <n v="785"/>
    <n v="7.5999999999999998E-2"/>
    <n v="0.2336"/>
    <n v="0.4965"/>
    <s v="2022Q2"/>
    <x v="2"/>
    <x v="1"/>
  </r>
  <r>
    <s v="TXN-101169"/>
    <n v="45884"/>
    <x v="7"/>
    <s v="Manufacturing"/>
    <x v="3"/>
    <s v="USD"/>
    <n v="268294.7"/>
    <n v="213705.58"/>
    <n v="54589.120000000003"/>
    <n v="15708.13"/>
    <n v="8642.89"/>
    <n v="86535.18"/>
    <n v="1250"/>
    <n v="5.6399999999999999E-2"/>
    <n v="0.20349999999999999"/>
    <n v="9.9900000000000003E-2"/>
    <s v="2025Q3"/>
    <x v="0"/>
    <x v="0"/>
  </r>
  <r>
    <s v="TXN-101170"/>
    <n v="45274"/>
    <x v="9"/>
    <s v="Media"/>
    <x v="0"/>
    <s v="USD"/>
    <n v="31885.13"/>
    <n v="28787.58"/>
    <n v="3097.55"/>
    <n v="15394.54"/>
    <n v="45011.81"/>
    <n v="156283.47"/>
    <n v="506"/>
    <n v="1.5100000000000001E-2"/>
    <n v="9.7100000000000006E-2"/>
    <n v="0.28799999999999998"/>
    <s v="2023Q4"/>
    <x v="1"/>
    <x v="0"/>
  </r>
  <r>
    <s v="TXN-101171"/>
    <n v="45196"/>
    <x v="10"/>
    <s v="Technology"/>
    <x v="1"/>
    <s v="USD"/>
    <n v="82896.534400000004"/>
    <n v="72400.11"/>
    <n v="10496.42"/>
    <n v="18938.28"/>
    <n v="23569.8"/>
    <n v="123719.45"/>
    <n v="1014"/>
    <n v="8.7300000000000003E-2"/>
    <n v="0.12659999999999999"/>
    <n v="0.1905"/>
    <s v="2023Q3"/>
    <x v="1"/>
    <x v="0"/>
  </r>
  <r>
    <s v="TXN-101172"/>
    <n v="45163"/>
    <x v="11"/>
    <s v="Financial Services"/>
    <x v="0"/>
    <s v="USD"/>
    <n v="88399.91"/>
    <n v="66699.199999999997"/>
    <n v="21700.71"/>
    <n v="38172.769999999997"/>
    <n v="3810.38"/>
    <n v="97873.72"/>
    <n v="693"/>
    <n v="2.0899999999999998E-2"/>
    <n v="0.2455"/>
    <n v="3.8899999999999997E-2"/>
    <s v="2023Q3"/>
    <x v="1"/>
    <x v="0"/>
  </r>
  <r>
    <s v="TXN-101173"/>
    <n v="44614"/>
    <x v="10"/>
    <s v="Technology"/>
    <x v="0"/>
    <s v="USD"/>
    <n v="68116.19"/>
    <n v="46495.839999999997"/>
    <n v="21620.35"/>
    <n v="52606.47"/>
    <n v="55116.24"/>
    <n v="60273.47"/>
    <n v="1532"/>
    <n v="4.9099999999999998E-2"/>
    <n v="0.31740000000000002"/>
    <n v="0.91439999999999999"/>
    <s v="2022Q1"/>
    <x v="2"/>
    <x v="2"/>
  </r>
  <r>
    <s v="TXN-101174"/>
    <n v="45704"/>
    <x v="9"/>
    <s v="Media"/>
    <x v="0"/>
    <s v="USD"/>
    <n v="19150.55"/>
    <n v="15194.84"/>
    <n v="3955.71"/>
    <n v="44411.51"/>
    <n v="38870.69"/>
    <n v="262785.46000000002"/>
    <n v="572"/>
    <n v="-6.4000000000000001E-2"/>
    <n v="0.20660000000000001"/>
    <n v="0.1479"/>
    <s v="2025Q1"/>
    <x v="0"/>
    <x v="0"/>
  </r>
  <r>
    <s v="TXN-101175"/>
    <n v="45687"/>
    <x v="3"/>
    <s v="Telecommunications"/>
    <x v="2"/>
    <s v="USD"/>
    <n v="62060.02"/>
    <n v="53179.95"/>
    <n v="8880.07"/>
    <n v="28763"/>
    <n v="45935.56"/>
    <n v="249858.67"/>
    <n v="1080"/>
    <n v="-8.2600000000000007E-2"/>
    <n v="0.1431"/>
    <n v="0.18379999999999999"/>
    <s v="2025Q1"/>
    <x v="0"/>
    <x v="0"/>
  </r>
  <r>
    <s v="TXN-101176"/>
    <n v="45094"/>
    <x v="10"/>
    <s v="Technology"/>
    <x v="0"/>
    <s v="USD"/>
    <n v="51013.599999999999"/>
    <n v="30333.14"/>
    <n v="20680.46"/>
    <n v="8984.09"/>
    <n v="35836.589999999997"/>
    <n v="47075.5"/>
    <n v="1533"/>
    <n v="0.19439999999999999"/>
    <n v="0.40539999999999998"/>
    <n v="0.76129999999999998"/>
    <s v="2023Q2"/>
    <x v="1"/>
    <x v="2"/>
  </r>
  <r>
    <s v="TXN-101177"/>
    <n v="45878"/>
    <x v="1"/>
    <s v="Food &amp; Beverage"/>
    <x v="2"/>
    <s v="USD"/>
    <n v="55621.79"/>
    <n v="45627.08"/>
    <n v="9994.7099999999991"/>
    <n v="11518.57"/>
    <n v="9265.3799999999992"/>
    <n v="107658.88"/>
    <n v="1286"/>
    <n v="1.0500000000000001E-2"/>
    <n v="0.1797"/>
    <n v="8.6099999999999996E-2"/>
    <s v="2025Q3"/>
    <x v="0"/>
    <x v="0"/>
  </r>
  <r>
    <s v="TXN-101178"/>
    <n v="45297"/>
    <x v="3"/>
    <s v="Telecommunications"/>
    <x v="0"/>
    <s v="USD"/>
    <n v="59480.88"/>
    <n v="33488.300000000003"/>
    <n v="25992.58"/>
    <n v="36536.870000000003"/>
    <n v="41045.18"/>
    <n v="70183.679999999993"/>
    <n v="917"/>
    <n v="-9.1399999999999995E-2"/>
    <n v="0.437"/>
    <n v="0.58479999999999999"/>
    <s v="2024Q1"/>
    <x v="3"/>
    <x v="1"/>
  </r>
  <r>
    <s v="TXN-101179"/>
    <n v="45967"/>
    <x v="10"/>
    <s v="Technology"/>
    <x v="1"/>
    <s v="USD"/>
    <n v="130774.98420000001"/>
    <n v="117645.69"/>
    <n v="13129.29"/>
    <n v="31314.639999999999"/>
    <n v="30454.5"/>
    <n v="90476.71"/>
    <n v="625"/>
    <n v="1.26E-2"/>
    <n v="0.1004"/>
    <n v="0.33660000000000001"/>
    <s v="2025Q4"/>
    <x v="0"/>
    <x v="1"/>
  </r>
  <r>
    <s v="TXN-101180"/>
    <n v="44818"/>
    <x v="2"/>
    <s v="Healthcare"/>
    <x v="3"/>
    <s v="USD"/>
    <n v="81118.73"/>
    <n v="70655.95"/>
    <n v="10462.780000000001"/>
    <n v="42394.76"/>
    <n v="19124.400000000001"/>
    <n v="96922.31"/>
    <n v="839"/>
    <n v="4.7899999999999998E-2"/>
    <n v="0.129"/>
    <n v="0.1973"/>
    <s v="2022Q3"/>
    <x v="2"/>
    <x v="0"/>
  </r>
  <r>
    <s v="TXN-101181"/>
    <n v="44839"/>
    <x v="7"/>
    <s v="Manufacturing"/>
    <x v="2"/>
    <s v="USD"/>
    <n v="57609.07"/>
    <n v="43739.65"/>
    <n v="13869.42"/>
    <n v="25002.06"/>
    <n v="78426.350000000006"/>
    <n v="131431.87"/>
    <n v="1409"/>
    <n v="0.04"/>
    <n v="0.24079999999999999"/>
    <n v="0.59670000000000001"/>
    <s v="2022Q4"/>
    <x v="2"/>
    <x v="1"/>
  </r>
  <r>
    <s v="TXN-101182"/>
    <n v="44753"/>
    <x v="10"/>
    <s v="Technology"/>
    <x v="1"/>
    <s v="USD"/>
    <n v="197195.60980000001"/>
    <n v="162925.87"/>
    <n v="34269.74"/>
    <n v="45418.7"/>
    <n v="155982.93"/>
    <n v="182643.32"/>
    <n v="749"/>
    <n v="-0.1051"/>
    <n v="0.17380000000000001"/>
    <n v="0.85399999999999998"/>
    <s v="2022Q3"/>
    <x v="2"/>
    <x v="2"/>
  </r>
  <r>
    <s v="TXN-101183"/>
    <n v="45128"/>
    <x v="8"/>
    <s v="Logistics"/>
    <x v="2"/>
    <s v="USD"/>
    <n v="38212.93"/>
    <s v="null"/>
    <s v="null"/>
    <n v="12401.98"/>
    <n v="37847.67"/>
    <n v="278296.49"/>
    <n v="2260"/>
    <n v="-5.3900000000000003E-2"/>
    <s v="null"/>
    <n v="0.13600000000000001"/>
    <s v="2023Q3"/>
    <x v="1"/>
    <x v="0"/>
  </r>
  <r>
    <s v="TXN-101184"/>
    <n v="45404"/>
    <x v="5"/>
    <s v="Retail"/>
    <x v="1"/>
    <s v="USD"/>
    <n v="110905.10075000001"/>
    <n v="95451.7"/>
    <n v="15453.4"/>
    <n v="41339.160000000003"/>
    <n v="139456.04"/>
    <n v="74578.66"/>
    <n v="999"/>
    <n v="-8.5500000000000007E-2"/>
    <n v="0.13930000000000001"/>
    <n v="1.8698999999999999"/>
    <s v="2024Q2"/>
    <x v="3"/>
    <x v="2"/>
  </r>
  <r>
    <s v="TXN-101185"/>
    <n v="45611"/>
    <x v="7"/>
    <s v="Manufacturing"/>
    <x v="0"/>
    <s v="USD"/>
    <n v="79048.789999999994"/>
    <s v="null"/>
    <s v="null"/>
    <n v="56694.32"/>
    <n v="20336.68"/>
    <n v="85475.62"/>
    <n v="612"/>
    <n v="0.1236"/>
    <s v="null"/>
    <n v="0.2379"/>
    <s v="2024Q4"/>
    <x v="3"/>
    <x v="0"/>
  </r>
  <r>
    <s v="TXN-101186"/>
    <n v="45377"/>
    <x v="6"/>
    <s v="Travel"/>
    <x v="0"/>
    <s v="USD"/>
    <n v="60852.24"/>
    <n v="49397.47"/>
    <n v="11454.77"/>
    <n v="27141.69"/>
    <n v="23426.959999999999"/>
    <n v="92387.26"/>
    <n v="954"/>
    <n v="-0.1696"/>
    <n v="0.18820000000000001"/>
    <n v="0.25359999999999999"/>
    <s v="2024Q1"/>
    <x v="3"/>
    <x v="0"/>
  </r>
  <r>
    <s v="TXN-101187"/>
    <n v="45826"/>
    <x v="1"/>
    <s v="Food &amp; Beverage"/>
    <x v="1"/>
    <s v="USD"/>
    <n v="94267.025599999994"/>
    <n v="85000.92"/>
    <n v="9266.11"/>
    <n v="14994.9"/>
    <n v="77364.44"/>
    <n v="111461.16"/>
    <n v="1400"/>
    <n v="4.36E-2"/>
    <n v="9.8299999999999998E-2"/>
    <n v="0.69410000000000005"/>
    <s v="2025Q2"/>
    <x v="0"/>
    <x v="2"/>
  </r>
  <r>
    <s v="TXN-101188"/>
    <n v="44811"/>
    <x v="4"/>
    <s v="Energy"/>
    <x v="1"/>
    <s v="USD"/>
    <n v="80414.380499999999"/>
    <n v="65110.65"/>
    <n v="15303.73"/>
    <n v="15312.19"/>
    <n v="36149.97"/>
    <n v="80507.78"/>
    <n v="620"/>
    <n v="0.1318"/>
    <n v="0.1903"/>
    <n v="0.44900000000000001"/>
    <s v="2022Q3"/>
    <x v="2"/>
    <x v="1"/>
  </r>
  <r>
    <s v="TXN-101189"/>
    <n v="45605"/>
    <x v="3"/>
    <s v="Telecommunications"/>
    <x v="2"/>
    <s v="USD"/>
    <n v="54557.96"/>
    <n v="34141.49"/>
    <n v="20416.47"/>
    <n v="8093.41"/>
    <n v="12492.49"/>
    <n v="45238.33"/>
    <n v="1252"/>
    <n v="8.1699999999999995E-2"/>
    <n v="0.37419999999999998"/>
    <n v="0.27610000000000001"/>
    <s v="2024Q4"/>
    <x v="3"/>
    <x v="0"/>
  </r>
  <r>
    <s v="TXN-101190"/>
    <n v="45175"/>
    <x v="7"/>
    <s v="Manufacturing"/>
    <x v="0"/>
    <s v="USD"/>
    <n v="52493.45"/>
    <n v="39080.51"/>
    <n v="13412.94"/>
    <n v="21575.05"/>
    <n v="24172.639999999999"/>
    <n v="52978.44"/>
    <n v="1227"/>
    <n v="0.20300000000000001"/>
    <n v="0.2555"/>
    <n v="0.45629999999999998"/>
    <s v="2023Q3"/>
    <x v="1"/>
    <x v="1"/>
  </r>
  <r>
    <s v="TXN-101191"/>
    <n v="45241"/>
    <x v="9"/>
    <s v="Media"/>
    <x v="2"/>
    <s v="USD"/>
    <n v="98303.56"/>
    <n v="59406.3"/>
    <n v="38897.26"/>
    <n v="37653.339999999997"/>
    <n v="42168.91"/>
    <n v="110562.85"/>
    <n v="323"/>
    <n v="1.1900000000000001E-2"/>
    <n v="0.3957"/>
    <n v="0.38140000000000002"/>
    <s v="2023Q4"/>
    <x v="1"/>
    <x v="1"/>
  </r>
  <r>
    <s v="TXN-101192"/>
    <n v="45731"/>
    <x v="4"/>
    <s v="Energy"/>
    <x v="2"/>
    <s v="USD"/>
    <n v="115799.43"/>
    <n v="100012.56"/>
    <n v="15786.87"/>
    <n v="29050.81"/>
    <n v="67372.98"/>
    <n v="43288.54"/>
    <n v="1406"/>
    <n v="9.8400000000000001E-2"/>
    <n v="0.1363"/>
    <n v="1.5564"/>
    <s v="2025Q1"/>
    <x v="0"/>
    <x v="2"/>
  </r>
  <r>
    <s v="TXN-101193"/>
    <n v="45969"/>
    <x v="0"/>
    <s v="Real Estate"/>
    <x v="2"/>
    <s v="USD"/>
    <n v="62983.54"/>
    <n v="45652.76"/>
    <n v="17330.78"/>
    <n v="10968.74"/>
    <n v="36003.949999999997"/>
    <n v="65381.81"/>
    <n v="1062"/>
    <n v="0.15060000000000001"/>
    <n v="0.2752"/>
    <n v="0.55069999999999997"/>
    <s v="2025Q4"/>
    <x v="0"/>
    <x v="1"/>
  </r>
  <r>
    <s v="TXN-101194"/>
    <n v="45450"/>
    <x v="8"/>
    <s v="Logistics"/>
    <x v="3"/>
    <s v="USD"/>
    <n v="191061.94"/>
    <n v="170444.63"/>
    <n v="20617.310000000001"/>
    <n v="15289.28"/>
    <n v="16990.05"/>
    <n v="133845.09"/>
    <n v="623"/>
    <n v="4.0000000000000002E-4"/>
    <n v="0.1079"/>
    <n v="0.12690000000000001"/>
    <s v="2024Q2"/>
    <x v="3"/>
    <x v="0"/>
  </r>
  <r>
    <s v="TXN-101195"/>
    <n v="44795"/>
    <x v="10"/>
    <s v="Technology"/>
    <x v="2"/>
    <s v="USD"/>
    <n v="24069.279999999999"/>
    <n v="18962.490000000002"/>
    <n v="5106.79"/>
    <n v="38302.29"/>
    <n v="11606.1"/>
    <n v="171283.81"/>
    <n v="642"/>
    <n v="5.8900000000000001E-2"/>
    <n v="0.2122"/>
    <n v="6.7799999999999999E-2"/>
    <s v="2022Q3"/>
    <x v="2"/>
    <x v="0"/>
  </r>
  <r>
    <s v="TXN-101196"/>
    <n v="45950"/>
    <x v="5"/>
    <s v="Retail"/>
    <x v="2"/>
    <s v="USD"/>
    <n v="130357.48"/>
    <n v="74518.259999999995"/>
    <n v="55839.22"/>
    <n v="34768.639999999999"/>
    <n v="83773.31"/>
    <n v="309304.32000000001"/>
    <n v="1401"/>
    <n v="4.5699999999999998E-2"/>
    <n v="0.4284"/>
    <n v="0.27079999999999999"/>
    <s v="2025Q4"/>
    <x v="0"/>
    <x v="0"/>
  </r>
  <r>
    <s v="TXN-101197"/>
    <n v="45742"/>
    <x v="11"/>
    <s v="Financial Services"/>
    <x v="0"/>
    <s v="USD"/>
    <n v="130450.4"/>
    <n v="91981.1"/>
    <n v="38469.300000000003"/>
    <n v="57927.88"/>
    <n v="21646.87"/>
    <n v="72658.759999999995"/>
    <n v="872"/>
    <n v="4.1000000000000003E-3"/>
    <n v="0.2949"/>
    <n v="0.2979"/>
    <s v="2025Q1"/>
    <x v="0"/>
    <x v="0"/>
  </r>
  <r>
    <s v="TXN-101198"/>
    <n v="45762"/>
    <x v="1"/>
    <s v="Food &amp; Beverage"/>
    <x v="0"/>
    <s v="USD"/>
    <n v="48610.02"/>
    <n v="36966.120000000003"/>
    <n v="11643.9"/>
    <n v="28562.12"/>
    <n v="67778.350000000006"/>
    <n v="97796.05"/>
    <n v="899"/>
    <n v="2.3300000000000001E-2"/>
    <n v="0.23949999999999999"/>
    <n v="0.69310000000000005"/>
    <s v="2025Q2"/>
    <x v="0"/>
    <x v="2"/>
  </r>
  <r>
    <s v="TXN-101199"/>
    <n v="45282"/>
    <x v="2"/>
    <s v="Healthcare"/>
    <x v="0"/>
    <s v="USD"/>
    <n v="73300.94"/>
    <n v="55381.93"/>
    <n v="17919.009999999998"/>
    <n v="28673.69"/>
    <n v="27304.1"/>
    <n v="188927.82"/>
    <n v="990"/>
    <n v="6.3200000000000006E-2"/>
    <n v="0.2445"/>
    <n v="0.14449999999999999"/>
    <s v="2023Q4"/>
    <x v="1"/>
    <x v="0"/>
  </r>
  <r>
    <s v="TXN-101200"/>
    <n v="45925"/>
    <x v="6"/>
    <s v="Travel"/>
    <x v="2"/>
    <s v="USD"/>
    <n v="39324.97"/>
    <n v="24389.84"/>
    <n v="14935.13"/>
    <n v="46856.31"/>
    <n v="5756.09"/>
    <n v="91641.68"/>
    <n v="1378"/>
    <n v="4.4699999999999997E-2"/>
    <n v="0.37980000000000003"/>
    <n v="6.2799999999999995E-2"/>
    <s v="2025Q3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4ECE4C-2A6C-4416-BAD6-04A31272AFF5}" name="PivotTable7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mpany" colHeaderCaption="Year">
  <location ref="K10:P24" firstHeaderRow="1" firstDataRow="2" firstDataCol="1"/>
  <pivotFields count="19">
    <pivotField showAll="0"/>
    <pivotField showAll="0"/>
    <pivotField axis="axisRow" showAll="0" rankBy="0">
      <items count="13">
        <item x="5"/>
        <item x="8"/>
        <item x="2"/>
        <item x="4"/>
        <item x="1"/>
        <item x="10"/>
        <item x="0"/>
        <item x="11"/>
        <item x="9"/>
        <item x="7"/>
        <item x="6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1"/>
        <item x="3"/>
        <item x="0"/>
        <item t="default"/>
      </items>
    </pivotField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7"/>
  </colFields>
  <colItems count="5">
    <i>
      <x/>
    </i>
    <i>
      <x v="1"/>
    </i>
    <i>
      <x v="2"/>
    </i>
    <i>
      <x v="3"/>
    </i>
    <i t="grand">
      <x/>
    </i>
  </colItems>
  <dataFields count="1">
    <dataField name="YoY Revenue Change" fld="6" showDataAs="percentDiff" baseField="17" baseItem="1048828" numFmtId="10"/>
  </dataFields>
  <formats count="3">
    <format dxfId="23">
      <pivotArea outline="0" collapsedLevelsAreSubtotals="1" fieldPosition="0"/>
    </format>
    <format dxfId="21">
      <pivotArea outline="0" fieldPosition="0">
        <references count="1">
          <reference field="4294967294" count="1">
            <x v="0"/>
          </reference>
        </references>
      </pivotArea>
    </format>
    <format dxfId="10">
      <pivotArea field="17" type="button" dataOnly="0" labelOnly="1" outline="0" axis="axisCol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9427C5-A9FE-4902-B165-3461CF2DA61E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mpany">
  <location ref="H10:I23" firstHeaderRow="1" firstDataRow="1" firstDataCol="1"/>
  <pivotFields count="19">
    <pivotField showAll="0"/>
    <pivotField showAll="0"/>
    <pivotField axis="axisRow" showAll="0" sortType="descending">
      <items count="13">
        <item x="5"/>
        <item x="8"/>
        <item x="2"/>
        <item x="4"/>
        <item x="1"/>
        <item x="10"/>
        <item x="0"/>
        <item x="11"/>
        <item x="9"/>
        <item x="7"/>
        <item x="6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3">
    <i>
      <x/>
    </i>
    <i>
      <x v="5"/>
    </i>
    <i>
      <x v="3"/>
    </i>
    <i>
      <x v="2"/>
    </i>
    <i>
      <x v="7"/>
    </i>
    <i>
      <x v="9"/>
    </i>
    <i>
      <x v="6"/>
    </i>
    <i>
      <x v="1"/>
    </i>
    <i>
      <x v="10"/>
    </i>
    <i>
      <x v="4"/>
    </i>
    <i>
      <x v="8"/>
    </i>
    <i>
      <x v="11"/>
    </i>
    <i t="grand">
      <x/>
    </i>
  </rowItems>
  <colItems count="1">
    <i/>
  </colItems>
  <dataFields count="1">
    <dataField name="Total Revenue" fld="6" baseField="2" baseItem="0" numFmtId="43"/>
  </dataFields>
  <formats count="3">
    <format dxfId="26">
      <pivotArea outline="0" collapsedLevelsAreSubtotals="1" fieldPosition="0"/>
    </format>
    <format dxfId="8">
      <pivotArea dataOnly="0" labelOnly="1" outline="0" axis="axisValues" fieldPosition="0"/>
    </format>
    <format dxfId="5">
      <pivotArea field="2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AFBBF2-5770-47F6-8B4E-0CF1C7EC18B8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mpany">
  <location ref="E10:F23" firstHeaderRow="1" firstDataRow="1" firstDataCol="1"/>
  <pivotFields count="19">
    <pivotField showAll="0"/>
    <pivotField showAll="0"/>
    <pivotField axis="axisRow" showAll="0">
      <items count="13">
        <item x="5"/>
        <item x="8"/>
        <item x="2"/>
        <item x="4"/>
        <item x="1"/>
        <item x="10"/>
        <item x="0"/>
        <item x="11"/>
        <item x="9"/>
        <item x="7"/>
        <item x="6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Revenue Contribution" fld="6" showDataAs="percentOfTotal" baseField="2" baseItem="0" numFmtId="10"/>
  </dataFields>
  <formats count="1">
    <format dxfId="6">
      <pivotArea field="2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CBD3D3-FDE3-446E-ABDE-A097CF052F22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isk Level" colHeaderCaption="Region">
  <location ref="H2:L8" firstHeaderRow="1" firstDataRow="2" firstDataCol="1"/>
  <pivotFields count="19">
    <pivotField dataField="1"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18"/>
  </colFields>
  <colItems count="4">
    <i>
      <x/>
    </i>
    <i>
      <x v="1"/>
    </i>
    <i>
      <x v="2"/>
    </i>
    <i t="grand">
      <x/>
    </i>
  </colItems>
  <dataFields count="1">
    <dataField name="Region Contribution" fld="0" subtotal="count" showDataAs="percentOfRow" baseField="0" baseItem="0" numFmtId="10"/>
  </dataFields>
  <formats count="1">
    <format dxfId="9">
      <pivotArea field="18" type="button" dataOnly="0" labelOnly="1" outline="0" axis="axisCol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D2D51D-1FD2-459C-904C-C01486A653FB}" name="PivotTable3" cacheId="1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Company">
  <location ref="B10:C22" firstHeaderRow="1" firstDataRow="1" firstDataCol="1"/>
  <pivotFields count="19">
    <pivotField showAll="0"/>
    <pivotField showAll="0"/>
    <pivotField axis="axisRow" showAll="0" sortType="descending">
      <items count="13">
        <item x="5"/>
        <item x="8"/>
        <item x="2"/>
        <item x="4"/>
        <item x="1"/>
        <item x="10"/>
        <item x="0"/>
        <item x="11"/>
        <item x="9"/>
        <item x="7"/>
        <item x="6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12">
    <i>
      <x v="8"/>
    </i>
    <i>
      <x v="1"/>
    </i>
    <i>
      <x v="5"/>
    </i>
    <i>
      <x v="6"/>
    </i>
    <i>
      <x v="2"/>
    </i>
    <i>
      <x v="4"/>
    </i>
    <i>
      <x v="9"/>
    </i>
    <i>
      <x v="11"/>
    </i>
    <i>
      <x v="3"/>
    </i>
    <i>
      <x v="7"/>
    </i>
    <i>
      <x/>
    </i>
    <i>
      <x v="10"/>
    </i>
  </rowItems>
  <colItems count="1">
    <i/>
  </colItems>
  <dataFields count="1">
    <dataField name="Average of Profit_Margin" fld="14" subtotal="average" baseField="2" baseItem="0" numFmtId="10"/>
  </dataFields>
  <formats count="3">
    <format dxfId="33">
      <pivotArea collapsedLevelsAreSubtotals="1" fieldPosition="0">
        <references count="1">
          <reference field="2" count="1">
            <x v="2"/>
          </reference>
        </references>
      </pivotArea>
    </format>
    <format dxfId="31">
      <pivotArea outline="0" collapsedLevelsAreSubtotals="1" fieldPosition="0"/>
    </format>
    <format dxfId="0">
      <pivotArea field="2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1C5C57-92D2-4E15-BA15-78825CCA4C01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 colHeaderCaption="Risk Level">
  <location ref="B2:F8" firstHeaderRow="1" firstDataRow="2" firstDataCol="1"/>
  <pivotFields count="19">
    <pivotField dataField="1"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18"/>
  </colFields>
  <colItems count="4">
    <i>
      <x/>
    </i>
    <i>
      <x v="1"/>
    </i>
    <i>
      <x v="2"/>
    </i>
    <i t="grand">
      <x/>
    </i>
  </colItems>
  <dataFields count="1">
    <dataField name="Risk Level by Region" fld="0" subtotal="count" showDataAs="percentOfTotal" baseField="0" baseItem="0" numFmtId="10"/>
  </dataFields>
  <formats count="2">
    <format dxfId="4">
      <pivotArea type="origin" dataOnly="0" labelOnly="1" outline="0" fieldPosition="0"/>
    </format>
    <format dxfId="3">
      <pivotArea field="18" type="button" dataOnly="0" labelOnly="1" outline="0" axis="axisCol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B88102-7D88-4E85-857C-EE049E792BB1}" name="Table1" displayName="Table1" ref="A1:S1201" totalsRowShown="0">
  <autoFilter ref="A1:S1201" xr:uid="{F4B88102-7D88-4E85-857C-EE049E792BB1}"/>
  <tableColumns count="19">
    <tableColumn id="1" xr3:uid="{E634B330-6088-4FA5-8318-70CE066EBF84}" name="Transaction_ID"/>
    <tableColumn id="2" xr3:uid="{79FED8EC-F1B0-494D-84BF-6E70B10051EA}" name="Date"/>
    <tableColumn id="3" xr3:uid="{A55D7E15-A034-41AD-A750-389D8D7AE27E}" name="Company"/>
    <tableColumn id="4" xr3:uid="{36996BA7-5464-47B8-B3B8-DDA231A3B0C0}" name="Industry"/>
    <tableColumn id="5" xr3:uid="{06C1F985-A1E6-426A-A087-9F8B6C559CB8}" name="Region"/>
    <tableColumn id="6" xr3:uid="{C65E1D4B-14F0-4668-AD5D-4FD889B29D52}" name="Currency"/>
    <tableColumn id="7" xr3:uid="{D3FDBFC6-070E-4751-9496-0342C65B3AB3}" name="Revenue"/>
    <tableColumn id="8" xr3:uid="{E0F14EC8-5760-4833-BF86-89300CC6293E}" name="Operating_Expenses"/>
    <tableColumn id="9" xr3:uid="{E206743B-80B1-4A35-96BB-94D62838AA93}" name="Operating_Income"/>
    <tableColumn id="10" xr3:uid="{9A6F74BF-7885-4DC1-A8E8-EA21D94CB379}" name="Cash"/>
    <tableColumn id="11" xr3:uid="{BD2C71A4-8B7C-44A2-809A-FFA7BC79EA11}" name="Debt"/>
    <tableColumn id="12" xr3:uid="{92D65691-173C-4351-AF43-3F969CD75C49}" name="Total_Assets"/>
    <tableColumn id="13" xr3:uid="{374EBC7A-8E1E-4955-AA24-97DF623C336E}" name="Employees"/>
    <tableColumn id="14" xr3:uid="{99770A43-183E-4AFF-9628-B1621421F43E}" name="Stock_Return"/>
    <tableColumn id="15" xr3:uid="{3C895AE1-3236-4437-B9B1-DA87B72B8A96}" name="Profit_Margin">
      <calculatedColumnFormula>(ROUND(I2/G2,4))</calculatedColumnFormula>
    </tableColumn>
    <tableColumn id="16" xr3:uid="{63C25F83-AFE3-4F25-81B1-113BACAA9AB4}" name="Debt_to_Assets">
      <calculatedColumnFormula>ROUND(K2/L2,4)</calculatedColumnFormula>
    </tableColumn>
    <tableColumn id="17" xr3:uid="{182CD0C7-75C0-4415-BADD-9E0A36FFF5FF}" name="Quarter"/>
    <tableColumn id="18" xr3:uid="{45EE2B51-6111-4223-B54E-71AE9D0F886C}" name="Year"/>
    <tableColumn id="19" xr3:uid="{739DBAE8-8868-4423-BA0A-E33252D267D6}" name="Risk_Le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13489-F512-42F1-9E88-1FE1D7B05501}">
  <dimension ref="A1:S1216"/>
  <sheetViews>
    <sheetView workbookViewId="0">
      <selection activeCell="F1151" sqref="F1:F1048576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s="1">
        <v>45856</v>
      </c>
      <c r="C2" t="s">
        <v>20</v>
      </c>
      <c r="D2" t="s">
        <v>21</v>
      </c>
      <c r="E2" t="s">
        <v>22</v>
      </c>
      <c r="F2" t="s">
        <v>23</v>
      </c>
      <c r="G2">
        <v>111412.81</v>
      </c>
      <c r="H2">
        <v>67708.56</v>
      </c>
      <c r="I2">
        <v>43704.25</v>
      </c>
      <c r="J2">
        <v>95427.39</v>
      </c>
      <c r="K2">
        <v>33631.99</v>
      </c>
      <c r="L2">
        <v>223184.54</v>
      </c>
      <c r="M2">
        <v>691</v>
      </c>
      <c r="N2">
        <v>-2.9399999999999999E-2</v>
      </c>
      <c r="O2">
        <v>0.39229999999999998</v>
      </c>
      <c r="P2">
        <v>0.1507</v>
      </c>
      <c r="Q2" t="s">
        <v>24</v>
      </c>
      <c r="R2">
        <v>2025</v>
      </c>
      <c r="S2" t="s">
        <v>25</v>
      </c>
    </row>
    <row r="3" spans="1:19" x14ac:dyDescent="0.3">
      <c r="A3" t="s">
        <v>26</v>
      </c>
      <c r="B3" s="1">
        <v>45899</v>
      </c>
      <c r="C3" t="s">
        <v>27</v>
      </c>
      <c r="D3" t="s">
        <v>28</v>
      </c>
      <c r="E3" t="s">
        <v>22</v>
      </c>
      <c r="F3" t="s">
        <v>23</v>
      </c>
      <c r="G3">
        <v>13384.37</v>
      </c>
      <c r="H3">
        <v>8803.64</v>
      </c>
      <c r="I3">
        <v>4580.7299999999996</v>
      </c>
      <c r="J3">
        <v>63911.77</v>
      </c>
      <c r="K3">
        <v>11964.93</v>
      </c>
      <c r="L3">
        <v>139699.03</v>
      </c>
      <c r="M3">
        <v>596</v>
      </c>
      <c r="N3">
        <v>-9.5899999999999999E-2</v>
      </c>
      <c r="O3">
        <v>0.3422</v>
      </c>
      <c r="P3">
        <v>8.5599999999999996E-2</v>
      </c>
      <c r="Q3" t="s">
        <v>24</v>
      </c>
      <c r="R3">
        <v>2025</v>
      </c>
      <c r="S3" t="s">
        <v>25</v>
      </c>
    </row>
    <row r="4" spans="1:19" x14ac:dyDescent="0.3">
      <c r="A4" t="s">
        <v>29</v>
      </c>
      <c r="B4" s="1">
        <v>45829</v>
      </c>
      <c r="C4" t="s">
        <v>30</v>
      </c>
      <c r="D4" t="s">
        <v>31</v>
      </c>
      <c r="E4" t="s">
        <v>32</v>
      </c>
      <c r="F4" t="s">
        <v>33</v>
      </c>
      <c r="G4">
        <v>51336.19</v>
      </c>
      <c r="H4">
        <v>39774.85</v>
      </c>
      <c r="I4">
        <v>11561.34</v>
      </c>
      <c r="J4">
        <v>35512.71</v>
      </c>
      <c r="K4">
        <v>16643.86</v>
      </c>
      <c r="L4">
        <v>157366.82</v>
      </c>
      <c r="M4">
        <v>1023</v>
      </c>
      <c r="N4">
        <v>-3.7699999999999997E-2</v>
      </c>
      <c r="O4">
        <v>0.22520000000000001</v>
      </c>
      <c r="P4">
        <v>0.10580000000000001</v>
      </c>
      <c r="Q4" t="s">
        <v>34</v>
      </c>
      <c r="R4">
        <v>2025</v>
      </c>
      <c r="S4" t="s">
        <v>25</v>
      </c>
    </row>
    <row r="5" spans="1:19" x14ac:dyDescent="0.3">
      <c r="A5" t="s">
        <v>35</v>
      </c>
      <c r="B5" s="1">
        <v>45070</v>
      </c>
      <c r="C5" t="s">
        <v>36</v>
      </c>
      <c r="D5" t="s">
        <v>37</v>
      </c>
      <c r="E5" t="s">
        <v>38</v>
      </c>
      <c r="F5" t="s">
        <v>23</v>
      </c>
      <c r="G5">
        <v>57566.09</v>
      </c>
      <c r="H5">
        <v>39990.720000000001</v>
      </c>
      <c r="I5">
        <v>17575.37</v>
      </c>
      <c r="J5">
        <v>42740.2</v>
      </c>
      <c r="K5">
        <v>42314.720000000001</v>
      </c>
      <c r="L5">
        <v>78040.97</v>
      </c>
      <c r="M5">
        <v>482</v>
      </c>
      <c r="N5">
        <v>-1.6500000000000001E-2</v>
      </c>
      <c r="O5">
        <v>0.30530000000000002</v>
      </c>
      <c r="P5">
        <v>0.54220000000000002</v>
      </c>
      <c r="Q5" t="s">
        <v>39</v>
      </c>
      <c r="R5">
        <v>2023</v>
      </c>
      <c r="S5" t="s">
        <v>40</v>
      </c>
    </row>
    <row r="6" spans="1:19" x14ac:dyDescent="0.3">
      <c r="A6" t="s">
        <v>41</v>
      </c>
      <c r="B6" s="1">
        <v>45264</v>
      </c>
      <c r="C6" t="s">
        <v>42</v>
      </c>
      <c r="D6" t="s">
        <v>43</v>
      </c>
      <c r="E6" t="s">
        <v>38</v>
      </c>
      <c r="F6" t="s">
        <v>23</v>
      </c>
      <c r="G6">
        <v>65213.01</v>
      </c>
      <c r="H6">
        <v>45401.66</v>
      </c>
      <c r="I6">
        <v>19811.349999999999</v>
      </c>
      <c r="J6">
        <v>76162.53</v>
      </c>
      <c r="K6">
        <v>30888.99</v>
      </c>
      <c r="L6">
        <v>152517.56</v>
      </c>
      <c r="M6">
        <v>1255</v>
      </c>
      <c r="N6">
        <v>-0.12770000000000001</v>
      </c>
      <c r="O6">
        <v>0.30380000000000001</v>
      </c>
      <c r="P6">
        <v>0.20250000000000001</v>
      </c>
      <c r="Q6" t="s">
        <v>44</v>
      </c>
      <c r="R6">
        <v>2023</v>
      </c>
      <c r="S6" t="s">
        <v>25</v>
      </c>
    </row>
    <row r="7" spans="1:19" x14ac:dyDescent="0.3">
      <c r="A7" t="s">
        <v>45</v>
      </c>
      <c r="B7" s="1">
        <v>44857</v>
      </c>
      <c r="C7" t="s">
        <v>36</v>
      </c>
      <c r="D7" t="s">
        <v>37</v>
      </c>
      <c r="E7" t="s">
        <v>38</v>
      </c>
      <c r="F7" t="s">
        <v>23</v>
      </c>
      <c r="G7">
        <v>99466.44</v>
      </c>
      <c r="H7">
        <v>74568.61</v>
      </c>
      <c r="I7">
        <v>24897.83</v>
      </c>
      <c r="J7">
        <v>52126.74</v>
      </c>
      <c r="K7">
        <v>38896.25</v>
      </c>
      <c r="L7">
        <v>115986.37</v>
      </c>
      <c r="M7">
        <v>455</v>
      </c>
      <c r="N7">
        <v>6.4100000000000004E-2</v>
      </c>
      <c r="O7">
        <v>0.25030000000000002</v>
      </c>
      <c r="P7">
        <v>0.33539999999999998</v>
      </c>
      <c r="Q7" t="s">
        <v>46</v>
      </c>
      <c r="R7">
        <v>2022</v>
      </c>
      <c r="S7" t="s">
        <v>40</v>
      </c>
    </row>
    <row r="8" spans="1:19" x14ac:dyDescent="0.3">
      <c r="A8" t="s">
        <v>47</v>
      </c>
      <c r="B8" s="1">
        <v>45082</v>
      </c>
      <c r="C8" t="s">
        <v>48</v>
      </c>
      <c r="D8" t="s">
        <v>49</v>
      </c>
      <c r="E8" t="s">
        <v>38</v>
      </c>
      <c r="F8" t="s">
        <v>23</v>
      </c>
      <c r="G8">
        <v>47098.7</v>
      </c>
      <c r="H8">
        <v>26000.52</v>
      </c>
      <c r="I8">
        <v>21098.18</v>
      </c>
      <c r="J8">
        <v>50421.52</v>
      </c>
      <c r="K8">
        <v>42860.17</v>
      </c>
      <c r="L8">
        <v>166940.72</v>
      </c>
      <c r="M8">
        <v>1342</v>
      </c>
      <c r="N8">
        <v>6.6600000000000006E-2</v>
      </c>
      <c r="O8">
        <v>0.44800000000000001</v>
      </c>
      <c r="P8">
        <v>0.25669999999999998</v>
      </c>
      <c r="Q8" t="s">
        <v>39</v>
      </c>
      <c r="R8">
        <v>2023</v>
      </c>
      <c r="S8" t="s">
        <v>25</v>
      </c>
    </row>
    <row r="9" spans="1:19" x14ac:dyDescent="0.3">
      <c r="A9" t="s">
        <v>50</v>
      </c>
      <c r="B9" s="1">
        <v>45579</v>
      </c>
      <c r="C9" t="s">
        <v>27</v>
      </c>
      <c r="D9" t="s">
        <v>28</v>
      </c>
      <c r="E9" t="s">
        <v>51</v>
      </c>
      <c r="F9" t="s">
        <v>23</v>
      </c>
      <c r="G9">
        <v>27438.44</v>
      </c>
      <c r="H9">
        <v>15736.4</v>
      </c>
      <c r="I9">
        <v>11702.04</v>
      </c>
      <c r="J9">
        <v>70951.58</v>
      </c>
      <c r="K9">
        <v>11102.57</v>
      </c>
      <c r="L9">
        <v>95363.94</v>
      </c>
      <c r="M9">
        <v>1294</v>
      </c>
      <c r="N9">
        <v>0.11169999999999999</v>
      </c>
      <c r="O9">
        <v>0.42649999999999999</v>
      </c>
      <c r="P9">
        <v>0.1164</v>
      </c>
      <c r="Q9" t="s">
        <v>52</v>
      </c>
      <c r="R9">
        <v>2024</v>
      </c>
      <c r="S9" t="s">
        <v>25</v>
      </c>
    </row>
    <row r="10" spans="1:19" x14ac:dyDescent="0.3">
      <c r="A10" t="s">
        <v>53</v>
      </c>
      <c r="B10" s="1">
        <v>45174</v>
      </c>
      <c r="C10" t="s">
        <v>54</v>
      </c>
      <c r="D10" t="s">
        <v>55</v>
      </c>
      <c r="E10" t="s">
        <v>32</v>
      </c>
      <c r="F10" t="s">
        <v>33</v>
      </c>
      <c r="G10">
        <v>39857.03</v>
      </c>
      <c r="H10">
        <v>25697.63</v>
      </c>
      <c r="I10">
        <v>14159.4</v>
      </c>
      <c r="J10">
        <v>56894.03</v>
      </c>
      <c r="K10">
        <v>23850.799999999999</v>
      </c>
      <c r="L10">
        <v>85916.68</v>
      </c>
      <c r="M10">
        <v>960</v>
      </c>
      <c r="N10">
        <v>1.5E-3</v>
      </c>
      <c r="O10">
        <v>0.3553</v>
      </c>
      <c r="P10">
        <v>0.27760000000000001</v>
      </c>
      <c r="Q10" t="s">
        <v>56</v>
      </c>
      <c r="R10">
        <v>2023</v>
      </c>
      <c r="S10" t="s">
        <v>25</v>
      </c>
    </row>
    <row r="11" spans="1:19" x14ac:dyDescent="0.3">
      <c r="A11" t="s">
        <v>57</v>
      </c>
      <c r="B11" s="1">
        <v>44657</v>
      </c>
      <c r="C11" t="s">
        <v>48</v>
      </c>
      <c r="D11" t="s">
        <v>49</v>
      </c>
      <c r="E11" t="s">
        <v>38</v>
      </c>
      <c r="F11" t="s">
        <v>23</v>
      </c>
      <c r="G11">
        <v>43987.86</v>
      </c>
      <c r="H11">
        <v>34030.519999999997</v>
      </c>
      <c r="I11">
        <v>9957.34</v>
      </c>
      <c r="J11">
        <v>44212.38</v>
      </c>
      <c r="K11">
        <v>8648.34</v>
      </c>
      <c r="L11">
        <v>113273.88</v>
      </c>
      <c r="M11">
        <v>954</v>
      </c>
      <c r="N11">
        <v>5.5599999999999997E-2</v>
      </c>
      <c r="O11">
        <v>0.22639999999999999</v>
      </c>
      <c r="P11">
        <v>7.6300000000000007E-2</v>
      </c>
      <c r="Q11" t="s">
        <v>58</v>
      </c>
      <c r="R11">
        <v>2022</v>
      </c>
      <c r="S11" t="s">
        <v>25</v>
      </c>
    </row>
    <row r="12" spans="1:19" x14ac:dyDescent="0.3">
      <c r="A12" t="s">
        <v>59</v>
      </c>
      <c r="B12" s="1">
        <v>45139</v>
      </c>
      <c r="C12" t="s">
        <v>30</v>
      </c>
      <c r="D12" t="s">
        <v>31</v>
      </c>
      <c r="E12" t="s">
        <v>38</v>
      </c>
      <c r="F12" t="s">
        <v>23</v>
      </c>
      <c r="G12">
        <v>28182.91</v>
      </c>
      <c r="H12">
        <v>16600.66</v>
      </c>
      <c r="I12">
        <v>11582.25</v>
      </c>
      <c r="J12">
        <v>61380.08</v>
      </c>
      <c r="K12">
        <v>8217.82</v>
      </c>
      <c r="L12">
        <v>111811.23</v>
      </c>
      <c r="M12">
        <v>1384</v>
      </c>
      <c r="N12">
        <v>-5.7000000000000002E-3</v>
      </c>
      <c r="O12">
        <v>0.41099999999999998</v>
      </c>
      <c r="P12">
        <v>7.3499999999999996E-2</v>
      </c>
      <c r="Q12" t="s">
        <v>56</v>
      </c>
      <c r="R12">
        <v>2023</v>
      </c>
      <c r="S12" t="s">
        <v>25</v>
      </c>
    </row>
    <row r="13" spans="1:19" x14ac:dyDescent="0.3">
      <c r="A13" t="s">
        <v>60</v>
      </c>
      <c r="B13" s="1">
        <v>45816</v>
      </c>
      <c r="C13" t="s">
        <v>61</v>
      </c>
      <c r="D13" t="s">
        <v>62</v>
      </c>
      <c r="E13" t="s">
        <v>38</v>
      </c>
      <c r="F13" t="s">
        <v>23</v>
      </c>
      <c r="G13">
        <v>61832.22</v>
      </c>
      <c r="H13">
        <v>48825.53</v>
      </c>
      <c r="I13">
        <v>13006.69</v>
      </c>
      <c r="J13">
        <v>45372.84</v>
      </c>
      <c r="K13">
        <v>13410</v>
      </c>
      <c r="L13">
        <v>86319.17</v>
      </c>
      <c r="M13">
        <v>497</v>
      </c>
      <c r="N13">
        <v>0.23080000000000001</v>
      </c>
      <c r="O13">
        <v>0.2104</v>
      </c>
      <c r="P13">
        <v>0.15540000000000001</v>
      </c>
      <c r="Q13" t="s">
        <v>34</v>
      </c>
      <c r="R13">
        <v>2025</v>
      </c>
      <c r="S13" t="s">
        <v>25</v>
      </c>
    </row>
    <row r="14" spans="1:19" x14ac:dyDescent="0.3">
      <c r="A14" t="s">
        <v>63</v>
      </c>
      <c r="B14" s="1">
        <v>45245</v>
      </c>
      <c r="C14" t="s">
        <v>48</v>
      </c>
      <c r="D14" t="s">
        <v>49</v>
      </c>
      <c r="E14" t="s">
        <v>38</v>
      </c>
      <c r="F14" t="s">
        <v>23</v>
      </c>
      <c r="G14">
        <v>47432.39</v>
      </c>
      <c r="H14">
        <v>29927.119999999999</v>
      </c>
      <c r="I14">
        <v>17505.27</v>
      </c>
      <c r="J14">
        <v>22933.38</v>
      </c>
      <c r="K14">
        <v>5047.8599999999997</v>
      </c>
      <c r="L14">
        <v>177411.14</v>
      </c>
      <c r="M14">
        <v>891</v>
      </c>
      <c r="N14">
        <v>7.9000000000000008E-3</v>
      </c>
      <c r="O14">
        <v>0.36909999999999998</v>
      </c>
      <c r="P14">
        <v>2.8500000000000001E-2</v>
      </c>
      <c r="Q14" t="s">
        <v>44</v>
      </c>
      <c r="R14">
        <v>2023</v>
      </c>
      <c r="S14" t="s">
        <v>25</v>
      </c>
    </row>
    <row r="15" spans="1:19" x14ac:dyDescent="0.3">
      <c r="A15" t="s">
        <v>64</v>
      </c>
      <c r="B15" s="1">
        <v>45971</v>
      </c>
      <c r="C15" t="s">
        <v>36</v>
      </c>
      <c r="D15" t="s">
        <v>37</v>
      </c>
      <c r="E15" t="s">
        <v>65</v>
      </c>
      <c r="F15" t="s">
        <v>23</v>
      </c>
      <c r="G15">
        <v>44671.34</v>
      </c>
      <c r="H15">
        <v>41060.29</v>
      </c>
      <c r="I15">
        <v>3611.05</v>
      </c>
      <c r="J15">
        <v>45260.54</v>
      </c>
      <c r="K15">
        <v>18893.759999999998</v>
      </c>
      <c r="L15">
        <v>101472.02</v>
      </c>
      <c r="M15">
        <v>1566</v>
      </c>
      <c r="N15">
        <v>-9.7000000000000003E-2</v>
      </c>
      <c r="O15">
        <v>8.0799999999999997E-2</v>
      </c>
      <c r="P15">
        <v>0.1862</v>
      </c>
      <c r="Q15" t="s">
        <v>66</v>
      </c>
      <c r="R15">
        <v>2025</v>
      </c>
      <c r="S15" t="s">
        <v>25</v>
      </c>
    </row>
    <row r="16" spans="1:19" x14ac:dyDescent="0.3">
      <c r="A16" t="s">
        <v>67</v>
      </c>
      <c r="B16" s="1">
        <v>45291</v>
      </c>
      <c r="C16" t="s">
        <v>68</v>
      </c>
      <c r="D16" t="s">
        <v>69</v>
      </c>
      <c r="E16" t="s">
        <v>32</v>
      </c>
      <c r="F16" t="s">
        <v>33</v>
      </c>
      <c r="G16">
        <v>153711.82</v>
      </c>
      <c r="H16">
        <v>98056.75</v>
      </c>
      <c r="I16">
        <v>55655.07</v>
      </c>
      <c r="J16">
        <v>55623.06</v>
      </c>
      <c r="K16">
        <v>14165.12</v>
      </c>
      <c r="L16">
        <v>224683.54</v>
      </c>
      <c r="M16">
        <v>1689</v>
      </c>
      <c r="N16">
        <v>0.1144</v>
      </c>
      <c r="O16">
        <v>0.36209999999999998</v>
      </c>
      <c r="P16">
        <v>6.3E-2</v>
      </c>
      <c r="Q16" t="s">
        <v>44</v>
      </c>
      <c r="R16">
        <v>2023</v>
      </c>
      <c r="S16" t="s">
        <v>25</v>
      </c>
    </row>
    <row r="17" spans="1:19" x14ac:dyDescent="0.3">
      <c r="A17" t="s">
        <v>70</v>
      </c>
      <c r="B17" s="1">
        <v>44705</v>
      </c>
      <c r="C17" t="s">
        <v>54</v>
      </c>
      <c r="D17" t="s">
        <v>55</v>
      </c>
      <c r="E17" t="s">
        <v>22</v>
      </c>
      <c r="F17" t="s">
        <v>23</v>
      </c>
      <c r="G17">
        <v>53064.79</v>
      </c>
      <c r="H17">
        <v>32847.730000000003</v>
      </c>
      <c r="I17">
        <v>20217.060000000001</v>
      </c>
      <c r="J17">
        <v>62706.09</v>
      </c>
      <c r="K17">
        <v>29135.75</v>
      </c>
      <c r="L17">
        <v>103749.81</v>
      </c>
      <c r="M17">
        <v>446</v>
      </c>
      <c r="N17">
        <v>1.5100000000000001E-2</v>
      </c>
      <c r="O17">
        <v>0.38100000000000001</v>
      </c>
      <c r="P17">
        <v>0.28079999999999999</v>
      </c>
      <c r="Q17" t="s">
        <v>58</v>
      </c>
      <c r="R17">
        <v>2022</v>
      </c>
      <c r="S17" t="s">
        <v>25</v>
      </c>
    </row>
    <row r="18" spans="1:19" x14ac:dyDescent="0.3">
      <c r="A18" t="s">
        <v>71</v>
      </c>
      <c r="B18" s="1">
        <v>45490</v>
      </c>
      <c r="C18" t="s">
        <v>20</v>
      </c>
      <c r="D18" t="s">
        <v>21</v>
      </c>
      <c r="E18" t="s">
        <v>38</v>
      </c>
      <c r="F18" t="s">
        <v>23</v>
      </c>
      <c r="G18">
        <v>96587.86</v>
      </c>
      <c r="H18">
        <v>83061</v>
      </c>
      <c r="I18">
        <v>13526.86</v>
      </c>
      <c r="J18">
        <v>5832.56</v>
      </c>
      <c r="K18">
        <v>68553.25</v>
      </c>
      <c r="L18">
        <v>121097.4</v>
      </c>
      <c r="M18">
        <v>984</v>
      </c>
      <c r="N18">
        <v>-9.8299999999999998E-2</v>
      </c>
      <c r="O18">
        <v>0.14000000000000001</v>
      </c>
      <c r="P18">
        <v>0.56610000000000005</v>
      </c>
      <c r="Q18" t="s">
        <v>72</v>
      </c>
      <c r="R18">
        <v>2024</v>
      </c>
      <c r="S18" t="s">
        <v>40</v>
      </c>
    </row>
    <row r="19" spans="1:19" x14ac:dyDescent="0.3">
      <c r="A19" t="s">
        <v>73</v>
      </c>
      <c r="B19" s="1">
        <v>44705</v>
      </c>
      <c r="C19" t="s">
        <v>61</v>
      </c>
      <c r="D19" t="s">
        <v>74</v>
      </c>
      <c r="E19" t="s">
        <v>38</v>
      </c>
      <c r="F19" t="s">
        <v>23</v>
      </c>
      <c r="G19">
        <v>84782.88</v>
      </c>
      <c r="H19">
        <v>63245.55</v>
      </c>
      <c r="I19">
        <v>21537.33</v>
      </c>
      <c r="J19">
        <v>82043.09</v>
      </c>
      <c r="K19">
        <v>20752.189999999999</v>
      </c>
      <c r="L19">
        <v>133350.99</v>
      </c>
      <c r="M19">
        <v>469</v>
      </c>
      <c r="N19">
        <v>9.9299999999999999E-2</v>
      </c>
      <c r="O19">
        <v>0.254</v>
      </c>
      <c r="P19">
        <v>0.15559999999999999</v>
      </c>
      <c r="Q19" t="s">
        <v>58</v>
      </c>
      <c r="R19">
        <v>2022</v>
      </c>
      <c r="S19" t="s">
        <v>25</v>
      </c>
    </row>
    <row r="20" spans="1:19" x14ac:dyDescent="0.3">
      <c r="A20" t="s">
        <v>75</v>
      </c>
      <c r="B20" s="1">
        <v>44769</v>
      </c>
      <c r="C20" t="s">
        <v>30</v>
      </c>
      <c r="D20" t="s">
        <v>31</v>
      </c>
      <c r="E20" t="s">
        <v>22</v>
      </c>
      <c r="F20" t="s">
        <v>23</v>
      </c>
      <c r="G20">
        <v>109257.91</v>
      </c>
      <c r="H20">
        <v>63493.25</v>
      </c>
      <c r="I20">
        <v>45764.66</v>
      </c>
      <c r="J20">
        <v>77029.95</v>
      </c>
      <c r="K20">
        <v>34011.64</v>
      </c>
      <c r="L20">
        <v>112069.63</v>
      </c>
      <c r="M20">
        <v>2078</v>
      </c>
      <c r="N20">
        <v>4.5499999999999999E-2</v>
      </c>
      <c r="O20">
        <v>0.41889999999999999</v>
      </c>
      <c r="P20">
        <v>0.30349999999999999</v>
      </c>
      <c r="Q20" t="s">
        <v>76</v>
      </c>
      <c r="R20">
        <v>2022</v>
      </c>
      <c r="S20" t="s">
        <v>40</v>
      </c>
    </row>
    <row r="21" spans="1:19" x14ac:dyDescent="0.3">
      <c r="A21" t="s">
        <v>77</v>
      </c>
      <c r="B21" s="1">
        <v>45362</v>
      </c>
      <c r="C21" t="s">
        <v>78</v>
      </c>
      <c r="D21" t="s">
        <v>79</v>
      </c>
      <c r="E21" t="s">
        <v>38</v>
      </c>
      <c r="F21" t="s">
        <v>23</v>
      </c>
      <c r="G21">
        <v>30805.599999999999</v>
      </c>
      <c r="H21">
        <v>21120.12</v>
      </c>
      <c r="I21">
        <v>9685.48</v>
      </c>
      <c r="J21">
        <v>32283.08</v>
      </c>
      <c r="K21">
        <v>53840.63</v>
      </c>
      <c r="L21">
        <v>155144.26</v>
      </c>
      <c r="M21">
        <v>1083</v>
      </c>
      <c r="N21">
        <v>-0.13150000000000001</v>
      </c>
      <c r="O21">
        <v>0.31440000000000001</v>
      </c>
      <c r="P21">
        <v>0.34699999999999998</v>
      </c>
      <c r="Q21" t="s">
        <v>80</v>
      </c>
      <c r="R21">
        <v>2024</v>
      </c>
      <c r="S21" t="s">
        <v>40</v>
      </c>
    </row>
    <row r="22" spans="1:19" x14ac:dyDescent="0.3">
      <c r="A22" t="s">
        <v>81</v>
      </c>
      <c r="B22" s="1">
        <v>45960</v>
      </c>
      <c r="C22" t="s">
        <v>54</v>
      </c>
      <c r="D22" t="s">
        <v>55</v>
      </c>
      <c r="E22" t="s">
        <v>32</v>
      </c>
      <c r="F22" t="s">
        <v>33</v>
      </c>
      <c r="G22">
        <v>103854.48</v>
      </c>
      <c r="H22">
        <v>94735.06</v>
      </c>
      <c r="I22">
        <v>9119.42</v>
      </c>
      <c r="J22">
        <v>11512.55</v>
      </c>
      <c r="K22">
        <v>55737.57</v>
      </c>
      <c r="L22">
        <v>70066.63</v>
      </c>
      <c r="M22">
        <v>375</v>
      </c>
      <c r="N22">
        <v>-5.3600000000000002E-2</v>
      </c>
      <c r="O22">
        <v>8.7800000000000003E-2</v>
      </c>
      <c r="P22">
        <v>0.79549999999999998</v>
      </c>
      <c r="Q22" t="s">
        <v>66</v>
      </c>
      <c r="R22">
        <v>2025</v>
      </c>
      <c r="S22" t="s">
        <v>82</v>
      </c>
    </row>
    <row r="23" spans="1:19" x14ac:dyDescent="0.3">
      <c r="A23" t="s">
        <v>83</v>
      </c>
      <c r="B23" s="1">
        <v>45521</v>
      </c>
      <c r="C23" t="s">
        <v>48</v>
      </c>
      <c r="D23" t="s">
        <v>49</v>
      </c>
      <c r="E23" t="s">
        <v>32</v>
      </c>
      <c r="F23" t="s">
        <v>33</v>
      </c>
      <c r="G23">
        <v>57381.23</v>
      </c>
      <c r="H23">
        <v>42158.080000000002</v>
      </c>
      <c r="I23">
        <v>15223.15</v>
      </c>
      <c r="J23">
        <v>46747.59</v>
      </c>
      <c r="K23">
        <v>87893.31</v>
      </c>
      <c r="L23">
        <v>127373.93</v>
      </c>
      <c r="M23">
        <v>402</v>
      </c>
      <c r="N23">
        <v>-8.2000000000000007E-3</v>
      </c>
      <c r="O23">
        <v>0.26529999999999998</v>
      </c>
      <c r="P23">
        <v>0.69</v>
      </c>
      <c r="Q23" t="s">
        <v>72</v>
      </c>
      <c r="R23">
        <v>2024</v>
      </c>
      <c r="S23" t="s">
        <v>82</v>
      </c>
    </row>
    <row r="24" spans="1:19" x14ac:dyDescent="0.3">
      <c r="A24" t="s">
        <v>84</v>
      </c>
      <c r="B24" s="1">
        <v>45622</v>
      </c>
      <c r="C24" t="s">
        <v>85</v>
      </c>
      <c r="D24" t="s">
        <v>86</v>
      </c>
      <c r="E24" t="s">
        <v>32</v>
      </c>
      <c r="F24" t="s">
        <v>33</v>
      </c>
      <c r="G24">
        <v>67461.61</v>
      </c>
      <c r="H24">
        <v>61232.36</v>
      </c>
      <c r="I24">
        <v>6229.25</v>
      </c>
      <c r="J24">
        <v>55173.53</v>
      </c>
      <c r="K24">
        <v>13664.62</v>
      </c>
      <c r="L24">
        <v>74396.56</v>
      </c>
      <c r="M24">
        <v>734</v>
      </c>
      <c r="N24">
        <v>7.4200000000000002E-2</v>
      </c>
      <c r="O24">
        <v>9.2299999999999993E-2</v>
      </c>
      <c r="P24">
        <v>0.1837</v>
      </c>
      <c r="Q24" t="s">
        <v>52</v>
      </c>
      <c r="R24">
        <v>2024</v>
      </c>
      <c r="S24" t="s">
        <v>25</v>
      </c>
    </row>
    <row r="25" spans="1:19" x14ac:dyDescent="0.3">
      <c r="A25" t="s">
        <v>87</v>
      </c>
      <c r="B25" s="1">
        <v>45127</v>
      </c>
      <c r="C25" t="s">
        <v>68</v>
      </c>
      <c r="D25" t="s">
        <v>69</v>
      </c>
      <c r="E25" t="s">
        <v>32</v>
      </c>
      <c r="F25" t="s">
        <v>33</v>
      </c>
      <c r="G25">
        <v>110144.53</v>
      </c>
      <c r="H25">
        <v>64539.77</v>
      </c>
      <c r="I25">
        <v>45604.76</v>
      </c>
      <c r="J25">
        <v>112877.25</v>
      </c>
      <c r="K25">
        <v>28185.61</v>
      </c>
      <c r="L25">
        <v>138284.04999999999</v>
      </c>
      <c r="M25">
        <v>1054</v>
      </c>
      <c r="N25">
        <v>5.21E-2</v>
      </c>
      <c r="O25">
        <v>0.41399999999999998</v>
      </c>
      <c r="P25">
        <v>0.20380000000000001</v>
      </c>
      <c r="Q25" t="s">
        <v>56</v>
      </c>
      <c r="R25">
        <v>2023</v>
      </c>
      <c r="S25" t="s">
        <v>25</v>
      </c>
    </row>
    <row r="26" spans="1:19" x14ac:dyDescent="0.3">
      <c r="A26" t="s">
        <v>88</v>
      </c>
      <c r="B26" s="1">
        <v>44807</v>
      </c>
      <c r="C26" t="s">
        <v>48</v>
      </c>
      <c r="D26" t="s">
        <v>49</v>
      </c>
      <c r="E26" t="s">
        <v>38</v>
      </c>
      <c r="F26" t="s">
        <v>23</v>
      </c>
      <c r="G26">
        <v>29867.16</v>
      </c>
      <c r="H26">
        <v>25371.07</v>
      </c>
      <c r="I26">
        <v>4496.09</v>
      </c>
      <c r="J26">
        <v>17043.47</v>
      </c>
      <c r="K26">
        <v>34322.6</v>
      </c>
      <c r="L26">
        <v>89656.93</v>
      </c>
      <c r="M26">
        <v>907</v>
      </c>
      <c r="N26">
        <v>7.5399999999999995E-2</v>
      </c>
      <c r="O26">
        <v>0.15049999999999999</v>
      </c>
      <c r="P26">
        <v>0.38279999999999997</v>
      </c>
      <c r="Q26" t="s">
        <v>76</v>
      </c>
      <c r="R26">
        <v>2022</v>
      </c>
      <c r="S26" t="s">
        <v>40</v>
      </c>
    </row>
    <row r="27" spans="1:19" x14ac:dyDescent="0.3">
      <c r="A27" t="s">
        <v>89</v>
      </c>
      <c r="B27" s="1">
        <v>44581</v>
      </c>
      <c r="C27" t="s">
        <v>78</v>
      </c>
      <c r="D27" t="s">
        <v>79</v>
      </c>
      <c r="E27" t="s">
        <v>22</v>
      </c>
      <c r="F27" t="s">
        <v>23</v>
      </c>
      <c r="G27">
        <v>173697.9</v>
      </c>
      <c r="H27">
        <v>146678.03</v>
      </c>
      <c r="I27">
        <v>27019.87</v>
      </c>
      <c r="J27">
        <v>65626.960000000006</v>
      </c>
      <c r="K27">
        <v>20905.86</v>
      </c>
      <c r="L27">
        <v>171418.61</v>
      </c>
      <c r="M27">
        <v>634</v>
      </c>
      <c r="N27">
        <v>-7.7999999999999996E-3</v>
      </c>
      <c r="O27">
        <v>0.15559999999999999</v>
      </c>
      <c r="P27">
        <v>0.122</v>
      </c>
      <c r="Q27" t="s">
        <v>90</v>
      </c>
      <c r="R27">
        <v>2022</v>
      </c>
      <c r="S27" t="s">
        <v>25</v>
      </c>
    </row>
    <row r="28" spans="1:19" x14ac:dyDescent="0.3">
      <c r="A28" t="s">
        <v>91</v>
      </c>
      <c r="B28" s="1">
        <v>44612</v>
      </c>
      <c r="C28" t="s">
        <v>20</v>
      </c>
      <c r="D28" t="s">
        <v>21</v>
      </c>
      <c r="E28" t="s">
        <v>22</v>
      </c>
      <c r="F28" t="s">
        <v>23</v>
      </c>
      <c r="G28">
        <v>329235.33</v>
      </c>
      <c r="H28">
        <v>215985.05</v>
      </c>
      <c r="I28">
        <v>113250.28</v>
      </c>
      <c r="J28">
        <v>8892.06</v>
      </c>
      <c r="K28">
        <v>19309.93</v>
      </c>
      <c r="L28">
        <v>72478.09</v>
      </c>
      <c r="M28">
        <v>600</v>
      </c>
      <c r="N28">
        <v>-1.5100000000000001E-2</v>
      </c>
      <c r="O28">
        <v>0.34399999999999997</v>
      </c>
      <c r="P28">
        <v>0.26640000000000003</v>
      </c>
      <c r="Q28" t="s">
        <v>90</v>
      </c>
      <c r="R28">
        <v>2022</v>
      </c>
      <c r="S28" t="s">
        <v>25</v>
      </c>
    </row>
    <row r="29" spans="1:19" x14ac:dyDescent="0.3">
      <c r="A29" t="s">
        <v>92</v>
      </c>
      <c r="B29" s="1">
        <v>45565</v>
      </c>
      <c r="C29" t="s">
        <v>48</v>
      </c>
      <c r="D29" t="s">
        <v>49</v>
      </c>
      <c r="E29" t="s">
        <v>22</v>
      </c>
      <c r="F29" t="s">
        <v>23</v>
      </c>
      <c r="G29">
        <v>70900.42</v>
      </c>
      <c r="H29">
        <v>61084.15</v>
      </c>
      <c r="I29">
        <v>9816.27</v>
      </c>
      <c r="J29">
        <v>47244.24</v>
      </c>
      <c r="K29">
        <v>19938</v>
      </c>
      <c r="L29">
        <v>69977.59</v>
      </c>
      <c r="M29">
        <v>636</v>
      </c>
      <c r="N29">
        <v>4.1700000000000001E-2</v>
      </c>
      <c r="O29">
        <v>0.13850000000000001</v>
      </c>
      <c r="P29">
        <v>0.28489999999999999</v>
      </c>
      <c r="Q29" t="s">
        <v>72</v>
      </c>
      <c r="R29">
        <v>2024</v>
      </c>
      <c r="S29" t="s">
        <v>25</v>
      </c>
    </row>
    <row r="30" spans="1:19" x14ac:dyDescent="0.3">
      <c r="A30" t="s">
        <v>93</v>
      </c>
      <c r="B30" s="1">
        <v>45218</v>
      </c>
      <c r="C30" t="s">
        <v>68</v>
      </c>
      <c r="D30" t="s">
        <v>69</v>
      </c>
      <c r="E30" t="s">
        <v>32</v>
      </c>
      <c r="F30" t="s">
        <v>33</v>
      </c>
      <c r="G30">
        <v>31252.53</v>
      </c>
      <c r="H30">
        <v>25792.58</v>
      </c>
      <c r="I30">
        <v>5459.95</v>
      </c>
      <c r="J30">
        <v>8156.58</v>
      </c>
      <c r="K30">
        <v>14970.64</v>
      </c>
      <c r="L30">
        <v>46961.11</v>
      </c>
      <c r="M30">
        <v>844</v>
      </c>
      <c r="N30">
        <v>-4.9500000000000002E-2</v>
      </c>
      <c r="O30">
        <v>0.17469999999999999</v>
      </c>
      <c r="P30">
        <v>0.31879999999999997</v>
      </c>
      <c r="Q30" t="s">
        <v>44</v>
      </c>
      <c r="R30">
        <v>2023</v>
      </c>
      <c r="S30" t="s">
        <v>40</v>
      </c>
    </row>
    <row r="31" spans="1:19" x14ac:dyDescent="0.3">
      <c r="A31" t="s">
        <v>94</v>
      </c>
      <c r="B31" s="1">
        <v>45643</v>
      </c>
      <c r="C31" t="s">
        <v>36</v>
      </c>
      <c r="D31" t="s">
        <v>37</v>
      </c>
      <c r="E31" t="s">
        <v>32</v>
      </c>
      <c r="F31" t="s">
        <v>33</v>
      </c>
      <c r="G31">
        <v>67842.38</v>
      </c>
      <c r="H31">
        <v>43332.37</v>
      </c>
      <c r="I31">
        <v>24510.01</v>
      </c>
      <c r="J31">
        <v>58817.58</v>
      </c>
      <c r="K31">
        <v>31166.04</v>
      </c>
      <c r="L31">
        <v>151175.14000000001</v>
      </c>
      <c r="M31">
        <v>2346</v>
      </c>
      <c r="N31">
        <v>2.7E-2</v>
      </c>
      <c r="O31">
        <v>0.36130000000000001</v>
      </c>
      <c r="P31">
        <v>0.20619999999999999</v>
      </c>
      <c r="Q31" t="s">
        <v>52</v>
      </c>
      <c r="R31">
        <v>2024</v>
      </c>
      <c r="S31" t="s">
        <v>25</v>
      </c>
    </row>
    <row r="32" spans="1:19" x14ac:dyDescent="0.3">
      <c r="A32" t="s">
        <v>95</v>
      </c>
      <c r="B32" s="1">
        <v>44808</v>
      </c>
      <c r="C32" t="s">
        <v>27</v>
      </c>
      <c r="D32" t="s">
        <v>28</v>
      </c>
      <c r="E32" t="s">
        <v>22</v>
      </c>
      <c r="F32" t="s">
        <v>23</v>
      </c>
      <c r="G32">
        <v>77363.3</v>
      </c>
      <c r="H32">
        <v>47090.98</v>
      </c>
      <c r="I32">
        <v>30272.32</v>
      </c>
      <c r="J32">
        <v>21698.15</v>
      </c>
      <c r="K32">
        <v>20506.37</v>
      </c>
      <c r="L32">
        <v>54183.57</v>
      </c>
      <c r="M32">
        <v>1229</v>
      </c>
      <c r="N32">
        <v>5.5E-2</v>
      </c>
      <c r="O32">
        <v>0.39129999999999998</v>
      </c>
      <c r="P32">
        <v>0.3785</v>
      </c>
      <c r="Q32" t="s">
        <v>76</v>
      </c>
      <c r="R32">
        <v>2022</v>
      </c>
      <c r="S32" t="s">
        <v>40</v>
      </c>
    </row>
    <row r="33" spans="1:19" x14ac:dyDescent="0.3">
      <c r="A33" t="s">
        <v>96</v>
      </c>
      <c r="B33" s="1">
        <v>44918</v>
      </c>
      <c r="C33" t="s">
        <v>42</v>
      </c>
      <c r="D33" t="s">
        <v>43</v>
      </c>
      <c r="E33" t="s">
        <v>38</v>
      </c>
      <c r="F33" t="s">
        <v>23</v>
      </c>
      <c r="G33">
        <v>211307</v>
      </c>
      <c r="H33">
        <v>165872.75</v>
      </c>
      <c r="I33">
        <v>45434.25</v>
      </c>
      <c r="K33">
        <v>24276.65</v>
      </c>
      <c r="L33">
        <v>54299.41</v>
      </c>
      <c r="M33">
        <v>921</v>
      </c>
      <c r="N33">
        <v>0.18609999999999999</v>
      </c>
      <c r="O33">
        <v>0.215</v>
      </c>
      <c r="P33">
        <v>0.4471</v>
      </c>
      <c r="Q33" t="s">
        <v>46</v>
      </c>
      <c r="R33">
        <v>2022</v>
      </c>
      <c r="S33" t="s">
        <v>40</v>
      </c>
    </row>
    <row r="34" spans="1:19" x14ac:dyDescent="0.3">
      <c r="A34" t="s">
        <v>97</v>
      </c>
      <c r="B34" s="1">
        <v>45077</v>
      </c>
      <c r="C34" t="s">
        <v>48</v>
      </c>
      <c r="D34" t="s">
        <v>49</v>
      </c>
      <c r="E34" t="s">
        <v>32</v>
      </c>
      <c r="F34" t="s">
        <v>33</v>
      </c>
      <c r="G34">
        <v>105772.88</v>
      </c>
      <c r="H34">
        <v>95129.279999999999</v>
      </c>
      <c r="I34">
        <v>10643.6</v>
      </c>
      <c r="J34">
        <v>36451.11</v>
      </c>
      <c r="K34">
        <v>35427.89</v>
      </c>
      <c r="L34">
        <v>156382.42000000001</v>
      </c>
      <c r="M34">
        <v>1180</v>
      </c>
      <c r="N34">
        <v>8.7400000000000005E-2</v>
      </c>
      <c r="O34">
        <v>0.10059999999999999</v>
      </c>
      <c r="P34">
        <v>0.22650000000000001</v>
      </c>
      <c r="Q34" t="s">
        <v>39</v>
      </c>
      <c r="R34">
        <v>2023</v>
      </c>
      <c r="S34" t="s">
        <v>25</v>
      </c>
    </row>
    <row r="35" spans="1:19" x14ac:dyDescent="0.3">
      <c r="A35" t="s">
        <v>98</v>
      </c>
      <c r="B35" s="1">
        <v>45518</v>
      </c>
      <c r="C35" t="s">
        <v>30</v>
      </c>
      <c r="D35" t="s">
        <v>31</v>
      </c>
      <c r="E35" t="s">
        <v>22</v>
      </c>
      <c r="F35" t="s">
        <v>23</v>
      </c>
      <c r="G35">
        <v>114285.11</v>
      </c>
      <c r="H35">
        <v>79183.350000000006</v>
      </c>
      <c r="I35">
        <v>35101.760000000002</v>
      </c>
      <c r="J35">
        <v>34533.35</v>
      </c>
      <c r="K35">
        <v>33684.51</v>
      </c>
      <c r="L35">
        <v>72066.33</v>
      </c>
      <c r="M35">
        <v>817</v>
      </c>
      <c r="N35">
        <v>-2.7E-2</v>
      </c>
      <c r="O35">
        <v>0.30709999999999998</v>
      </c>
      <c r="P35">
        <v>0.46739999999999998</v>
      </c>
      <c r="Q35" t="s">
        <v>72</v>
      </c>
      <c r="R35">
        <v>2024</v>
      </c>
      <c r="S35" t="s">
        <v>40</v>
      </c>
    </row>
    <row r="36" spans="1:19" x14ac:dyDescent="0.3">
      <c r="A36" t="s">
        <v>99</v>
      </c>
      <c r="B36" s="1">
        <v>45583</v>
      </c>
      <c r="C36" t="s">
        <v>61</v>
      </c>
      <c r="D36" t="s">
        <v>74</v>
      </c>
      <c r="E36" t="s">
        <v>22</v>
      </c>
      <c r="F36" t="s">
        <v>23</v>
      </c>
      <c r="H36">
        <v>29601.11</v>
      </c>
      <c r="J36">
        <v>59558.93</v>
      </c>
      <c r="K36">
        <v>57619.07</v>
      </c>
      <c r="L36">
        <v>237536.47</v>
      </c>
      <c r="M36">
        <v>1056</v>
      </c>
      <c r="N36">
        <v>5.3600000000000002E-2</v>
      </c>
      <c r="P36">
        <v>0.24260000000000001</v>
      </c>
      <c r="Q36" t="s">
        <v>52</v>
      </c>
      <c r="R36">
        <v>2024</v>
      </c>
      <c r="S36" t="s">
        <v>25</v>
      </c>
    </row>
    <row r="37" spans="1:19" x14ac:dyDescent="0.3">
      <c r="A37" t="s">
        <v>100</v>
      </c>
      <c r="B37" s="1">
        <v>45237</v>
      </c>
      <c r="C37" t="s">
        <v>27</v>
      </c>
      <c r="D37" t="s">
        <v>28</v>
      </c>
      <c r="E37" t="s">
        <v>51</v>
      </c>
      <c r="F37" t="s">
        <v>23</v>
      </c>
      <c r="G37">
        <v>104676.41</v>
      </c>
      <c r="H37">
        <v>88820.95</v>
      </c>
      <c r="I37">
        <v>15855.46</v>
      </c>
      <c r="J37">
        <v>19988.46</v>
      </c>
      <c r="K37">
        <v>26457.07</v>
      </c>
      <c r="L37">
        <v>85370.02</v>
      </c>
      <c r="M37">
        <v>1595</v>
      </c>
      <c r="N37">
        <v>-3.44E-2</v>
      </c>
      <c r="O37">
        <v>0.1515</v>
      </c>
      <c r="P37">
        <v>0.30990000000000001</v>
      </c>
      <c r="Q37" t="s">
        <v>44</v>
      </c>
      <c r="R37">
        <v>2023</v>
      </c>
      <c r="S37" t="s">
        <v>40</v>
      </c>
    </row>
    <row r="38" spans="1:19" x14ac:dyDescent="0.3">
      <c r="A38" t="s">
        <v>101</v>
      </c>
      <c r="B38" s="1">
        <v>44598</v>
      </c>
      <c r="C38" t="s">
        <v>102</v>
      </c>
      <c r="D38" t="s">
        <v>103</v>
      </c>
      <c r="E38" t="s">
        <v>22</v>
      </c>
      <c r="F38" t="s">
        <v>23</v>
      </c>
      <c r="G38">
        <v>120199.83</v>
      </c>
      <c r="H38">
        <v>99016.56</v>
      </c>
      <c r="I38">
        <v>21183.27</v>
      </c>
      <c r="J38">
        <v>15096</v>
      </c>
      <c r="K38">
        <v>16293.37</v>
      </c>
      <c r="L38">
        <v>36979.64</v>
      </c>
      <c r="N38">
        <v>0.254</v>
      </c>
      <c r="O38">
        <v>0.1762</v>
      </c>
      <c r="P38">
        <v>0.44059999999999999</v>
      </c>
      <c r="Q38" t="s">
        <v>90</v>
      </c>
      <c r="R38">
        <v>2022</v>
      </c>
      <c r="S38" t="s">
        <v>40</v>
      </c>
    </row>
    <row r="39" spans="1:19" x14ac:dyDescent="0.3">
      <c r="A39" t="s">
        <v>104</v>
      </c>
      <c r="B39" s="1">
        <v>45260</v>
      </c>
      <c r="C39" t="s">
        <v>78</v>
      </c>
      <c r="D39" t="s">
        <v>79</v>
      </c>
      <c r="E39" t="s">
        <v>38</v>
      </c>
      <c r="F39" t="s">
        <v>23</v>
      </c>
      <c r="G39">
        <v>94355.73</v>
      </c>
      <c r="J39">
        <v>30116.62</v>
      </c>
      <c r="K39">
        <v>9192.56</v>
      </c>
      <c r="L39">
        <v>34919.29</v>
      </c>
      <c r="M39">
        <v>1488</v>
      </c>
      <c r="N39">
        <v>0.17069999999999999</v>
      </c>
      <c r="P39">
        <v>0.26329999999999998</v>
      </c>
      <c r="Q39" t="s">
        <v>44</v>
      </c>
      <c r="R39">
        <v>2023</v>
      </c>
      <c r="S39" t="s">
        <v>25</v>
      </c>
    </row>
    <row r="40" spans="1:19" x14ac:dyDescent="0.3">
      <c r="A40" t="s">
        <v>105</v>
      </c>
      <c r="B40" s="1">
        <v>45736</v>
      </c>
      <c r="C40" t="s">
        <v>27</v>
      </c>
      <c r="D40" t="s">
        <v>28</v>
      </c>
      <c r="E40" t="s">
        <v>22</v>
      </c>
      <c r="F40" t="s">
        <v>23</v>
      </c>
      <c r="G40">
        <v>58531.32</v>
      </c>
      <c r="H40">
        <v>52352.97</v>
      </c>
      <c r="I40">
        <v>6178.35</v>
      </c>
      <c r="J40">
        <v>39125.129999999997</v>
      </c>
      <c r="K40">
        <v>114798.45</v>
      </c>
      <c r="L40">
        <v>120225.04</v>
      </c>
      <c r="M40">
        <v>934</v>
      </c>
      <c r="N40">
        <v>1.6199999999999999E-2</v>
      </c>
      <c r="O40">
        <v>0.1056</v>
      </c>
      <c r="P40">
        <v>0.95489999999999997</v>
      </c>
      <c r="Q40" t="s">
        <v>106</v>
      </c>
      <c r="R40">
        <v>2025</v>
      </c>
      <c r="S40" t="s">
        <v>82</v>
      </c>
    </row>
    <row r="41" spans="1:19" x14ac:dyDescent="0.3">
      <c r="A41" t="s">
        <v>107</v>
      </c>
      <c r="B41" s="1">
        <v>45753</v>
      </c>
      <c r="C41" t="s">
        <v>85</v>
      </c>
      <c r="D41" t="s">
        <v>86</v>
      </c>
      <c r="E41" t="s">
        <v>38</v>
      </c>
      <c r="F41" t="s">
        <v>23</v>
      </c>
      <c r="G41">
        <v>53842.86</v>
      </c>
      <c r="H41">
        <v>31303.7</v>
      </c>
      <c r="I41">
        <v>22539.16</v>
      </c>
      <c r="J41">
        <v>38655.14</v>
      </c>
      <c r="K41">
        <v>67743.48</v>
      </c>
      <c r="L41">
        <v>80510.02</v>
      </c>
      <c r="M41">
        <v>665</v>
      </c>
      <c r="N41">
        <v>0.112</v>
      </c>
      <c r="O41">
        <v>0.41860000000000003</v>
      </c>
      <c r="P41">
        <v>0.84140000000000004</v>
      </c>
      <c r="Q41" t="s">
        <v>34</v>
      </c>
      <c r="R41">
        <v>2025</v>
      </c>
      <c r="S41" t="s">
        <v>82</v>
      </c>
    </row>
    <row r="42" spans="1:19" x14ac:dyDescent="0.3">
      <c r="A42" t="s">
        <v>108</v>
      </c>
      <c r="B42" s="1">
        <v>45767</v>
      </c>
      <c r="C42" t="s">
        <v>30</v>
      </c>
      <c r="D42" t="s">
        <v>31</v>
      </c>
      <c r="E42" t="s">
        <v>109</v>
      </c>
      <c r="F42" t="s">
        <v>23</v>
      </c>
      <c r="G42">
        <v>37700.480000000003</v>
      </c>
      <c r="H42">
        <v>25342.01</v>
      </c>
      <c r="I42">
        <v>12358.47</v>
      </c>
      <c r="J42">
        <v>58827.85</v>
      </c>
      <c r="K42">
        <v>7561.53</v>
      </c>
      <c r="L42">
        <v>102452.05</v>
      </c>
      <c r="M42">
        <v>1719</v>
      </c>
      <c r="N42">
        <v>-0.1336</v>
      </c>
      <c r="O42">
        <v>0.32779999999999998</v>
      </c>
      <c r="P42">
        <v>7.3800000000000004E-2</v>
      </c>
      <c r="Q42" t="s">
        <v>34</v>
      </c>
      <c r="R42">
        <v>2025</v>
      </c>
      <c r="S42" t="s">
        <v>25</v>
      </c>
    </row>
    <row r="43" spans="1:19" x14ac:dyDescent="0.3">
      <c r="A43" t="s">
        <v>110</v>
      </c>
      <c r="B43" s="1">
        <v>45390</v>
      </c>
      <c r="C43" t="s">
        <v>42</v>
      </c>
      <c r="D43" t="s">
        <v>43</v>
      </c>
      <c r="E43" t="s">
        <v>38</v>
      </c>
      <c r="F43" t="s">
        <v>23</v>
      </c>
      <c r="G43">
        <v>104877.71</v>
      </c>
      <c r="H43">
        <v>84110.31</v>
      </c>
      <c r="I43">
        <v>20767.400000000001</v>
      </c>
      <c r="J43">
        <v>54897.4</v>
      </c>
      <c r="K43">
        <v>17469.36</v>
      </c>
      <c r="L43">
        <v>75538.28</v>
      </c>
      <c r="M43">
        <v>613</v>
      </c>
      <c r="N43">
        <v>6.6E-3</v>
      </c>
      <c r="O43">
        <v>0.19800000000000001</v>
      </c>
      <c r="P43">
        <v>0.23130000000000001</v>
      </c>
      <c r="Q43" t="s">
        <v>111</v>
      </c>
      <c r="R43">
        <v>2024</v>
      </c>
      <c r="S43" t="s">
        <v>25</v>
      </c>
    </row>
    <row r="44" spans="1:19" x14ac:dyDescent="0.3">
      <c r="A44" t="s">
        <v>112</v>
      </c>
      <c r="B44" s="1">
        <v>44695</v>
      </c>
      <c r="C44" t="s">
        <v>48</v>
      </c>
      <c r="D44" t="s">
        <v>49</v>
      </c>
      <c r="E44" t="s">
        <v>38</v>
      </c>
      <c r="F44" t="s">
        <v>23</v>
      </c>
      <c r="G44">
        <v>21313.89</v>
      </c>
      <c r="H44">
        <v>12064.9</v>
      </c>
      <c r="I44">
        <v>9248.99</v>
      </c>
      <c r="J44">
        <v>49979.360000000001</v>
      </c>
      <c r="K44">
        <v>52831.31</v>
      </c>
      <c r="L44">
        <v>76889.509999999995</v>
      </c>
      <c r="M44">
        <v>654</v>
      </c>
      <c r="N44">
        <v>-6.25E-2</v>
      </c>
      <c r="O44">
        <v>0.43390000000000001</v>
      </c>
      <c r="P44">
        <v>0.68710000000000004</v>
      </c>
      <c r="Q44" t="s">
        <v>58</v>
      </c>
      <c r="R44">
        <v>2022</v>
      </c>
      <c r="S44" t="s">
        <v>82</v>
      </c>
    </row>
    <row r="45" spans="1:19" x14ac:dyDescent="0.3">
      <c r="A45" t="s">
        <v>113</v>
      </c>
      <c r="B45" s="1">
        <v>45844</v>
      </c>
      <c r="C45" t="s">
        <v>48</v>
      </c>
      <c r="D45" t="s">
        <v>49</v>
      </c>
      <c r="E45" t="s">
        <v>22</v>
      </c>
      <c r="F45" t="s">
        <v>23</v>
      </c>
      <c r="G45">
        <v>68042.94</v>
      </c>
      <c r="H45">
        <v>53036</v>
      </c>
      <c r="I45">
        <v>15006.94</v>
      </c>
      <c r="J45">
        <v>65082.85</v>
      </c>
      <c r="K45">
        <v>13742.14</v>
      </c>
      <c r="L45">
        <v>103277.69</v>
      </c>
      <c r="M45">
        <v>345</v>
      </c>
      <c r="N45">
        <v>-2.9399999999999999E-2</v>
      </c>
      <c r="O45">
        <v>0.22059999999999999</v>
      </c>
      <c r="P45">
        <v>0.1331</v>
      </c>
      <c r="Q45" t="s">
        <v>24</v>
      </c>
      <c r="R45">
        <v>2025</v>
      </c>
      <c r="S45" t="s">
        <v>25</v>
      </c>
    </row>
    <row r="46" spans="1:19" x14ac:dyDescent="0.3">
      <c r="A46" t="s">
        <v>114</v>
      </c>
      <c r="B46" s="1">
        <v>45430</v>
      </c>
      <c r="C46" t="s">
        <v>68</v>
      </c>
      <c r="D46" t="s">
        <v>69</v>
      </c>
      <c r="E46" t="s">
        <v>38</v>
      </c>
      <c r="F46" t="s">
        <v>23</v>
      </c>
      <c r="G46">
        <v>91321.49</v>
      </c>
      <c r="H46">
        <v>60685.43</v>
      </c>
      <c r="I46">
        <v>30636.06</v>
      </c>
      <c r="J46">
        <v>122188.42</v>
      </c>
      <c r="K46">
        <v>42492.29</v>
      </c>
      <c r="L46">
        <v>246170.57</v>
      </c>
      <c r="M46">
        <v>1253</v>
      </c>
      <c r="N46">
        <v>0.1207</v>
      </c>
      <c r="O46">
        <v>0.33550000000000002</v>
      </c>
      <c r="P46">
        <v>0.1726</v>
      </c>
      <c r="Q46" t="s">
        <v>111</v>
      </c>
      <c r="R46">
        <v>2024</v>
      </c>
      <c r="S46" t="s">
        <v>25</v>
      </c>
    </row>
    <row r="47" spans="1:19" x14ac:dyDescent="0.3">
      <c r="A47" t="s">
        <v>115</v>
      </c>
      <c r="B47" s="1">
        <v>45359</v>
      </c>
      <c r="C47" t="s">
        <v>68</v>
      </c>
      <c r="D47" t="s">
        <v>69</v>
      </c>
      <c r="E47" t="s">
        <v>116</v>
      </c>
      <c r="F47" t="s">
        <v>23</v>
      </c>
      <c r="G47">
        <v>69713.740000000005</v>
      </c>
      <c r="H47">
        <v>59250.04</v>
      </c>
      <c r="I47">
        <v>10463.700000000001</v>
      </c>
      <c r="J47">
        <v>26969.05</v>
      </c>
      <c r="K47">
        <v>6832.82</v>
      </c>
      <c r="L47">
        <v>192250.37</v>
      </c>
      <c r="M47">
        <v>852</v>
      </c>
      <c r="N47">
        <v>0.1028</v>
      </c>
      <c r="O47">
        <v>0.15010000000000001</v>
      </c>
      <c r="P47">
        <v>3.5499999999999997E-2</v>
      </c>
      <c r="Q47" t="s">
        <v>80</v>
      </c>
      <c r="R47">
        <v>2024</v>
      </c>
      <c r="S47" t="s">
        <v>25</v>
      </c>
    </row>
    <row r="48" spans="1:19" x14ac:dyDescent="0.3">
      <c r="A48" t="s">
        <v>117</v>
      </c>
      <c r="B48" s="1">
        <v>44966</v>
      </c>
      <c r="C48" t="s">
        <v>30</v>
      </c>
      <c r="D48" t="s">
        <v>31</v>
      </c>
      <c r="E48" t="s">
        <v>38</v>
      </c>
      <c r="F48" t="s">
        <v>23</v>
      </c>
      <c r="G48">
        <v>73380.13</v>
      </c>
      <c r="H48">
        <v>61237.57</v>
      </c>
      <c r="I48">
        <v>12142.56</v>
      </c>
      <c r="J48">
        <v>33958.230000000003</v>
      </c>
      <c r="K48">
        <v>20943.45</v>
      </c>
      <c r="L48">
        <v>52003.83</v>
      </c>
      <c r="M48">
        <v>484</v>
      </c>
      <c r="N48">
        <v>5.0200000000000002E-2</v>
      </c>
      <c r="O48">
        <v>0.16550000000000001</v>
      </c>
      <c r="P48">
        <v>0.4027</v>
      </c>
      <c r="Q48" t="s">
        <v>118</v>
      </c>
      <c r="R48">
        <v>2023</v>
      </c>
      <c r="S48" t="s">
        <v>40</v>
      </c>
    </row>
    <row r="49" spans="1:19" x14ac:dyDescent="0.3">
      <c r="A49" t="s">
        <v>119</v>
      </c>
      <c r="B49" s="1">
        <v>44595</v>
      </c>
      <c r="C49" t="s">
        <v>48</v>
      </c>
      <c r="D49" t="s">
        <v>49</v>
      </c>
      <c r="E49" t="s">
        <v>22</v>
      </c>
      <c r="F49" t="s">
        <v>23</v>
      </c>
      <c r="G49">
        <v>42696.38</v>
      </c>
      <c r="H49">
        <v>34092.300000000003</v>
      </c>
      <c r="I49">
        <v>8604.08</v>
      </c>
      <c r="J49">
        <v>26563.54</v>
      </c>
      <c r="K49">
        <v>93052.73</v>
      </c>
      <c r="L49">
        <v>91864.11</v>
      </c>
      <c r="M49">
        <v>1526</v>
      </c>
      <c r="N49">
        <v>1.5100000000000001E-2</v>
      </c>
      <c r="O49">
        <v>0.20150000000000001</v>
      </c>
      <c r="P49">
        <v>1.0128999999999999</v>
      </c>
      <c r="Q49" t="s">
        <v>90</v>
      </c>
      <c r="R49">
        <v>2022</v>
      </c>
      <c r="S49" t="s">
        <v>82</v>
      </c>
    </row>
    <row r="50" spans="1:19" x14ac:dyDescent="0.3">
      <c r="A50" t="s">
        <v>120</v>
      </c>
      <c r="B50" s="1">
        <v>45551</v>
      </c>
      <c r="C50" t="s">
        <v>85</v>
      </c>
      <c r="D50" t="s">
        <v>86</v>
      </c>
      <c r="E50" t="s">
        <v>51</v>
      </c>
      <c r="F50" t="s">
        <v>23</v>
      </c>
      <c r="G50">
        <v>62203.92</v>
      </c>
      <c r="H50">
        <v>37296.58</v>
      </c>
      <c r="I50">
        <v>24907.34</v>
      </c>
      <c r="J50">
        <v>64867.35</v>
      </c>
      <c r="K50">
        <v>88542.34</v>
      </c>
      <c r="L50">
        <v>180522.58</v>
      </c>
      <c r="M50">
        <v>738</v>
      </c>
      <c r="N50">
        <v>-1.5699999999999999E-2</v>
      </c>
      <c r="O50">
        <v>0.40039999999999998</v>
      </c>
      <c r="P50">
        <v>0.49049999999999999</v>
      </c>
      <c r="Q50" t="s">
        <v>72</v>
      </c>
      <c r="R50">
        <v>2024</v>
      </c>
      <c r="S50" t="s">
        <v>40</v>
      </c>
    </row>
    <row r="51" spans="1:19" x14ac:dyDescent="0.3">
      <c r="A51" t="s">
        <v>121</v>
      </c>
      <c r="B51" s="1">
        <v>45891</v>
      </c>
      <c r="C51" t="s">
        <v>36</v>
      </c>
      <c r="D51" t="s">
        <v>37</v>
      </c>
      <c r="E51" t="s">
        <v>51</v>
      </c>
      <c r="F51" t="s">
        <v>23</v>
      </c>
      <c r="G51">
        <v>23740.38</v>
      </c>
      <c r="H51">
        <v>16899.96</v>
      </c>
      <c r="I51">
        <v>6840.42</v>
      </c>
      <c r="J51">
        <v>90313.04</v>
      </c>
      <c r="K51">
        <v>21687.14</v>
      </c>
      <c r="L51">
        <v>192868.26</v>
      </c>
      <c r="M51">
        <v>1765</v>
      </c>
      <c r="N51">
        <v>1.5599999999999999E-2</v>
      </c>
      <c r="O51">
        <v>0.28810000000000002</v>
      </c>
      <c r="P51">
        <v>0.1124</v>
      </c>
      <c r="Q51" t="s">
        <v>24</v>
      </c>
      <c r="R51">
        <v>2025</v>
      </c>
      <c r="S51" t="s">
        <v>25</v>
      </c>
    </row>
    <row r="52" spans="1:19" x14ac:dyDescent="0.3">
      <c r="A52" t="s">
        <v>122</v>
      </c>
      <c r="B52" s="1">
        <v>45691</v>
      </c>
      <c r="C52" t="s">
        <v>36</v>
      </c>
      <c r="D52" t="s">
        <v>37</v>
      </c>
      <c r="E52" t="s">
        <v>38</v>
      </c>
      <c r="F52" t="s">
        <v>23</v>
      </c>
      <c r="G52">
        <v>24168.400000000001</v>
      </c>
      <c r="H52">
        <v>17398.36</v>
      </c>
      <c r="I52">
        <v>6770.04</v>
      </c>
      <c r="J52">
        <v>31606.45</v>
      </c>
      <c r="K52">
        <v>26770.1</v>
      </c>
      <c r="L52">
        <v>112617.39</v>
      </c>
      <c r="M52">
        <v>1488</v>
      </c>
      <c r="N52">
        <v>-9.8100000000000007E-2</v>
      </c>
      <c r="O52">
        <v>0.28010000000000002</v>
      </c>
      <c r="P52">
        <v>0.23769999999999999</v>
      </c>
      <c r="Q52" t="s">
        <v>106</v>
      </c>
      <c r="R52">
        <v>2025</v>
      </c>
      <c r="S52" t="s">
        <v>25</v>
      </c>
    </row>
    <row r="53" spans="1:19" x14ac:dyDescent="0.3">
      <c r="A53" t="s">
        <v>123</v>
      </c>
      <c r="B53" s="1">
        <v>45322</v>
      </c>
      <c r="C53" t="s">
        <v>54</v>
      </c>
      <c r="D53" t="s">
        <v>55</v>
      </c>
      <c r="E53" t="s">
        <v>38</v>
      </c>
      <c r="F53" t="s">
        <v>23</v>
      </c>
      <c r="G53">
        <v>335133.38</v>
      </c>
      <c r="H53">
        <v>233960.36</v>
      </c>
      <c r="I53">
        <v>101173.02</v>
      </c>
      <c r="J53">
        <v>15194.7</v>
      </c>
      <c r="K53">
        <v>13011.08</v>
      </c>
      <c r="L53">
        <v>106391.47</v>
      </c>
      <c r="M53">
        <v>639</v>
      </c>
      <c r="N53">
        <v>0.13550000000000001</v>
      </c>
      <c r="O53">
        <v>0.3019</v>
      </c>
      <c r="P53">
        <v>0.12230000000000001</v>
      </c>
      <c r="Q53" t="s">
        <v>80</v>
      </c>
      <c r="R53">
        <v>2024</v>
      </c>
      <c r="S53" t="s">
        <v>25</v>
      </c>
    </row>
    <row r="54" spans="1:19" x14ac:dyDescent="0.3">
      <c r="A54" t="s">
        <v>124</v>
      </c>
      <c r="B54" s="1">
        <v>45233</v>
      </c>
      <c r="C54" t="s">
        <v>30</v>
      </c>
      <c r="D54" t="s">
        <v>31</v>
      </c>
      <c r="E54" t="s">
        <v>32</v>
      </c>
      <c r="F54" t="s">
        <v>33</v>
      </c>
      <c r="G54">
        <v>54702.01</v>
      </c>
      <c r="H54">
        <v>30913.279999999999</v>
      </c>
      <c r="I54">
        <v>23788.73</v>
      </c>
      <c r="J54">
        <v>23553.51</v>
      </c>
      <c r="K54">
        <v>17602.46</v>
      </c>
      <c r="L54">
        <v>56589.25</v>
      </c>
      <c r="N54">
        <v>-6.7599999999999993E-2</v>
      </c>
      <c r="O54">
        <v>0.43490000000000001</v>
      </c>
      <c r="P54">
        <v>0.31109999999999999</v>
      </c>
      <c r="Q54" t="s">
        <v>44</v>
      </c>
      <c r="R54">
        <v>2023</v>
      </c>
      <c r="S54" t="s">
        <v>40</v>
      </c>
    </row>
    <row r="55" spans="1:19" x14ac:dyDescent="0.3">
      <c r="A55" t="s">
        <v>125</v>
      </c>
      <c r="B55" s="1">
        <v>45663</v>
      </c>
      <c r="C55" t="s">
        <v>61</v>
      </c>
      <c r="D55" t="s">
        <v>74</v>
      </c>
      <c r="E55" t="s">
        <v>22</v>
      </c>
      <c r="F55" t="s">
        <v>23</v>
      </c>
      <c r="G55">
        <v>33122.949999999997</v>
      </c>
      <c r="H55">
        <v>19348.689999999999</v>
      </c>
      <c r="I55">
        <v>13774.26</v>
      </c>
      <c r="J55">
        <v>14585.34</v>
      </c>
      <c r="K55">
        <v>129495.62</v>
      </c>
      <c r="L55">
        <v>66226.990000000005</v>
      </c>
      <c r="M55">
        <v>517</v>
      </c>
      <c r="N55">
        <v>1.3100000000000001E-2</v>
      </c>
      <c r="O55">
        <v>0.41589999999999999</v>
      </c>
      <c r="P55">
        <v>1.9553</v>
      </c>
      <c r="Q55" t="s">
        <v>106</v>
      </c>
      <c r="R55">
        <v>2025</v>
      </c>
      <c r="S55" t="s">
        <v>82</v>
      </c>
    </row>
    <row r="56" spans="1:19" x14ac:dyDescent="0.3">
      <c r="A56" t="s">
        <v>126</v>
      </c>
      <c r="B56" s="1">
        <v>45842</v>
      </c>
      <c r="C56" t="s">
        <v>48</v>
      </c>
      <c r="D56" t="s">
        <v>49</v>
      </c>
      <c r="E56" t="s">
        <v>38</v>
      </c>
      <c r="F56" t="s">
        <v>23</v>
      </c>
      <c r="G56">
        <v>82287.92</v>
      </c>
      <c r="H56">
        <v>75286.460000000006</v>
      </c>
      <c r="I56">
        <v>7001.46</v>
      </c>
      <c r="J56">
        <v>19097.98</v>
      </c>
      <c r="K56">
        <v>51008.78</v>
      </c>
      <c r="L56">
        <v>82152.44</v>
      </c>
      <c r="M56">
        <v>1268</v>
      </c>
      <c r="N56">
        <v>-4.8500000000000001E-2</v>
      </c>
      <c r="O56">
        <v>8.5099999999999995E-2</v>
      </c>
      <c r="P56">
        <v>0.62090000000000001</v>
      </c>
      <c r="Q56" t="s">
        <v>24</v>
      </c>
      <c r="R56">
        <v>2025</v>
      </c>
      <c r="S56" t="s">
        <v>82</v>
      </c>
    </row>
    <row r="57" spans="1:19" x14ac:dyDescent="0.3">
      <c r="A57" t="s">
        <v>127</v>
      </c>
      <c r="B57" s="1">
        <v>45227</v>
      </c>
      <c r="C57" t="s">
        <v>102</v>
      </c>
      <c r="D57" t="s">
        <v>103</v>
      </c>
      <c r="E57" t="s">
        <v>22</v>
      </c>
      <c r="F57" t="s">
        <v>23</v>
      </c>
      <c r="G57">
        <v>106378.85</v>
      </c>
      <c r="H57">
        <v>78648.08</v>
      </c>
      <c r="I57">
        <v>27730.77</v>
      </c>
      <c r="J57">
        <v>40858.699999999997</v>
      </c>
      <c r="K57">
        <v>12359.56</v>
      </c>
      <c r="L57">
        <v>104410.58</v>
      </c>
      <c r="M57">
        <v>1782</v>
      </c>
      <c r="N57">
        <v>-0.17430000000000001</v>
      </c>
      <c r="O57">
        <v>0.26069999999999999</v>
      </c>
      <c r="P57">
        <v>0.11840000000000001</v>
      </c>
      <c r="Q57" t="s">
        <v>44</v>
      </c>
      <c r="R57">
        <v>2023</v>
      </c>
      <c r="S57" t="s">
        <v>25</v>
      </c>
    </row>
    <row r="58" spans="1:19" x14ac:dyDescent="0.3">
      <c r="A58" t="s">
        <v>128</v>
      </c>
      <c r="B58" s="1">
        <v>44589</v>
      </c>
      <c r="C58" t="s">
        <v>78</v>
      </c>
      <c r="D58" t="s">
        <v>79</v>
      </c>
      <c r="E58" t="s">
        <v>22</v>
      </c>
      <c r="F58" t="s">
        <v>23</v>
      </c>
      <c r="G58">
        <v>48037.04</v>
      </c>
      <c r="H58">
        <v>28548.99</v>
      </c>
      <c r="I58">
        <v>19488.05</v>
      </c>
      <c r="J58">
        <v>15412.23</v>
      </c>
      <c r="K58">
        <v>32034.799999999999</v>
      </c>
      <c r="L58">
        <v>133942.43</v>
      </c>
      <c r="M58">
        <v>1443</v>
      </c>
      <c r="N58">
        <v>5.8999999999999997E-2</v>
      </c>
      <c r="O58">
        <v>0.40570000000000001</v>
      </c>
      <c r="P58">
        <v>0.2392</v>
      </c>
      <c r="Q58" t="s">
        <v>90</v>
      </c>
      <c r="R58">
        <v>2022</v>
      </c>
      <c r="S58" t="s">
        <v>25</v>
      </c>
    </row>
    <row r="59" spans="1:19" x14ac:dyDescent="0.3">
      <c r="A59" t="s">
        <v>129</v>
      </c>
      <c r="B59" s="1">
        <v>44672</v>
      </c>
      <c r="C59" t="s">
        <v>68</v>
      </c>
      <c r="D59" t="s">
        <v>69</v>
      </c>
      <c r="E59" t="s">
        <v>38</v>
      </c>
      <c r="F59" t="s">
        <v>23</v>
      </c>
      <c r="G59">
        <v>94941.33</v>
      </c>
      <c r="H59">
        <v>72821.72</v>
      </c>
      <c r="I59">
        <v>22119.61</v>
      </c>
      <c r="J59">
        <v>104074.71</v>
      </c>
      <c r="K59">
        <v>5398.87</v>
      </c>
      <c r="L59">
        <v>237405.99</v>
      </c>
      <c r="M59">
        <v>1236</v>
      </c>
      <c r="N59">
        <v>-1.17E-2</v>
      </c>
      <c r="O59">
        <v>0.23300000000000001</v>
      </c>
      <c r="P59">
        <v>2.2700000000000001E-2</v>
      </c>
      <c r="Q59" t="s">
        <v>58</v>
      </c>
      <c r="R59">
        <v>2022</v>
      </c>
      <c r="S59" t="s">
        <v>25</v>
      </c>
    </row>
    <row r="60" spans="1:19" x14ac:dyDescent="0.3">
      <c r="A60" t="s">
        <v>130</v>
      </c>
      <c r="B60" s="1">
        <v>44876</v>
      </c>
      <c r="C60" t="s">
        <v>68</v>
      </c>
      <c r="D60" t="s">
        <v>69</v>
      </c>
      <c r="E60" t="s">
        <v>38</v>
      </c>
      <c r="F60" t="s">
        <v>23</v>
      </c>
      <c r="G60">
        <v>74458.64</v>
      </c>
      <c r="H60">
        <v>47487.78</v>
      </c>
      <c r="I60">
        <v>26970.86</v>
      </c>
      <c r="J60">
        <v>35923.82</v>
      </c>
      <c r="K60">
        <v>15986.28</v>
      </c>
      <c r="L60">
        <v>77473.95</v>
      </c>
      <c r="M60">
        <v>687</v>
      </c>
      <c r="N60">
        <v>-5.4800000000000001E-2</v>
      </c>
      <c r="O60">
        <v>0.36220000000000002</v>
      </c>
      <c r="P60">
        <v>0.20630000000000001</v>
      </c>
      <c r="Q60" t="s">
        <v>46</v>
      </c>
      <c r="R60">
        <v>2022</v>
      </c>
      <c r="S60" t="s">
        <v>25</v>
      </c>
    </row>
    <row r="61" spans="1:19" x14ac:dyDescent="0.3">
      <c r="A61" t="s">
        <v>131</v>
      </c>
      <c r="B61" s="1">
        <v>45320</v>
      </c>
      <c r="C61" t="s">
        <v>102</v>
      </c>
      <c r="D61" t="s">
        <v>103</v>
      </c>
      <c r="E61" t="s">
        <v>22</v>
      </c>
      <c r="F61" t="s">
        <v>23</v>
      </c>
      <c r="G61">
        <v>81885.570000000007</v>
      </c>
      <c r="H61">
        <v>72832.009999999995</v>
      </c>
      <c r="I61">
        <v>9053.56</v>
      </c>
      <c r="J61">
        <v>62038.5</v>
      </c>
      <c r="K61">
        <v>113111.76</v>
      </c>
      <c r="L61">
        <v>118658.59</v>
      </c>
      <c r="M61">
        <v>1158</v>
      </c>
      <c r="N61">
        <v>7.2400000000000006E-2</v>
      </c>
      <c r="O61">
        <v>0.1106</v>
      </c>
      <c r="P61">
        <v>0.95330000000000004</v>
      </c>
      <c r="Q61" t="s">
        <v>80</v>
      </c>
      <c r="R61">
        <v>2024</v>
      </c>
      <c r="S61" t="s">
        <v>82</v>
      </c>
    </row>
    <row r="62" spans="1:19" x14ac:dyDescent="0.3">
      <c r="A62" t="s">
        <v>132</v>
      </c>
      <c r="B62" s="1">
        <v>46020</v>
      </c>
      <c r="C62" t="s">
        <v>54</v>
      </c>
      <c r="D62" t="s">
        <v>55</v>
      </c>
      <c r="E62" t="s">
        <v>32</v>
      </c>
      <c r="F62" t="s">
        <v>33</v>
      </c>
      <c r="G62">
        <v>55269.97</v>
      </c>
      <c r="H62">
        <v>50193.85</v>
      </c>
      <c r="I62">
        <v>5076.12</v>
      </c>
      <c r="J62">
        <v>46453.01</v>
      </c>
      <c r="K62">
        <v>12994.03</v>
      </c>
      <c r="L62">
        <v>143114.25</v>
      </c>
      <c r="M62">
        <v>989</v>
      </c>
      <c r="N62">
        <v>0.13819999999999999</v>
      </c>
      <c r="O62">
        <v>9.1800000000000007E-2</v>
      </c>
      <c r="P62">
        <v>9.0800000000000006E-2</v>
      </c>
      <c r="Q62" t="s">
        <v>66</v>
      </c>
      <c r="R62">
        <v>2025</v>
      </c>
      <c r="S62" t="s">
        <v>25</v>
      </c>
    </row>
    <row r="63" spans="1:19" x14ac:dyDescent="0.3">
      <c r="A63" t="s">
        <v>133</v>
      </c>
      <c r="B63" s="1">
        <v>44881</v>
      </c>
      <c r="C63" t="s">
        <v>48</v>
      </c>
      <c r="D63" t="s">
        <v>49</v>
      </c>
      <c r="E63" t="s">
        <v>22</v>
      </c>
      <c r="F63" t="s">
        <v>23</v>
      </c>
      <c r="G63">
        <v>73748.69</v>
      </c>
      <c r="H63">
        <v>65993.67</v>
      </c>
      <c r="I63">
        <v>7755.02</v>
      </c>
      <c r="J63">
        <v>17801.02</v>
      </c>
      <c r="K63">
        <v>54477.55</v>
      </c>
      <c r="L63">
        <v>34722.61</v>
      </c>
      <c r="M63">
        <v>641</v>
      </c>
      <c r="N63">
        <v>-0.15040000000000001</v>
      </c>
      <c r="O63">
        <v>0.1052</v>
      </c>
      <c r="P63">
        <v>1.5689</v>
      </c>
      <c r="Q63" t="s">
        <v>46</v>
      </c>
      <c r="R63">
        <v>2022</v>
      </c>
      <c r="S63" t="s">
        <v>82</v>
      </c>
    </row>
    <row r="64" spans="1:19" x14ac:dyDescent="0.3">
      <c r="A64" t="s">
        <v>134</v>
      </c>
      <c r="B64" s="1">
        <v>44733</v>
      </c>
      <c r="C64" t="s">
        <v>27</v>
      </c>
      <c r="D64" t="s">
        <v>28</v>
      </c>
      <c r="E64" t="s">
        <v>38</v>
      </c>
      <c r="F64" t="s">
        <v>23</v>
      </c>
      <c r="G64">
        <v>109897.18</v>
      </c>
      <c r="H64">
        <v>64016.34</v>
      </c>
      <c r="I64">
        <v>45880.84</v>
      </c>
      <c r="J64">
        <v>16174.11</v>
      </c>
      <c r="K64">
        <v>25403.97</v>
      </c>
      <c r="L64">
        <v>43955.91</v>
      </c>
      <c r="M64">
        <v>1603</v>
      </c>
      <c r="N64">
        <v>4.48E-2</v>
      </c>
      <c r="O64">
        <v>0.41749999999999998</v>
      </c>
      <c r="P64">
        <v>0.57789999999999997</v>
      </c>
      <c r="Q64" t="s">
        <v>58</v>
      </c>
      <c r="R64">
        <v>2022</v>
      </c>
      <c r="S64" t="s">
        <v>40</v>
      </c>
    </row>
    <row r="65" spans="1:19" x14ac:dyDescent="0.3">
      <c r="A65" t="s">
        <v>135</v>
      </c>
      <c r="B65" s="1">
        <v>44797</v>
      </c>
      <c r="C65" t="s">
        <v>48</v>
      </c>
      <c r="D65" t="s">
        <v>62</v>
      </c>
      <c r="E65" t="s">
        <v>22</v>
      </c>
      <c r="F65" t="s">
        <v>23</v>
      </c>
      <c r="G65">
        <v>114070.85</v>
      </c>
      <c r="H65">
        <v>104562.35</v>
      </c>
      <c r="I65">
        <v>9508.5</v>
      </c>
      <c r="J65">
        <v>29697.95</v>
      </c>
      <c r="K65">
        <v>17912.88</v>
      </c>
      <c r="L65">
        <v>53288.92</v>
      </c>
      <c r="M65">
        <v>975</v>
      </c>
      <c r="N65">
        <v>3.6499999999999998E-2</v>
      </c>
      <c r="O65">
        <v>8.3400000000000002E-2</v>
      </c>
      <c r="P65">
        <v>0.33610000000000001</v>
      </c>
      <c r="Q65" t="s">
        <v>76</v>
      </c>
      <c r="R65">
        <v>2022</v>
      </c>
      <c r="S65" t="s">
        <v>40</v>
      </c>
    </row>
    <row r="66" spans="1:19" x14ac:dyDescent="0.3">
      <c r="A66" t="s">
        <v>136</v>
      </c>
      <c r="B66" s="1">
        <v>45434</v>
      </c>
      <c r="C66" t="s">
        <v>36</v>
      </c>
      <c r="D66" t="s">
        <v>37</v>
      </c>
      <c r="E66" t="s">
        <v>22</v>
      </c>
      <c r="F66" t="s">
        <v>23</v>
      </c>
      <c r="G66">
        <v>120072.47</v>
      </c>
      <c r="H66">
        <v>102697.87</v>
      </c>
      <c r="I66">
        <v>17374.599999999999</v>
      </c>
      <c r="J66">
        <v>51358.04</v>
      </c>
      <c r="K66">
        <v>17000.48</v>
      </c>
      <c r="L66">
        <v>87292.13</v>
      </c>
      <c r="M66">
        <v>1253</v>
      </c>
      <c r="N66">
        <v>2.8299999999999999E-2</v>
      </c>
      <c r="O66">
        <v>0.1447</v>
      </c>
      <c r="P66">
        <v>0.1948</v>
      </c>
      <c r="Q66" t="s">
        <v>111</v>
      </c>
      <c r="R66">
        <v>2024</v>
      </c>
      <c r="S66" t="s">
        <v>25</v>
      </c>
    </row>
    <row r="67" spans="1:19" x14ac:dyDescent="0.3">
      <c r="A67" t="s">
        <v>137</v>
      </c>
      <c r="B67" s="1">
        <v>44650</v>
      </c>
      <c r="C67" t="s">
        <v>78</v>
      </c>
      <c r="D67" t="s">
        <v>79</v>
      </c>
      <c r="E67" t="s">
        <v>22</v>
      </c>
      <c r="F67" t="s">
        <v>23</v>
      </c>
      <c r="G67">
        <v>633740.88</v>
      </c>
      <c r="H67">
        <v>42994.01</v>
      </c>
      <c r="I67">
        <v>590746.87</v>
      </c>
      <c r="J67">
        <v>124855.61</v>
      </c>
      <c r="K67">
        <v>262917.03999999998</v>
      </c>
      <c r="L67">
        <v>234423.7</v>
      </c>
      <c r="M67">
        <v>315</v>
      </c>
      <c r="N67">
        <v>0.12330000000000001</v>
      </c>
      <c r="O67">
        <v>0.93220000000000003</v>
      </c>
      <c r="P67">
        <v>1.1214999999999999</v>
      </c>
      <c r="Q67" t="s">
        <v>90</v>
      </c>
      <c r="R67">
        <v>2022</v>
      </c>
      <c r="S67" t="s">
        <v>82</v>
      </c>
    </row>
    <row r="68" spans="1:19" x14ac:dyDescent="0.3">
      <c r="A68" t="s">
        <v>138</v>
      </c>
      <c r="B68" s="1">
        <v>45810</v>
      </c>
      <c r="C68" t="s">
        <v>48</v>
      </c>
      <c r="D68" t="s">
        <v>49</v>
      </c>
      <c r="E68" t="s">
        <v>38</v>
      </c>
      <c r="F68" t="s">
        <v>23</v>
      </c>
      <c r="G68">
        <v>114283.86</v>
      </c>
      <c r="H68">
        <v>65673.119999999995</v>
      </c>
      <c r="I68">
        <v>48610.74</v>
      </c>
      <c r="J68">
        <v>6388.69</v>
      </c>
      <c r="K68">
        <v>32650.39</v>
      </c>
      <c r="L68">
        <v>25387.68</v>
      </c>
      <c r="M68">
        <v>387</v>
      </c>
      <c r="N68">
        <v>-4.7399999999999998E-2</v>
      </c>
      <c r="O68">
        <v>0.4254</v>
      </c>
      <c r="P68">
        <v>1.2861</v>
      </c>
      <c r="Q68" t="s">
        <v>34</v>
      </c>
      <c r="R68">
        <v>2025</v>
      </c>
      <c r="S68" t="s">
        <v>82</v>
      </c>
    </row>
    <row r="69" spans="1:19" x14ac:dyDescent="0.3">
      <c r="A69" t="s">
        <v>139</v>
      </c>
      <c r="B69" s="1">
        <v>45600</v>
      </c>
      <c r="C69" t="s">
        <v>30</v>
      </c>
      <c r="D69" t="s">
        <v>31</v>
      </c>
      <c r="E69" t="s">
        <v>38</v>
      </c>
      <c r="F69" t="s">
        <v>23</v>
      </c>
      <c r="G69">
        <v>72527.149999999994</v>
      </c>
      <c r="H69">
        <v>59787.07</v>
      </c>
      <c r="I69">
        <v>12740.08</v>
      </c>
      <c r="J69">
        <v>68739.320000000007</v>
      </c>
      <c r="K69">
        <v>52183.56</v>
      </c>
      <c r="L69">
        <v>196437.04</v>
      </c>
      <c r="M69">
        <v>717</v>
      </c>
      <c r="N69">
        <v>3.9100000000000003E-2</v>
      </c>
      <c r="O69">
        <v>0.1757</v>
      </c>
      <c r="P69">
        <v>0.26569999999999999</v>
      </c>
      <c r="Q69" t="s">
        <v>52</v>
      </c>
      <c r="R69">
        <v>2024</v>
      </c>
      <c r="S69" t="s">
        <v>25</v>
      </c>
    </row>
    <row r="70" spans="1:19" x14ac:dyDescent="0.3">
      <c r="A70" t="s">
        <v>140</v>
      </c>
      <c r="B70" s="1">
        <v>45078</v>
      </c>
      <c r="C70" t="s">
        <v>42</v>
      </c>
      <c r="D70" t="s">
        <v>43</v>
      </c>
      <c r="E70" t="s">
        <v>32</v>
      </c>
      <c r="F70" t="s">
        <v>33</v>
      </c>
      <c r="G70">
        <v>58343.76</v>
      </c>
      <c r="H70">
        <v>49817.7</v>
      </c>
      <c r="I70">
        <v>8526.06</v>
      </c>
      <c r="J70">
        <v>58711.86</v>
      </c>
      <c r="K70">
        <v>21679.02</v>
      </c>
      <c r="L70">
        <v>87448.47</v>
      </c>
      <c r="M70">
        <v>735</v>
      </c>
      <c r="N70">
        <v>3.8300000000000001E-2</v>
      </c>
      <c r="O70">
        <v>0.14610000000000001</v>
      </c>
      <c r="P70">
        <v>0.24790000000000001</v>
      </c>
      <c r="Q70" t="s">
        <v>39</v>
      </c>
      <c r="R70">
        <v>2023</v>
      </c>
      <c r="S70" t="s">
        <v>25</v>
      </c>
    </row>
    <row r="71" spans="1:19" x14ac:dyDescent="0.3">
      <c r="A71" t="s">
        <v>141</v>
      </c>
      <c r="B71" s="1">
        <v>44691</v>
      </c>
      <c r="C71" t="s">
        <v>42</v>
      </c>
      <c r="D71" t="s">
        <v>43</v>
      </c>
      <c r="E71" t="s">
        <v>22</v>
      </c>
      <c r="F71" t="s">
        <v>23</v>
      </c>
      <c r="G71">
        <v>74438.02</v>
      </c>
      <c r="H71">
        <v>56516.18</v>
      </c>
      <c r="I71">
        <v>17921.84</v>
      </c>
      <c r="J71">
        <v>29894.5</v>
      </c>
      <c r="K71">
        <v>47785.56</v>
      </c>
      <c r="L71">
        <v>223910.48</v>
      </c>
      <c r="M71">
        <v>528</v>
      </c>
      <c r="N71">
        <v>-4.1000000000000002E-2</v>
      </c>
      <c r="O71">
        <v>0.24079999999999999</v>
      </c>
      <c r="P71">
        <v>0.21340000000000001</v>
      </c>
      <c r="Q71" t="s">
        <v>58</v>
      </c>
      <c r="R71">
        <v>2022</v>
      </c>
      <c r="S71" t="s">
        <v>25</v>
      </c>
    </row>
    <row r="72" spans="1:19" x14ac:dyDescent="0.3">
      <c r="A72" t="s">
        <v>142</v>
      </c>
      <c r="B72" s="1">
        <v>44863</v>
      </c>
      <c r="C72" t="s">
        <v>20</v>
      </c>
      <c r="D72" t="s">
        <v>21</v>
      </c>
      <c r="E72" t="s">
        <v>32</v>
      </c>
      <c r="F72" t="s">
        <v>33</v>
      </c>
      <c r="G72">
        <v>120000.04</v>
      </c>
      <c r="H72">
        <v>72176.78</v>
      </c>
      <c r="I72">
        <v>47823.26</v>
      </c>
      <c r="J72">
        <v>38133.9</v>
      </c>
      <c r="K72">
        <v>21697.07</v>
      </c>
      <c r="L72">
        <v>81183.23</v>
      </c>
      <c r="M72">
        <v>1199</v>
      </c>
      <c r="N72">
        <v>0.12740000000000001</v>
      </c>
      <c r="O72">
        <v>0.39850000000000002</v>
      </c>
      <c r="P72">
        <v>0.26729999999999998</v>
      </c>
      <c r="Q72" t="s">
        <v>46</v>
      </c>
      <c r="R72">
        <v>2022</v>
      </c>
      <c r="S72" t="s">
        <v>25</v>
      </c>
    </row>
    <row r="73" spans="1:19" x14ac:dyDescent="0.3">
      <c r="A73" t="s">
        <v>143</v>
      </c>
      <c r="B73" s="1">
        <v>45909</v>
      </c>
      <c r="C73" t="s">
        <v>36</v>
      </c>
      <c r="D73" t="s">
        <v>37</v>
      </c>
      <c r="E73" t="s">
        <v>144</v>
      </c>
      <c r="F73" t="s">
        <v>33</v>
      </c>
      <c r="G73">
        <v>160048.29999999999</v>
      </c>
      <c r="H73">
        <v>110199.83</v>
      </c>
      <c r="I73">
        <v>49848.47</v>
      </c>
      <c r="J73">
        <v>52611.89</v>
      </c>
      <c r="K73">
        <v>16286.06</v>
      </c>
      <c r="L73">
        <v>93905.3</v>
      </c>
      <c r="M73">
        <v>1084</v>
      </c>
      <c r="N73">
        <v>-1.9199999999999998E-2</v>
      </c>
      <c r="O73">
        <v>0.3115</v>
      </c>
      <c r="P73">
        <v>0.1734</v>
      </c>
      <c r="Q73" t="s">
        <v>24</v>
      </c>
      <c r="R73">
        <v>2025</v>
      </c>
      <c r="S73" t="s">
        <v>25</v>
      </c>
    </row>
    <row r="74" spans="1:19" x14ac:dyDescent="0.3">
      <c r="A74" t="s">
        <v>145</v>
      </c>
      <c r="B74" s="1">
        <v>45128</v>
      </c>
      <c r="C74" t="s">
        <v>48</v>
      </c>
      <c r="D74" t="s">
        <v>49</v>
      </c>
      <c r="E74" t="s">
        <v>22</v>
      </c>
      <c r="F74" t="s">
        <v>23</v>
      </c>
      <c r="G74">
        <v>103730.13</v>
      </c>
      <c r="H74">
        <v>71609.38</v>
      </c>
      <c r="I74">
        <v>32120.75</v>
      </c>
      <c r="J74">
        <v>12694.22</v>
      </c>
      <c r="K74">
        <v>14225.59</v>
      </c>
      <c r="L74">
        <v>110974.77</v>
      </c>
      <c r="M74">
        <v>1111</v>
      </c>
      <c r="N74">
        <v>0.1089</v>
      </c>
      <c r="O74">
        <v>0.30969999999999998</v>
      </c>
      <c r="P74">
        <v>0.12820000000000001</v>
      </c>
      <c r="Q74" t="s">
        <v>56</v>
      </c>
      <c r="R74">
        <v>2023</v>
      </c>
      <c r="S74" t="s">
        <v>25</v>
      </c>
    </row>
    <row r="75" spans="1:19" x14ac:dyDescent="0.3">
      <c r="A75" t="s">
        <v>146</v>
      </c>
      <c r="B75" s="1">
        <v>45098</v>
      </c>
      <c r="C75" t="s">
        <v>30</v>
      </c>
      <c r="D75" t="s">
        <v>31</v>
      </c>
      <c r="E75" t="s">
        <v>109</v>
      </c>
      <c r="F75" t="s">
        <v>33</v>
      </c>
      <c r="G75">
        <v>26602.55</v>
      </c>
      <c r="H75">
        <v>23671.7</v>
      </c>
      <c r="I75">
        <v>2930.85</v>
      </c>
      <c r="J75">
        <v>4678.6000000000004</v>
      </c>
      <c r="K75">
        <v>18867.88</v>
      </c>
      <c r="L75">
        <v>68381.919999999998</v>
      </c>
      <c r="N75">
        <v>3.3500000000000002E-2</v>
      </c>
      <c r="O75">
        <v>0.11020000000000001</v>
      </c>
      <c r="P75">
        <v>0.27589999999999998</v>
      </c>
      <c r="Q75" t="s">
        <v>39</v>
      </c>
      <c r="R75">
        <v>2023</v>
      </c>
      <c r="S75" t="s">
        <v>25</v>
      </c>
    </row>
    <row r="76" spans="1:19" x14ac:dyDescent="0.3">
      <c r="A76" t="s">
        <v>147</v>
      </c>
      <c r="B76" s="1">
        <v>45271</v>
      </c>
      <c r="C76" t="s">
        <v>78</v>
      </c>
      <c r="D76" t="s">
        <v>79</v>
      </c>
      <c r="E76" t="s">
        <v>32</v>
      </c>
      <c r="F76" t="s">
        <v>33</v>
      </c>
      <c r="G76">
        <v>45848.73</v>
      </c>
      <c r="H76">
        <v>28950.54</v>
      </c>
      <c r="I76">
        <v>16898.189999999999</v>
      </c>
      <c r="J76">
        <v>61952.38</v>
      </c>
      <c r="K76">
        <v>28644.799999999999</v>
      </c>
      <c r="L76">
        <v>81614.990000000005</v>
      </c>
      <c r="M76">
        <v>883</v>
      </c>
      <c r="N76">
        <v>4.2200000000000001E-2</v>
      </c>
      <c r="O76">
        <v>0.36859999999999998</v>
      </c>
      <c r="P76">
        <v>0.35099999999999998</v>
      </c>
      <c r="Q76" t="s">
        <v>44</v>
      </c>
      <c r="R76">
        <v>2023</v>
      </c>
      <c r="S76" t="s">
        <v>40</v>
      </c>
    </row>
    <row r="77" spans="1:19" x14ac:dyDescent="0.3">
      <c r="A77" t="s">
        <v>148</v>
      </c>
      <c r="B77" s="1">
        <v>45037</v>
      </c>
      <c r="C77" t="s">
        <v>42</v>
      </c>
      <c r="D77" t="s">
        <v>43</v>
      </c>
      <c r="E77" t="s">
        <v>32</v>
      </c>
      <c r="F77" t="s">
        <v>33</v>
      </c>
      <c r="G77">
        <v>30614.880000000001</v>
      </c>
      <c r="H77">
        <v>20231.86</v>
      </c>
      <c r="I77">
        <v>10383.02</v>
      </c>
      <c r="J77">
        <v>36469.19</v>
      </c>
      <c r="K77">
        <v>13404</v>
      </c>
      <c r="L77">
        <v>54341.88</v>
      </c>
      <c r="M77">
        <v>1648</v>
      </c>
      <c r="N77">
        <v>-1.47E-2</v>
      </c>
      <c r="O77">
        <v>0.33910000000000001</v>
      </c>
      <c r="P77">
        <v>0.2467</v>
      </c>
      <c r="Q77" t="s">
        <v>39</v>
      </c>
      <c r="R77">
        <v>2023</v>
      </c>
      <c r="S77" t="s">
        <v>25</v>
      </c>
    </row>
    <row r="78" spans="1:19" x14ac:dyDescent="0.3">
      <c r="A78" t="s">
        <v>149</v>
      </c>
      <c r="B78" s="1">
        <v>44847</v>
      </c>
      <c r="C78" t="s">
        <v>48</v>
      </c>
      <c r="D78" t="s">
        <v>49</v>
      </c>
      <c r="E78" t="s">
        <v>38</v>
      </c>
      <c r="F78" t="s">
        <v>23</v>
      </c>
      <c r="G78">
        <v>89055.82</v>
      </c>
      <c r="H78">
        <v>58669.67</v>
      </c>
      <c r="I78">
        <v>30386.15</v>
      </c>
      <c r="J78">
        <v>74350.86</v>
      </c>
      <c r="K78">
        <v>32462.84</v>
      </c>
      <c r="L78">
        <v>308453.45</v>
      </c>
      <c r="M78">
        <v>450</v>
      </c>
      <c r="N78">
        <v>0.21970000000000001</v>
      </c>
      <c r="O78">
        <v>0.3412</v>
      </c>
      <c r="P78">
        <v>0.1052</v>
      </c>
      <c r="Q78" t="s">
        <v>46</v>
      </c>
      <c r="R78">
        <v>2022</v>
      </c>
      <c r="S78" t="s">
        <v>25</v>
      </c>
    </row>
    <row r="79" spans="1:19" x14ac:dyDescent="0.3">
      <c r="A79" t="s">
        <v>150</v>
      </c>
      <c r="B79" s="1">
        <v>45849</v>
      </c>
      <c r="C79" t="s">
        <v>85</v>
      </c>
      <c r="D79" t="s">
        <v>86</v>
      </c>
      <c r="E79" t="s">
        <v>22</v>
      </c>
      <c r="F79" t="s">
        <v>23</v>
      </c>
      <c r="G79">
        <v>29293.4</v>
      </c>
      <c r="H79">
        <v>23091.39</v>
      </c>
      <c r="I79">
        <v>6202.01</v>
      </c>
      <c r="J79">
        <v>19063.45</v>
      </c>
      <c r="K79">
        <v>20140.48</v>
      </c>
      <c r="L79">
        <v>75892.77</v>
      </c>
      <c r="M79">
        <v>1116</v>
      </c>
      <c r="N79">
        <v>-4.8000000000000001E-2</v>
      </c>
      <c r="O79">
        <v>0.2117</v>
      </c>
      <c r="P79">
        <v>0.26540000000000002</v>
      </c>
      <c r="Q79" t="s">
        <v>24</v>
      </c>
      <c r="R79">
        <v>2025</v>
      </c>
      <c r="S79" t="s">
        <v>25</v>
      </c>
    </row>
    <row r="80" spans="1:19" x14ac:dyDescent="0.3">
      <c r="A80" t="s">
        <v>151</v>
      </c>
      <c r="B80" s="1">
        <v>45320</v>
      </c>
      <c r="C80" t="s">
        <v>102</v>
      </c>
      <c r="D80" t="s">
        <v>103</v>
      </c>
      <c r="E80" t="s">
        <v>38</v>
      </c>
      <c r="F80" t="s">
        <v>23</v>
      </c>
      <c r="G80">
        <v>44318.64</v>
      </c>
      <c r="H80">
        <v>32664.52</v>
      </c>
      <c r="I80">
        <v>11654.12</v>
      </c>
      <c r="J80">
        <v>21230.19</v>
      </c>
      <c r="K80">
        <v>6858.18</v>
      </c>
      <c r="L80">
        <v>148971.01999999999</v>
      </c>
      <c r="M80">
        <v>1384</v>
      </c>
      <c r="N80">
        <v>2.29E-2</v>
      </c>
      <c r="O80">
        <v>0.26300000000000001</v>
      </c>
      <c r="P80">
        <v>4.5999999999999999E-2</v>
      </c>
      <c r="Q80" t="s">
        <v>80</v>
      </c>
      <c r="R80">
        <v>2024</v>
      </c>
      <c r="S80" t="s">
        <v>25</v>
      </c>
    </row>
    <row r="81" spans="1:19" x14ac:dyDescent="0.3">
      <c r="A81" t="s">
        <v>152</v>
      </c>
      <c r="B81" s="1">
        <v>46003</v>
      </c>
      <c r="C81" t="s">
        <v>36</v>
      </c>
      <c r="D81" t="s">
        <v>37</v>
      </c>
      <c r="E81" t="s">
        <v>38</v>
      </c>
      <c r="F81" t="s">
        <v>23</v>
      </c>
      <c r="G81">
        <v>164781.14000000001</v>
      </c>
      <c r="H81">
        <v>149321.42000000001</v>
      </c>
      <c r="I81">
        <v>15459.72</v>
      </c>
      <c r="J81">
        <v>44100.54</v>
      </c>
      <c r="K81">
        <v>6942.29</v>
      </c>
      <c r="L81">
        <v>74573.66</v>
      </c>
      <c r="M81">
        <v>996</v>
      </c>
      <c r="N81">
        <v>-4.3700000000000003E-2</v>
      </c>
      <c r="O81">
        <v>9.3799999999999994E-2</v>
      </c>
      <c r="P81">
        <v>9.3100000000000002E-2</v>
      </c>
      <c r="Q81" t="s">
        <v>66</v>
      </c>
      <c r="R81">
        <v>2025</v>
      </c>
      <c r="S81" t="s">
        <v>25</v>
      </c>
    </row>
    <row r="82" spans="1:19" x14ac:dyDescent="0.3">
      <c r="A82" t="s">
        <v>153</v>
      </c>
      <c r="B82" s="1">
        <v>44708</v>
      </c>
      <c r="C82" t="s">
        <v>48</v>
      </c>
      <c r="D82" t="s">
        <v>49</v>
      </c>
      <c r="E82" t="s">
        <v>38</v>
      </c>
      <c r="F82" t="s">
        <v>23</v>
      </c>
      <c r="G82">
        <v>177866.88</v>
      </c>
      <c r="H82">
        <v>157755.63</v>
      </c>
      <c r="I82">
        <v>20111.25</v>
      </c>
      <c r="J82">
        <v>64265.47</v>
      </c>
      <c r="K82">
        <v>8111.78</v>
      </c>
      <c r="L82">
        <v>204963.06</v>
      </c>
      <c r="M82">
        <v>730</v>
      </c>
      <c r="N82">
        <v>9.1600000000000001E-2</v>
      </c>
      <c r="O82">
        <v>0.11310000000000001</v>
      </c>
      <c r="P82">
        <v>3.9600000000000003E-2</v>
      </c>
      <c r="Q82" t="s">
        <v>58</v>
      </c>
      <c r="R82">
        <v>2022</v>
      </c>
      <c r="S82" t="s">
        <v>25</v>
      </c>
    </row>
    <row r="83" spans="1:19" x14ac:dyDescent="0.3">
      <c r="A83" t="s">
        <v>154</v>
      </c>
      <c r="B83" s="1">
        <v>44822</v>
      </c>
      <c r="C83" t="s">
        <v>20</v>
      </c>
      <c r="D83" t="s">
        <v>21</v>
      </c>
      <c r="E83" t="s">
        <v>38</v>
      </c>
      <c r="F83" t="s">
        <v>23</v>
      </c>
      <c r="G83">
        <v>158005.75</v>
      </c>
      <c r="H83">
        <v>108110.76</v>
      </c>
      <c r="I83">
        <v>49894.99</v>
      </c>
      <c r="J83">
        <v>20557.32</v>
      </c>
      <c r="K83">
        <v>20058.759999999998</v>
      </c>
      <c r="L83">
        <v>105888.7</v>
      </c>
      <c r="M83">
        <v>967</v>
      </c>
      <c r="N83">
        <v>-6.3200000000000006E-2</v>
      </c>
      <c r="O83">
        <v>0.31580000000000003</v>
      </c>
      <c r="P83">
        <v>0.18940000000000001</v>
      </c>
      <c r="Q83" t="s">
        <v>76</v>
      </c>
      <c r="R83">
        <v>2022</v>
      </c>
      <c r="S83" t="s">
        <v>25</v>
      </c>
    </row>
    <row r="84" spans="1:19" x14ac:dyDescent="0.3">
      <c r="A84" t="s">
        <v>155</v>
      </c>
      <c r="B84" s="1">
        <v>44689</v>
      </c>
      <c r="C84" t="s">
        <v>54</v>
      </c>
      <c r="D84" t="s">
        <v>55</v>
      </c>
      <c r="E84" t="s">
        <v>22</v>
      </c>
      <c r="F84" t="s">
        <v>23</v>
      </c>
      <c r="G84">
        <v>70137.279999999999</v>
      </c>
      <c r="H84">
        <v>51874.19</v>
      </c>
      <c r="I84">
        <v>18263.09</v>
      </c>
      <c r="J84">
        <v>12837.24</v>
      </c>
      <c r="K84">
        <v>53948.89</v>
      </c>
      <c r="L84">
        <v>145139.4</v>
      </c>
      <c r="M84">
        <v>487</v>
      </c>
      <c r="N84">
        <v>-2.52E-2</v>
      </c>
      <c r="O84">
        <v>0.26040000000000002</v>
      </c>
      <c r="P84">
        <v>0.37169999999999997</v>
      </c>
      <c r="Q84" t="s">
        <v>58</v>
      </c>
      <c r="R84">
        <v>2022</v>
      </c>
      <c r="S84" t="s">
        <v>40</v>
      </c>
    </row>
    <row r="85" spans="1:19" x14ac:dyDescent="0.3">
      <c r="A85" t="s">
        <v>156</v>
      </c>
      <c r="B85" s="1">
        <v>44565</v>
      </c>
      <c r="C85" t="s">
        <v>85</v>
      </c>
      <c r="D85" t="s">
        <v>86</v>
      </c>
      <c r="E85" t="s">
        <v>22</v>
      </c>
      <c r="F85" t="s">
        <v>23</v>
      </c>
      <c r="G85">
        <v>149786.53</v>
      </c>
      <c r="H85">
        <v>127971.03</v>
      </c>
      <c r="I85">
        <v>21815.5</v>
      </c>
      <c r="J85">
        <v>73570.38</v>
      </c>
      <c r="K85">
        <v>79015.3</v>
      </c>
      <c r="L85">
        <v>139417.76</v>
      </c>
      <c r="M85">
        <v>637</v>
      </c>
      <c r="N85">
        <v>9.7000000000000003E-3</v>
      </c>
      <c r="O85">
        <v>0.14560000000000001</v>
      </c>
      <c r="P85">
        <v>0.56679999999999997</v>
      </c>
      <c r="Q85" t="s">
        <v>90</v>
      </c>
      <c r="R85">
        <v>2022</v>
      </c>
      <c r="S85" t="s">
        <v>40</v>
      </c>
    </row>
    <row r="86" spans="1:19" x14ac:dyDescent="0.3">
      <c r="A86" t="s">
        <v>157</v>
      </c>
      <c r="B86" s="1">
        <v>45963</v>
      </c>
      <c r="C86" t="s">
        <v>27</v>
      </c>
      <c r="D86" t="s">
        <v>28</v>
      </c>
      <c r="E86" t="s">
        <v>22</v>
      </c>
      <c r="F86" t="s">
        <v>23</v>
      </c>
      <c r="G86">
        <v>50772.57</v>
      </c>
      <c r="H86">
        <v>30555.279999999999</v>
      </c>
      <c r="I86">
        <v>20217.29</v>
      </c>
      <c r="J86">
        <v>40943.269999999997</v>
      </c>
      <c r="K86">
        <v>13107.76</v>
      </c>
      <c r="L86">
        <v>71209.09</v>
      </c>
      <c r="M86">
        <v>597</v>
      </c>
      <c r="N86">
        <v>7.3300000000000004E-2</v>
      </c>
      <c r="O86">
        <v>0.3982</v>
      </c>
      <c r="P86">
        <v>0.18410000000000001</v>
      </c>
      <c r="Q86" t="s">
        <v>66</v>
      </c>
      <c r="R86">
        <v>2025</v>
      </c>
      <c r="S86" t="s">
        <v>25</v>
      </c>
    </row>
    <row r="87" spans="1:19" x14ac:dyDescent="0.3">
      <c r="A87" t="s">
        <v>158</v>
      </c>
      <c r="B87" s="1">
        <v>45467</v>
      </c>
      <c r="C87" t="s">
        <v>78</v>
      </c>
      <c r="D87" t="s">
        <v>79</v>
      </c>
      <c r="E87" t="s">
        <v>32</v>
      </c>
      <c r="F87" t="s">
        <v>33</v>
      </c>
      <c r="G87">
        <v>65988.39</v>
      </c>
      <c r="H87">
        <v>45648.21</v>
      </c>
      <c r="I87">
        <v>20340.18</v>
      </c>
      <c r="J87">
        <v>57792.56</v>
      </c>
      <c r="K87">
        <v>16319.98</v>
      </c>
      <c r="L87">
        <v>118849.87</v>
      </c>
      <c r="M87">
        <v>1133</v>
      </c>
      <c r="N87">
        <v>-4.4400000000000002E-2</v>
      </c>
      <c r="O87">
        <v>0.30819999999999997</v>
      </c>
      <c r="P87">
        <v>0.13730000000000001</v>
      </c>
      <c r="Q87" t="s">
        <v>111</v>
      </c>
      <c r="R87">
        <v>2024</v>
      </c>
      <c r="S87" t="s">
        <v>25</v>
      </c>
    </row>
    <row r="88" spans="1:19" x14ac:dyDescent="0.3">
      <c r="A88" t="s">
        <v>159</v>
      </c>
      <c r="B88" s="1">
        <v>45956</v>
      </c>
      <c r="C88" t="s">
        <v>30</v>
      </c>
      <c r="D88" t="s">
        <v>31</v>
      </c>
      <c r="E88" t="s">
        <v>38</v>
      </c>
      <c r="F88" t="s">
        <v>23</v>
      </c>
      <c r="G88">
        <v>49144.17</v>
      </c>
      <c r="H88">
        <v>32278.71</v>
      </c>
      <c r="I88">
        <v>16865.46</v>
      </c>
      <c r="J88">
        <v>12275.21</v>
      </c>
      <c r="K88">
        <v>78672.55</v>
      </c>
      <c r="L88">
        <v>43133.69</v>
      </c>
      <c r="M88">
        <v>1162</v>
      </c>
      <c r="N88">
        <v>-0.1215</v>
      </c>
      <c r="O88">
        <v>0.34320000000000001</v>
      </c>
      <c r="P88">
        <v>1.8239000000000001</v>
      </c>
      <c r="Q88" t="s">
        <v>66</v>
      </c>
      <c r="R88">
        <v>2025</v>
      </c>
      <c r="S88" t="s">
        <v>82</v>
      </c>
    </row>
    <row r="89" spans="1:19" x14ac:dyDescent="0.3">
      <c r="A89" t="s">
        <v>160</v>
      </c>
      <c r="B89" s="1">
        <v>45225</v>
      </c>
      <c r="C89" t="s">
        <v>68</v>
      </c>
      <c r="D89" t="s">
        <v>69</v>
      </c>
      <c r="E89" t="s">
        <v>32</v>
      </c>
      <c r="F89" t="s">
        <v>33</v>
      </c>
      <c r="G89">
        <v>77804.81</v>
      </c>
      <c r="H89">
        <v>48980.3</v>
      </c>
      <c r="I89">
        <v>28824.51</v>
      </c>
      <c r="J89">
        <v>37246.97</v>
      </c>
      <c r="K89">
        <v>16974.88</v>
      </c>
      <c r="L89">
        <v>102858.54</v>
      </c>
      <c r="M89">
        <v>2841</v>
      </c>
      <c r="N89">
        <v>2.8E-3</v>
      </c>
      <c r="O89">
        <v>0.3705</v>
      </c>
      <c r="P89">
        <v>0.16500000000000001</v>
      </c>
      <c r="Q89" t="s">
        <v>44</v>
      </c>
      <c r="R89">
        <v>2023</v>
      </c>
      <c r="S89" t="s">
        <v>25</v>
      </c>
    </row>
    <row r="90" spans="1:19" x14ac:dyDescent="0.3">
      <c r="A90" t="s">
        <v>161</v>
      </c>
      <c r="B90" s="1">
        <v>44634</v>
      </c>
      <c r="C90" t="s">
        <v>68</v>
      </c>
      <c r="D90" t="s">
        <v>69</v>
      </c>
      <c r="E90" t="s">
        <v>22</v>
      </c>
      <c r="F90" t="s">
        <v>23</v>
      </c>
      <c r="G90">
        <v>82199.09</v>
      </c>
      <c r="H90">
        <v>60279.21</v>
      </c>
      <c r="I90">
        <v>21919.88</v>
      </c>
      <c r="J90">
        <v>25993.54</v>
      </c>
      <c r="K90">
        <v>16291.95</v>
      </c>
      <c r="L90">
        <v>259120.02</v>
      </c>
      <c r="M90">
        <v>1234</v>
      </c>
      <c r="N90">
        <v>-3.2199999999999999E-2</v>
      </c>
      <c r="O90">
        <v>0.26669999999999999</v>
      </c>
      <c r="P90">
        <v>6.2899999999999998E-2</v>
      </c>
      <c r="Q90" t="s">
        <v>90</v>
      </c>
      <c r="R90">
        <v>2022</v>
      </c>
      <c r="S90" t="s">
        <v>25</v>
      </c>
    </row>
    <row r="91" spans="1:19" x14ac:dyDescent="0.3">
      <c r="A91" t="s">
        <v>162</v>
      </c>
      <c r="B91" s="1">
        <v>46020</v>
      </c>
      <c r="C91" t="s">
        <v>27</v>
      </c>
      <c r="D91" t="s">
        <v>28</v>
      </c>
      <c r="E91" t="s">
        <v>38</v>
      </c>
      <c r="F91" t="s">
        <v>23</v>
      </c>
      <c r="G91">
        <v>109554.4</v>
      </c>
      <c r="H91">
        <v>74887.039999999994</v>
      </c>
      <c r="I91">
        <v>34667.360000000001</v>
      </c>
      <c r="J91">
        <v>10947.24</v>
      </c>
      <c r="K91">
        <v>9363.01</v>
      </c>
      <c r="L91">
        <v>61476.92</v>
      </c>
      <c r="M91">
        <v>1449</v>
      </c>
      <c r="N91">
        <v>1.9E-2</v>
      </c>
      <c r="O91">
        <v>0.31640000000000001</v>
      </c>
      <c r="P91">
        <v>0.15229999999999999</v>
      </c>
      <c r="Q91" t="s">
        <v>66</v>
      </c>
      <c r="R91">
        <v>2025</v>
      </c>
      <c r="S91" t="s">
        <v>25</v>
      </c>
    </row>
    <row r="92" spans="1:19" x14ac:dyDescent="0.3">
      <c r="A92" t="s">
        <v>163</v>
      </c>
      <c r="B92" s="1">
        <v>45666</v>
      </c>
      <c r="C92" t="s">
        <v>102</v>
      </c>
      <c r="D92" t="s">
        <v>103</v>
      </c>
      <c r="E92" t="s">
        <v>22</v>
      </c>
      <c r="F92" t="s">
        <v>23</v>
      </c>
      <c r="G92">
        <v>168733.29</v>
      </c>
      <c r="H92">
        <v>145819.72</v>
      </c>
      <c r="I92">
        <v>22913.57</v>
      </c>
      <c r="J92">
        <v>69116.37</v>
      </c>
      <c r="K92">
        <v>25434.639999999999</v>
      </c>
      <c r="L92">
        <v>86344.16</v>
      </c>
      <c r="M92">
        <v>1089</v>
      </c>
      <c r="N92">
        <v>2.5600000000000001E-2</v>
      </c>
      <c r="O92">
        <v>0.1358</v>
      </c>
      <c r="P92">
        <v>0.29459999999999997</v>
      </c>
      <c r="Q92" t="s">
        <v>106</v>
      </c>
      <c r="R92">
        <v>2025</v>
      </c>
      <c r="S92" t="s">
        <v>25</v>
      </c>
    </row>
    <row r="93" spans="1:19" x14ac:dyDescent="0.3">
      <c r="A93" t="s">
        <v>164</v>
      </c>
      <c r="B93" s="1">
        <v>45671</v>
      </c>
      <c r="C93" t="s">
        <v>20</v>
      </c>
      <c r="D93" t="s">
        <v>21</v>
      </c>
      <c r="E93" t="s">
        <v>32</v>
      </c>
      <c r="F93" t="s">
        <v>33</v>
      </c>
      <c r="G93">
        <v>36218.06</v>
      </c>
      <c r="H93">
        <v>32307.48</v>
      </c>
      <c r="I93">
        <v>3910.58</v>
      </c>
      <c r="J93">
        <v>68679.570000000007</v>
      </c>
      <c r="K93">
        <v>66386.929999999993</v>
      </c>
      <c r="L93">
        <v>125049.33</v>
      </c>
      <c r="M93">
        <v>728</v>
      </c>
      <c r="N93">
        <v>7.6499999999999999E-2</v>
      </c>
      <c r="O93">
        <v>0.108</v>
      </c>
      <c r="P93">
        <v>0.53090000000000004</v>
      </c>
      <c r="Q93" t="s">
        <v>106</v>
      </c>
      <c r="R93">
        <v>2025</v>
      </c>
      <c r="S93" t="s">
        <v>40</v>
      </c>
    </row>
    <row r="94" spans="1:19" x14ac:dyDescent="0.3">
      <c r="A94" t="s">
        <v>165</v>
      </c>
      <c r="B94" s="1">
        <v>45744</v>
      </c>
      <c r="C94" t="s">
        <v>61</v>
      </c>
      <c r="D94" t="s">
        <v>74</v>
      </c>
      <c r="E94" t="s">
        <v>22</v>
      </c>
      <c r="F94" t="s">
        <v>23</v>
      </c>
      <c r="G94">
        <v>131461</v>
      </c>
      <c r="H94">
        <v>95702.68</v>
      </c>
      <c r="I94">
        <v>35758.32</v>
      </c>
      <c r="J94">
        <v>8035.76</v>
      </c>
      <c r="K94">
        <v>28673.43</v>
      </c>
      <c r="L94">
        <v>136061.56</v>
      </c>
      <c r="M94">
        <v>352</v>
      </c>
      <c r="N94">
        <v>-8.6300000000000002E-2</v>
      </c>
      <c r="O94">
        <v>0.27200000000000002</v>
      </c>
      <c r="P94">
        <v>0.2107</v>
      </c>
      <c r="Q94" t="s">
        <v>106</v>
      </c>
      <c r="R94">
        <v>2025</v>
      </c>
      <c r="S94" t="s">
        <v>25</v>
      </c>
    </row>
    <row r="95" spans="1:19" x14ac:dyDescent="0.3">
      <c r="A95" t="s">
        <v>166</v>
      </c>
      <c r="B95" s="1">
        <v>45058</v>
      </c>
      <c r="C95" t="s">
        <v>20</v>
      </c>
      <c r="D95" t="s">
        <v>21</v>
      </c>
      <c r="E95" t="s">
        <v>38</v>
      </c>
      <c r="F95" t="s">
        <v>23</v>
      </c>
      <c r="G95">
        <v>275834.87</v>
      </c>
      <c r="H95">
        <v>227013.93</v>
      </c>
      <c r="I95">
        <v>48820.94</v>
      </c>
      <c r="J95">
        <v>46148.63</v>
      </c>
      <c r="K95">
        <v>3236.34</v>
      </c>
      <c r="L95">
        <v>149631.06</v>
      </c>
      <c r="M95">
        <v>813</v>
      </c>
      <c r="N95">
        <v>8.4699999999999998E-2</v>
      </c>
      <c r="O95">
        <v>0.17699999999999999</v>
      </c>
      <c r="P95">
        <v>2.1600000000000001E-2</v>
      </c>
      <c r="Q95" t="s">
        <v>39</v>
      </c>
      <c r="R95">
        <v>2023</v>
      </c>
      <c r="S95" t="s">
        <v>25</v>
      </c>
    </row>
    <row r="96" spans="1:19" x14ac:dyDescent="0.3">
      <c r="A96" t="s">
        <v>167</v>
      </c>
      <c r="B96" s="1">
        <v>44975</v>
      </c>
      <c r="C96" t="s">
        <v>30</v>
      </c>
      <c r="D96" t="s">
        <v>31</v>
      </c>
      <c r="E96" t="s">
        <v>22</v>
      </c>
      <c r="F96" t="s">
        <v>23</v>
      </c>
      <c r="G96">
        <v>110922.55</v>
      </c>
      <c r="H96">
        <v>63881.52</v>
      </c>
      <c r="I96">
        <v>47041.03</v>
      </c>
      <c r="J96">
        <v>29133.98</v>
      </c>
      <c r="K96">
        <v>214950.64</v>
      </c>
      <c r="L96">
        <v>65896.05</v>
      </c>
      <c r="M96">
        <v>661</v>
      </c>
      <c r="N96">
        <v>-0.1041</v>
      </c>
      <c r="O96">
        <v>0.42409999999999998</v>
      </c>
      <c r="P96">
        <v>3.262</v>
      </c>
      <c r="Q96" t="s">
        <v>118</v>
      </c>
      <c r="R96">
        <v>2023</v>
      </c>
      <c r="S96" t="s">
        <v>82</v>
      </c>
    </row>
    <row r="97" spans="1:19" x14ac:dyDescent="0.3">
      <c r="A97" t="s">
        <v>168</v>
      </c>
      <c r="B97" s="1">
        <v>44901</v>
      </c>
      <c r="C97" t="s">
        <v>78</v>
      </c>
      <c r="D97" t="s">
        <v>79</v>
      </c>
      <c r="E97" t="s">
        <v>38</v>
      </c>
      <c r="F97" t="s">
        <v>23</v>
      </c>
      <c r="G97">
        <v>41472.68</v>
      </c>
      <c r="H97">
        <v>24505.19</v>
      </c>
      <c r="I97">
        <v>16967.490000000002</v>
      </c>
      <c r="J97">
        <v>57271.62</v>
      </c>
      <c r="K97">
        <v>9176.85</v>
      </c>
      <c r="L97">
        <v>87333.440000000002</v>
      </c>
      <c r="M97">
        <v>571</v>
      </c>
      <c r="N97">
        <v>-4.7600000000000003E-2</v>
      </c>
      <c r="O97">
        <v>0.40910000000000002</v>
      </c>
      <c r="P97">
        <v>0.1051</v>
      </c>
      <c r="Q97" t="s">
        <v>46</v>
      </c>
      <c r="R97">
        <v>2022</v>
      </c>
      <c r="S97" t="s">
        <v>25</v>
      </c>
    </row>
    <row r="98" spans="1:19" x14ac:dyDescent="0.3">
      <c r="A98" t="s">
        <v>169</v>
      </c>
      <c r="B98" s="2">
        <v>45510</v>
      </c>
      <c r="C98" t="s">
        <v>78</v>
      </c>
      <c r="D98" t="s">
        <v>79</v>
      </c>
      <c r="E98" t="s">
        <v>38</v>
      </c>
      <c r="F98" t="s">
        <v>23</v>
      </c>
      <c r="G98">
        <v>71500.149999999994</v>
      </c>
      <c r="H98">
        <v>49492.47</v>
      </c>
      <c r="I98">
        <v>22007.68</v>
      </c>
      <c r="J98">
        <v>38713.760000000002</v>
      </c>
      <c r="K98">
        <v>11424.75</v>
      </c>
      <c r="L98">
        <v>138618</v>
      </c>
      <c r="M98">
        <v>833</v>
      </c>
      <c r="N98">
        <v>-5.1900000000000002E-2</v>
      </c>
      <c r="O98">
        <v>0.30780000000000002</v>
      </c>
      <c r="P98">
        <v>8.2400000000000001E-2</v>
      </c>
      <c r="Q98" t="s">
        <v>72</v>
      </c>
      <c r="R98">
        <v>2024</v>
      </c>
      <c r="S98" t="s">
        <v>25</v>
      </c>
    </row>
    <row r="99" spans="1:19" x14ac:dyDescent="0.3">
      <c r="A99" t="s">
        <v>170</v>
      </c>
      <c r="B99" s="1">
        <v>45929</v>
      </c>
      <c r="C99" t="s">
        <v>102</v>
      </c>
      <c r="D99" t="s">
        <v>103</v>
      </c>
      <c r="E99" t="s">
        <v>22</v>
      </c>
      <c r="F99" t="s">
        <v>23</v>
      </c>
      <c r="G99">
        <v>328180.75</v>
      </c>
      <c r="H99">
        <v>200781.82</v>
      </c>
      <c r="I99">
        <v>127398.93</v>
      </c>
      <c r="J99">
        <v>20645.900000000001</v>
      </c>
      <c r="K99">
        <v>30735.14</v>
      </c>
      <c r="L99">
        <v>107270.44</v>
      </c>
      <c r="M99">
        <v>1022</v>
      </c>
      <c r="N99">
        <v>0.19409999999999999</v>
      </c>
      <c r="O99">
        <v>0.38819999999999999</v>
      </c>
      <c r="P99">
        <v>0.28649999999999998</v>
      </c>
      <c r="Q99" t="s">
        <v>24</v>
      </c>
      <c r="R99">
        <v>2025</v>
      </c>
      <c r="S99" t="s">
        <v>25</v>
      </c>
    </row>
    <row r="100" spans="1:19" x14ac:dyDescent="0.3">
      <c r="A100" t="s">
        <v>171</v>
      </c>
      <c r="B100" s="1">
        <v>45386</v>
      </c>
      <c r="C100" t="s">
        <v>61</v>
      </c>
      <c r="D100" t="s">
        <v>74</v>
      </c>
      <c r="E100" t="s">
        <v>38</v>
      </c>
      <c r="F100" t="s">
        <v>23</v>
      </c>
      <c r="G100">
        <v>48774.29</v>
      </c>
      <c r="H100">
        <v>40894.620000000003</v>
      </c>
      <c r="I100">
        <v>7879.67</v>
      </c>
      <c r="J100">
        <v>22273.79</v>
      </c>
      <c r="K100">
        <v>18091.990000000002</v>
      </c>
      <c r="L100">
        <v>75055.179999999993</v>
      </c>
      <c r="M100">
        <v>758</v>
      </c>
      <c r="N100">
        <v>-7.8E-2</v>
      </c>
      <c r="O100">
        <v>0.16159999999999999</v>
      </c>
      <c r="P100">
        <v>0.24099999999999999</v>
      </c>
      <c r="Q100" t="s">
        <v>111</v>
      </c>
      <c r="R100">
        <v>2024</v>
      </c>
      <c r="S100" t="s">
        <v>25</v>
      </c>
    </row>
    <row r="101" spans="1:19" x14ac:dyDescent="0.3">
      <c r="A101" t="s">
        <v>172</v>
      </c>
      <c r="B101" s="1">
        <v>45730</v>
      </c>
      <c r="C101" t="s">
        <v>68</v>
      </c>
      <c r="D101" t="s">
        <v>69</v>
      </c>
      <c r="E101" t="s">
        <v>32</v>
      </c>
      <c r="F101" t="s">
        <v>33</v>
      </c>
      <c r="G101">
        <v>91432.12</v>
      </c>
      <c r="H101">
        <v>57880.46</v>
      </c>
      <c r="I101">
        <v>33551.660000000003</v>
      </c>
      <c r="J101">
        <v>25245.75</v>
      </c>
      <c r="K101">
        <v>31645.09</v>
      </c>
      <c r="L101">
        <v>44455.86</v>
      </c>
      <c r="M101">
        <v>1801</v>
      </c>
      <c r="N101">
        <v>0.1447</v>
      </c>
      <c r="O101">
        <v>0.36699999999999999</v>
      </c>
      <c r="P101">
        <v>0.71179999999999999</v>
      </c>
      <c r="Q101" t="s">
        <v>106</v>
      </c>
      <c r="R101">
        <v>2025</v>
      </c>
      <c r="S101" t="s">
        <v>82</v>
      </c>
    </row>
    <row r="102" spans="1:19" x14ac:dyDescent="0.3">
      <c r="A102" t="s">
        <v>173</v>
      </c>
      <c r="B102" s="1">
        <v>45513</v>
      </c>
      <c r="C102" t="s">
        <v>68</v>
      </c>
      <c r="D102" t="s">
        <v>69</v>
      </c>
      <c r="E102" t="s">
        <v>32</v>
      </c>
      <c r="F102" t="s">
        <v>33</v>
      </c>
      <c r="G102">
        <v>49103.59</v>
      </c>
      <c r="H102">
        <v>43154.04</v>
      </c>
      <c r="I102">
        <v>5949.55</v>
      </c>
      <c r="J102">
        <v>25049.49</v>
      </c>
      <c r="K102">
        <v>41556.089999999997</v>
      </c>
      <c r="L102">
        <v>160005.92000000001</v>
      </c>
      <c r="M102">
        <v>612</v>
      </c>
      <c r="N102">
        <v>1.7899999999999999E-2</v>
      </c>
      <c r="O102">
        <v>0.1212</v>
      </c>
      <c r="P102">
        <v>0.25969999999999999</v>
      </c>
      <c r="Q102" t="s">
        <v>72</v>
      </c>
      <c r="R102">
        <v>2024</v>
      </c>
      <c r="S102" t="s">
        <v>25</v>
      </c>
    </row>
    <row r="103" spans="1:19" x14ac:dyDescent="0.3">
      <c r="A103" t="s">
        <v>174</v>
      </c>
      <c r="B103" s="1">
        <v>44599</v>
      </c>
      <c r="C103" t="s">
        <v>102</v>
      </c>
      <c r="D103" t="s">
        <v>103</v>
      </c>
      <c r="E103" t="s">
        <v>38</v>
      </c>
      <c r="F103" t="s">
        <v>23</v>
      </c>
      <c r="G103">
        <v>129918.88</v>
      </c>
      <c r="H103">
        <v>95292.12</v>
      </c>
      <c r="I103">
        <v>34626.76</v>
      </c>
      <c r="J103">
        <v>16890.75</v>
      </c>
      <c r="K103">
        <v>17781.45</v>
      </c>
      <c r="L103">
        <v>87706.8</v>
      </c>
      <c r="M103">
        <v>891</v>
      </c>
      <c r="N103">
        <v>9.9099999999999994E-2</v>
      </c>
      <c r="O103">
        <v>0.26650000000000001</v>
      </c>
      <c r="P103">
        <v>0.20269999999999999</v>
      </c>
      <c r="Q103" t="s">
        <v>90</v>
      </c>
      <c r="R103">
        <v>2022</v>
      </c>
      <c r="S103" t="s">
        <v>25</v>
      </c>
    </row>
    <row r="104" spans="1:19" x14ac:dyDescent="0.3">
      <c r="A104" t="s">
        <v>175</v>
      </c>
      <c r="B104" s="1">
        <v>45625</v>
      </c>
      <c r="C104" t="s">
        <v>30</v>
      </c>
      <c r="D104" t="s">
        <v>31</v>
      </c>
      <c r="E104" t="s">
        <v>22</v>
      </c>
      <c r="F104" t="s">
        <v>23</v>
      </c>
      <c r="G104">
        <v>113917.46</v>
      </c>
      <c r="H104">
        <v>73909.7</v>
      </c>
      <c r="I104">
        <v>40007.760000000002</v>
      </c>
      <c r="J104">
        <v>119694.16</v>
      </c>
      <c r="K104">
        <v>32598.39</v>
      </c>
      <c r="L104">
        <v>194988.92</v>
      </c>
      <c r="M104">
        <v>1366</v>
      </c>
      <c r="N104">
        <v>4.1599999999999998E-2</v>
      </c>
      <c r="O104">
        <v>0.35120000000000001</v>
      </c>
      <c r="P104">
        <v>0.16719999999999999</v>
      </c>
      <c r="Q104" t="s">
        <v>52</v>
      </c>
      <c r="R104">
        <v>2024</v>
      </c>
      <c r="S104" t="s">
        <v>25</v>
      </c>
    </row>
    <row r="105" spans="1:19" x14ac:dyDescent="0.3">
      <c r="A105" t="s">
        <v>176</v>
      </c>
      <c r="B105" s="1">
        <v>45342</v>
      </c>
      <c r="C105" t="s">
        <v>54</v>
      </c>
      <c r="D105" t="s">
        <v>55</v>
      </c>
      <c r="E105" t="s">
        <v>38</v>
      </c>
      <c r="F105" t="s">
        <v>23</v>
      </c>
      <c r="G105">
        <v>101373.89</v>
      </c>
      <c r="H105">
        <v>81266.59</v>
      </c>
      <c r="I105">
        <v>20107.3</v>
      </c>
      <c r="J105">
        <v>59886.85</v>
      </c>
      <c r="K105">
        <v>81285.850000000006</v>
      </c>
      <c r="L105">
        <v>157282.07</v>
      </c>
      <c r="M105">
        <v>832</v>
      </c>
      <c r="N105">
        <v>2.1000000000000001E-2</v>
      </c>
      <c r="O105">
        <v>0.1983</v>
      </c>
      <c r="P105">
        <v>0.51680000000000004</v>
      </c>
      <c r="Q105" t="s">
        <v>80</v>
      </c>
      <c r="R105">
        <v>2024</v>
      </c>
      <c r="S105" t="s">
        <v>40</v>
      </c>
    </row>
    <row r="106" spans="1:19" x14ac:dyDescent="0.3">
      <c r="A106" t="s">
        <v>177</v>
      </c>
      <c r="B106" s="1">
        <v>44643</v>
      </c>
      <c r="C106" t="s">
        <v>54</v>
      </c>
      <c r="D106" t="s">
        <v>55</v>
      </c>
      <c r="E106" t="s">
        <v>38</v>
      </c>
      <c r="F106" t="s">
        <v>23</v>
      </c>
      <c r="G106">
        <v>95977.03</v>
      </c>
      <c r="H106">
        <v>70808.31</v>
      </c>
      <c r="I106">
        <v>25168.720000000001</v>
      </c>
      <c r="J106">
        <v>43490.09</v>
      </c>
      <c r="K106">
        <v>31347.17</v>
      </c>
      <c r="L106">
        <v>105486.23</v>
      </c>
      <c r="M106">
        <v>486</v>
      </c>
      <c r="N106">
        <v>6.6000000000000003E-2</v>
      </c>
      <c r="O106">
        <v>0.26219999999999999</v>
      </c>
      <c r="P106">
        <v>0.29720000000000002</v>
      </c>
      <c r="Q106" t="s">
        <v>90</v>
      </c>
      <c r="R106">
        <v>2022</v>
      </c>
      <c r="S106" t="s">
        <v>25</v>
      </c>
    </row>
    <row r="107" spans="1:19" x14ac:dyDescent="0.3">
      <c r="A107" t="s">
        <v>178</v>
      </c>
      <c r="B107" s="1">
        <v>44926</v>
      </c>
      <c r="C107" t="s">
        <v>36</v>
      </c>
      <c r="D107" t="s">
        <v>37</v>
      </c>
      <c r="E107" t="s">
        <v>38</v>
      </c>
      <c r="F107" t="s">
        <v>23</v>
      </c>
      <c r="G107">
        <v>59870.8</v>
      </c>
      <c r="H107">
        <v>49787.38</v>
      </c>
      <c r="I107">
        <v>10083.42</v>
      </c>
      <c r="J107">
        <v>38307.660000000003</v>
      </c>
      <c r="K107">
        <v>41374.410000000003</v>
      </c>
      <c r="L107">
        <v>100374.39999999999</v>
      </c>
      <c r="M107">
        <v>1546</v>
      </c>
      <c r="N107">
        <v>-9.8100000000000007E-2</v>
      </c>
      <c r="O107">
        <v>0.16839999999999999</v>
      </c>
      <c r="P107">
        <v>0.41220000000000001</v>
      </c>
      <c r="Q107" t="s">
        <v>46</v>
      </c>
      <c r="R107">
        <v>2022</v>
      </c>
      <c r="S107" t="s">
        <v>40</v>
      </c>
    </row>
    <row r="108" spans="1:19" x14ac:dyDescent="0.3">
      <c r="A108" t="s">
        <v>179</v>
      </c>
      <c r="B108" s="1">
        <v>45781</v>
      </c>
      <c r="C108" t="s">
        <v>27</v>
      </c>
      <c r="D108" t="s">
        <v>28</v>
      </c>
      <c r="E108" t="s">
        <v>38</v>
      </c>
      <c r="F108" t="s">
        <v>23</v>
      </c>
      <c r="G108">
        <v>102448.53</v>
      </c>
      <c r="H108">
        <v>92254.92</v>
      </c>
      <c r="I108">
        <v>10193.61</v>
      </c>
      <c r="J108">
        <v>21220.12</v>
      </c>
      <c r="K108">
        <v>39828.410000000003</v>
      </c>
      <c r="L108">
        <v>59289.48</v>
      </c>
      <c r="M108">
        <v>808</v>
      </c>
      <c r="N108">
        <v>0.14849999999999999</v>
      </c>
      <c r="O108">
        <v>9.9500000000000005E-2</v>
      </c>
      <c r="P108">
        <v>0.67179999999999995</v>
      </c>
      <c r="Q108" t="s">
        <v>34</v>
      </c>
      <c r="R108">
        <v>2025</v>
      </c>
      <c r="S108" t="s">
        <v>82</v>
      </c>
    </row>
    <row r="109" spans="1:19" x14ac:dyDescent="0.3">
      <c r="A109" t="s">
        <v>180</v>
      </c>
      <c r="B109" s="1">
        <v>44771</v>
      </c>
      <c r="C109" t="s">
        <v>85</v>
      </c>
      <c r="D109" t="s">
        <v>86</v>
      </c>
      <c r="E109" t="s">
        <v>22</v>
      </c>
      <c r="F109" t="s">
        <v>23</v>
      </c>
      <c r="G109">
        <v>92838.48</v>
      </c>
      <c r="H109">
        <v>51905.73</v>
      </c>
      <c r="I109">
        <v>40932.75</v>
      </c>
      <c r="J109">
        <v>22741.26</v>
      </c>
      <c r="K109">
        <v>94128.79</v>
      </c>
      <c r="L109">
        <v>79734.460000000006</v>
      </c>
      <c r="M109">
        <v>699</v>
      </c>
      <c r="N109">
        <v>0.15110000000000001</v>
      </c>
      <c r="O109">
        <v>0.44090000000000001</v>
      </c>
      <c r="P109">
        <v>1.1805000000000001</v>
      </c>
      <c r="Q109" t="s">
        <v>76</v>
      </c>
      <c r="R109">
        <v>2022</v>
      </c>
      <c r="S109" t="s">
        <v>82</v>
      </c>
    </row>
    <row r="110" spans="1:19" x14ac:dyDescent="0.3">
      <c r="A110" t="s">
        <v>181</v>
      </c>
      <c r="B110" s="1">
        <v>45684</v>
      </c>
      <c r="C110" t="s">
        <v>68</v>
      </c>
      <c r="D110" t="s">
        <v>69</v>
      </c>
      <c r="E110" t="s">
        <v>51</v>
      </c>
      <c r="F110" t="s">
        <v>23</v>
      </c>
      <c r="G110">
        <v>32878.85</v>
      </c>
      <c r="H110">
        <v>27752.37</v>
      </c>
      <c r="I110">
        <v>5126.4799999999996</v>
      </c>
      <c r="J110">
        <v>29015.39</v>
      </c>
      <c r="K110">
        <v>11884.78</v>
      </c>
      <c r="L110">
        <v>130866.5</v>
      </c>
      <c r="M110">
        <v>1001</v>
      </c>
      <c r="N110">
        <v>-3.2300000000000002E-2</v>
      </c>
      <c r="O110">
        <v>0.15590000000000001</v>
      </c>
      <c r="P110">
        <v>9.0800000000000006E-2</v>
      </c>
      <c r="Q110" t="s">
        <v>106</v>
      </c>
      <c r="R110">
        <v>2025</v>
      </c>
      <c r="S110" t="s">
        <v>25</v>
      </c>
    </row>
    <row r="111" spans="1:19" x14ac:dyDescent="0.3">
      <c r="A111" t="s">
        <v>182</v>
      </c>
      <c r="B111" s="1">
        <v>45410</v>
      </c>
      <c r="C111" t="s">
        <v>85</v>
      </c>
      <c r="D111" t="s">
        <v>86</v>
      </c>
      <c r="E111" t="s">
        <v>38</v>
      </c>
      <c r="F111" t="s">
        <v>23</v>
      </c>
      <c r="G111">
        <v>96765.53</v>
      </c>
      <c r="H111">
        <v>83917.32</v>
      </c>
      <c r="I111">
        <v>12848.21</v>
      </c>
      <c r="J111">
        <v>38960.959999999999</v>
      </c>
      <c r="K111">
        <v>6140.01</v>
      </c>
      <c r="L111">
        <v>78104.78</v>
      </c>
      <c r="M111">
        <v>1515</v>
      </c>
      <c r="N111">
        <v>-5.9700000000000003E-2</v>
      </c>
      <c r="O111">
        <v>0.1328</v>
      </c>
      <c r="P111">
        <v>7.8600000000000003E-2</v>
      </c>
      <c r="Q111" t="s">
        <v>111</v>
      </c>
      <c r="R111">
        <v>2024</v>
      </c>
      <c r="S111" t="s">
        <v>25</v>
      </c>
    </row>
    <row r="112" spans="1:19" x14ac:dyDescent="0.3">
      <c r="A112" t="s">
        <v>183</v>
      </c>
      <c r="B112" s="1">
        <v>45570</v>
      </c>
      <c r="C112" t="s">
        <v>68</v>
      </c>
      <c r="D112" t="s">
        <v>69</v>
      </c>
      <c r="E112" t="s">
        <v>38</v>
      </c>
      <c r="F112" t="s">
        <v>23</v>
      </c>
      <c r="G112">
        <v>32418.98</v>
      </c>
      <c r="H112">
        <v>28198.44</v>
      </c>
      <c r="I112">
        <v>4220.54</v>
      </c>
      <c r="J112">
        <v>90276.75</v>
      </c>
      <c r="K112">
        <v>40311.879999999997</v>
      </c>
      <c r="L112">
        <v>148865.99</v>
      </c>
      <c r="M112">
        <v>1013</v>
      </c>
      <c r="N112">
        <v>-7.3000000000000001E-3</v>
      </c>
      <c r="O112">
        <v>0.13020000000000001</v>
      </c>
      <c r="P112">
        <v>0.27079999999999999</v>
      </c>
      <c r="Q112" t="s">
        <v>52</v>
      </c>
      <c r="R112">
        <v>2024</v>
      </c>
      <c r="S112" t="s">
        <v>25</v>
      </c>
    </row>
    <row r="113" spans="1:19" x14ac:dyDescent="0.3">
      <c r="A113" t="s">
        <v>184</v>
      </c>
      <c r="B113" s="1">
        <v>45612</v>
      </c>
      <c r="C113" t="s">
        <v>27</v>
      </c>
      <c r="D113" t="s">
        <v>28</v>
      </c>
      <c r="E113" t="s">
        <v>38</v>
      </c>
      <c r="F113" t="s">
        <v>23</v>
      </c>
      <c r="G113">
        <v>98612.56</v>
      </c>
      <c r="H113">
        <v>77085.58</v>
      </c>
      <c r="I113">
        <v>21526.98</v>
      </c>
      <c r="J113">
        <v>50274.84</v>
      </c>
      <c r="K113">
        <v>31483.439999999999</v>
      </c>
      <c r="L113">
        <v>152175.41</v>
      </c>
      <c r="M113">
        <v>862</v>
      </c>
      <c r="N113">
        <v>0.11799999999999999</v>
      </c>
      <c r="O113">
        <v>0.21829999999999999</v>
      </c>
      <c r="P113">
        <v>0.2069</v>
      </c>
      <c r="Q113" t="s">
        <v>52</v>
      </c>
      <c r="R113">
        <v>2024</v>
      </c>
      <c r="S113" t="s">
        <v>25</v>
      </c>
    </row>
    <row r="114" spans="1:19" x14ac:dyDescent="0.3">
      <c r="A114" t="s">
        <v>185</v>
      </c>
      <c r="B114" s="1">
        <v>45821</v>
      </c>
      <c r="C114" t="s">
        <v>20</v>
      </c>
      <c r="D114" t="s">
        <v>21</v>
      </c>
      <c r="E114" t="s">
        <v>38</v>
      </c>
      <c r="F114" t="s">
        <v>23</v>
      </c>
      <c r="G114">
        <v>92742.25</v>
      </c>
      <c r="H114">
        <v>58747.56</v>
      </c>
      <c r="I114">
        <v>33994.69</v>
      </c>
      <c r="J114">
        <v>10874.7</v>
      </c>
      <c r="K114">
        <v>38396.6</v>
      </c>
      <c r="L114">
        <v>39255.93</v>
      </c>
      <c r="M114">
        <v>1340</v>
      </c>
      <c r="N114">
        <v>-0.1188</v>
      </c>
      <c r="O114">
        <v>0.36659999999999998</v>
      </c>
      <c r="P114">
        <v>0.97809999999999997</v>
      </c>
      <c r="Q114" t="s">
        <v>34</v>
      </c>
      <c r="R114">
        <v>2025</v>
      </c>
      <c r="S114" t="s">
        <v>82</v>
      </c>
    </row>
    <row r="115" spans="1:19" x14ac:dyDescent="0.3">
      <c r="A115" t="s">
        <v>186</v>
      </c>
      <c r="B115" s="1">
        <v>45282</v>
      </c>
      <c r="C115" t="s">
        <v>102</v>
      </c>
      <c r="D115" t="s">
        <v>103</v>
      </c>
      <c r="E115" t="s">
        <v>116</v>
      </c>
      <c r="F115" t="s">
        <v>23</v>
      </c>
      <c r="G115">
        <v>54502.45</v>
      </c>
      <c r="H115">
        <v>42076.3</v>
      </c>
      <c r="I115">
        <v>12426.15</v>
      </c>
      <c r="J115">
        <v>6022.66</v>
      </c>
      <c r="K115">
        <v>61011.47</v>
      </c>
      <c r="L115">
        <v>32387.279999999999</v>
      </c>
      <c r="M115">
        <v>1061</v>
      </c>
      <c r="N115">
        <v>4.5900000000000003E-2</v>
      </c>
      <c r="O115">
        <v>0.22800000000000001</v>
      </c>
      <c r="P115">
        <v>1.8837999999999999</v>
      </c>
      <c r="Q115" t="s">
        <v>44</v>
      </c>
      <c r="R115">
        <v>2023</v>
      </c>
      <c r="S115" t="s">
        <v>82</v>
      </c>
    </row>
    <row r="116" spans="1:19" x14ac:dyDescent="0.3">
      <c r="A116" t="s">
        <v>187</v>
      </c>
      <c r="B116" s="1">
        <v>45673</v>
      </c>
      <c r="C116" t="s">
        <v>102</v>
      </c>
      <c r="D116" t="s">
        <v>103</v>
      </c>
      <c r="E116" t="s">
        <v>22</v>
      </c>
      <c r="F116" t="s">
        <v>23</v>
      </c>
      <c r="G116">
        <v>59267.62</v>
      </c>
      <c r="H116">
        <v>43174.8</v>
      </c>
      <c r="I116">
        <v>16092.82</v>
      </c>
      <c r="J116">
        <v>33973.040000000001</v>
      </c>
      <c r="K116">
        <v>16521.259999999998</v>
      </c>
      <c r="L116">
        <v>59312.84</v>
      </c>
      <c r="M116">
        <v>923</v>
      </c>
      <c r="N116">
        <v>-4.8500000000000001E-2</v>
      </c>
      <c r="O116">
        <v>0.27150000000000002</v>
      </c>
      <c r="P116">
        <v>0.27850000000000003</v>
      </c>
      <c r="Q116" t="s">
        <v>106</v>
      </c>
      <c r="R116">
        <v>2025</v>
      </c>
      <c r="S116" t="s">
        <v>25</v>
      </c>
    </row>
    <row r="117" spans="1:19" x14ac:dyDescent="0.3">
      <c r="A117" t="s">
        <v>188</v>
      </c>
      <c r="B117" s="1">
        <v>45150</v>
      </c>
      <c r="C117" t="s">
        <v>78</v>
      </c>
      <c r="D117" t="s">
        <v>79</v>
      </c>
      <c r="E117" t="s">
        <v>32</v>
      </c>
      <c r="F117" t="s">
        <v>33</v>
      </c>
      <c r="G117">
        <v>65097.55</v>
      </c>
      <c r="H117">
        <v>39000.26</v>
      </c>
      <c r="I117">
        <v>26097.29</v>
      </c>
      <c r="J117">
        <v>19686.45</v>
      </c>
      <c r="K117">
        <v>113340.2</v>
      </c>
      <c r="L117">
        <v>116508.71</v>
      </c>
      <c r="M117">
        <v>694</v>
      </c>
      <c r="N117">
        <v>5.2900000000000003E-2</v>
      </c>
      <c r="O117">
        <v>0.40089999999999998</v>
      </c>
      <c r="P117">
        <v>0.9728</v>
      </c>
      <c r="Q117" t="s">
        <v>56</v>
      </c>
      <c r="R117">
        <v>2023</v>
      </c>
      <c r="S117" t="s">
        <v>82</v>
      </c>
    </row>
    <row r="118" spans="1:19" x14ac:dyDescent="0.3">
      <c r="A118" t="s">
        <v>189</v>
      </c>
      <c r="B118" s="1">
        <v>44878</v>
      </c>
      <c r="C118" t="s">
        <v>20</v>
      </c>
      <c r="D118" t="s">
        <v>21</v>
      </c>
      <c r="E118" t="s">
        <v>22</v>
      </c>
      <c r="F118" t="s">
        <v>23</v>
      </c>
      <c r="G118">
        <v>237467.74</v>
      </c>
      <c r="H118">
        <v>207133.28</v>
      </c>
      <c r="I118">
        <v>30334.46</v>
      </c>
      <c r="J118">
        <v>42215.72</v>
      </c>
      <c r="K118">
        <v>55058.67</v>
      </c>
      <c r="L118">
        <v>138627.04</v>
      </c>
      <c r="M118">
        <v>1439</v>
      </c>
      <c r="N118">
        <v>-3.0099999999999998E-2</v>
      </c>
      <c r="O118">
        <v>0.12770000000000001</v>
      </c>
      <c r="P118">
        <v>0.3972</v>
      </c>
      <c r="Q118" t="s">
        <v>46</v>
      </c>
      <c r="R118">
        <v>2022</v>
      </c>
      <c r="S118" t="s">
        <v>40</v>
      </c>
    </row>
    <row r="119" spans="1:19" x14ac:dyDescent="0.3">
      <c r="A119" t="s">
        <v>190</v>
      </c>
      <c r="B119" s="1">
        <v>44769</v>
      </c>
      <c r="C119" t="s">
        <v>20</v>
      </c>
      <c r="D119" t="s">
        <v>21</v>
      </c>
      <c r="E119" t="s">
        <v>144</v>
      </c>
      <c r="F119" t="s">
        <v>23</v>
      </c>
      <c r="G119">
        <v>172181.79</v>
      </c>
      <c r="H119">
        <v>123515.95</v>
      </c>
      <c r="I119">
        <v>48665.84</v>
      </c>
      <c r="J119">
        <v>37734.11</v>
      </c>
      <c r="K119">
        <v>37088.97</v>
      </c>
      <c r="L119">
        <v>345434.02</v>
      </c>
      <c r="M119">
        <v>760</v>
      </c>
      <c r="N119">
        <v>2.53E-2</v>
      </c>
      <c r="O119">
        <v>0.28260000000000002</v>
      </c>
      <c r="P119">
        <v>0.1074</v>
      </c>
      <c r="Q119" t="s">
        <v>76</v>
      </c>
      <c r="R119">
        <v>2022</v>
      </c>
      <c r="S119" t="s">
        <v>25</v>
      </c>
    </row>
    <row r="120" spans="1:19" x14ac:dyDescent="0.3">
      <c r="A120" t="s">
        <v>191</v>
      </c>
      <c r="B120" s="1">
        <v>45470</v>
      </c>
      <c r="C120" t="s">
        <v>85</v>
      </c>
      <c r="D120" t="s">
        <v>86</v>
      </c>
      <c r="E120" t="s">
        <v>32</v>
      </c>
      <c r="F120" t="s">
        <v>33</v>
      </c>
      <c r="G120">
        <v>340974.66</v>
      </c>
      <c r="H120">
        <v>229045.11</v>
      </c>
      <c r="I120">
        <v>111929.55</v>
      </c>
      <c r="J120">
        <v>24420.37</v>
      </c>
      <c r="K120">
        <v>102458.81</v>
      </c>
      <c r="L120">
        <v>75798.97</v>
      </c>
      <c r="M120">
        <v>825</v>
      </c>
      <c r="N120">
        <v>8.8200000000000001E-2</v>
      </c>
      <c r="O120">
        <v>0.32829999999999998</v>
      </c>
      <c r="P120">
        <v>1.3516999999999999</v>
      </c>
      <c r="Q120" t="s">
        <v>111</v>
      </c>
      <c r="R120">
        <v>2024</v>
      </c>
      <c r="S120" t="s">
        <v>82</v>
      </c>
    </row>
    <row r="121" spans="1:19" x14ac:dyDescent="0.3">
      <c r="A121" t="s">
        <v>192</v>
      </c>
      <c r="B121" s="1">
        <v>45475</v>
      </c>
      <c r="C121" t="s">
        <v>30</v>
      </c>
      <c r="D121" t="s">
        <v>31</v>
      </c>
      <c r="E121" t="s">
        <v>38</v>
      </c>
      <c r="F121" t="s">
        <v>23</v>
      </c>
      <c r="G121">
        <v>31185.43</v>
      </c>
      <c r="H121">
        <v>23411.439999999999</v>
      </c>
      <c r="I121">
        <v>7773.99</v>
      </c>
      <c r="J121">
        <v>76032.14</v>
      </c>
      <c r="K121">
        <v>13702.06</v>
      </c>
      <c r="L121">
        <v>135300.92000000001</v>
      </c>
      <c r="M121">
        <v>484</v>
      </c>
      <c r="N121">
        <v>-2.5600000000000001E-2</v>
      </c>
      <c r="O121">
        <v>0.24929999999999999</v>
      </c>
      <c r="P121">
        <v>0.1013</v>
      </c>
      <c r="Q121" t="s">
        <v>72</v>
      </c>
      <c r="R121">
        <v>2024</v>
      </c>
      <c r="S121" t="s">
        <v>25</v>
      </c>
    </row>
    <row r="122" spans="1:19" x14ac:dyDescent="0.3">
      <c r="A122" t="s">
        <v>193</v>
      </c>
      <c r="B122" s="1">
        <v>44914</v>
      </c>
      <c r="C122" t="s">
        <v>85</v>
      </c>
      <c r="D122" t="s">
        <v>86</v>
      </c>
      <c r="E122" t="s">
        <v>38</v>
      </c>
      <c r="F122" t="s">
        <v>23</v>
      </c>
      <c r="G122">
        <v>58758.74</v>
      </c>
      <c r="H122">
        <v>53205.38</v>
      </c>
      <c r="I122">
        <v>5553.36</v>
      </c>
      <c r="J122">
        <v>42033.760000000002</v>
      </c>
      <c r="K122">
        <v>66502.990000000005</v>
      </c>
      <c r="L122">
        <v>90758.36</v>
      </c>
      <c r="M122">
        <v>1674</v>
      </c>
      <c r="N122">
        <v>6.6799999999999998E-2</v>
      </c>
      <c r="O122">
        <v>9.4500000000000001E-2</v>
      </c>
      <c r="P122">
        <v>0.73270000000000002</v>
      </c>
      <c r="Q122" t="s">
        <v>46</v>
      </c>
      <c r="R122">
        <v>2022</v>
      </c>
      <c r="S122" t="s">
        <v>82</v>
      </c>
    </row>
    <row r="123" spans="1:19" x14ac:dyDescent="0.3">
      <c r="A123" t="s">
        <v>194</v>
      </c>
      <c r="B123" s="1">
        <v>45508</v>
      </c>
      <c r="C123" t="s">
        <v>42</v>
      </c>
      <c r="D123" t="s">
        <v>43</v>
      </c>
      <c r="E123" t="s">
        <v>32</v>
      </c>
      <c r="F123" t="s">
        <v>33</v>
      </c>
      <c r="G123">
        <v>26498.03</v>
      </c>
      <c r="H123">
        <v>21684.54</v>
      </c>
      <c r="I123">
        <v>4813.49</v>
      </c>
      <c r="J123">
        <v>133414.48000000001</v>
      </c>
      <c r="K123">
        <v>63764.04</v>
      </c>
      <c r="L123">
        <v>191584.11</v>
      </c>
      <c r="M123">
        <v>830</v>
      </c>
      <c r="N123">
        <v>7.6300000000000007E-2</v>
      </c>
      <c r="O123">
        <v>0.1817</v>
      </c>
      <c r="P123">
        <v>0.33279999999999998</v>
      </c>
      <c r="Q123" t="s">
        <v>72</v>
      </c>
      <c r="R123">
        <v>2024</v>
      </c>
      <c r="S123" t="s">
        <v>40</v>
      </c>
    </row>
    <row r="124" spans="1:19" x14ac:dyDescent="0.3">
      <c r="A124" t="s">
        <v>195</v>
      </c>
      <c r="B124" s="1">
        <v>44747</v>
      </c>
      <c r="C124" t="s">
        <v>61</v>
      </c>
      <c r="D124" t="s">
        <v>74</v>
      </c>
      <c r="E124" t="s">
        <v>51</v>
      </c>
      <c r="F124" t="s">
        <v>23</v>
      </c>
      <c r="G124">
        <v>190947.01</v>
      </c>
      <c r="H124">
        <v>156815.57999999999</v>
      </c>
      <c r="I124">
        <v>34131.43</v>
      </c>
      <c r="J124">
        <v>86341.35</v>
      </c>
      <c r="K124">
        <v>37097.33</v>
      </c>
      <c r="L124">
        <v>122144.54</v>
      </c>
      <c r="M124">
        <v>1038</v>
      </c>
      <c r="N124">
        <v>-1.1900000000000001E-2</v>
      </c>
      <c r="O124">
        <v>0.1787</v>
      </c>
      <c r="P124">
        <v>0.30370000000000003</v>
      </c>
      <c r="Q124" t="s">
        <v>76</v>
      </c>
      <c r="R124">
        <v>2022</v>
      </c>
      <c r="S124" t="s">
        <v>40</v>
      </c>
    </row>
    <row r="125" spans="1:19" x14ac:dyDescent="0.3">
      <c r="A125" t="s">
        <v>196</v>
      </c>
      <c r="B125" s="1">
        <v>44942</v>
      </c>
      <c r="C125" t="s">
        <v>78</v>
      </c>
      <c r="D125" t="s">
        <v>79</v>
      </c>
      <c r="E125" t="s">
        <v>38</v>
      </c>
      <c r="F125" t="s">
        <v>23</v>
      </c>
      <c r="G125">
        <v>120765.29</v>
      </c>
      <c r="H125">
        <v>82472.59</v>
      </c>
      <c r="I125">
        <v>38292.699999999997</v>
      </c>
      <c r="J125">
        <v>4473.92</v>
      </c>
      <c r="K125">
        <v>10673.78</v>
      </c>
      <c r="L125">
        <v>80544.55</v>
      </c>
      <c r="M125">
        <v>1062</v>
      </c>
      <c r="N125">
        <v>3.5000000000000001E-3</v>
      </c>
      <c r="O125">
        <v>0.31709999999999999</v>
      </c>
      <c r="P125">
        <v>0.13250000000000001</v>
      </c>
      <c r="Q125" t="s">
        <v>118</v>
      </c>
      <c r="R125">
        <v>2023</v>
      </c>
      <c r="S125" t="s">
        <v>25</v>
      </c>
    </row>
    <row r="126" spans="1:19" x14ac:dyDescent="0.3">
      <c r="A126" t="s">
        <v>197</v>
      </c>
      <c r="B126" s="1">
        <v>44822</v>
      </c>
      <c r="C126" t="s">
        <v>68</v>
      </c>
      <c r="D126" t="s">
        <v>69</v>
      </c>
      <c r="E126" t="s">
        <v>22</v>
      </c>
      <c r="F126" t="s">
        <v>23</v>
      </c>
      <c r="G126">
        <v>150244.35999999999</v>
      </c>
      <c r="H126">
        <v>89909.72</v>
      </c>
      <c r="I126">
        <v>60334.64</v>
      </c>
      <c r="J126">
        <v>20017.150000000001</v>
      </c>
      <c r="K126">
        <v>25912.05</v>
      </c>
      <c r="L126">
        <v>105646.27</v>
      </c>
      <c r="M126">
        <v>929</v>
      </c>
      <c r="N126">
        <v>-8.6199999999999999E-2</v>
      </c>
      <c r="O126">
        <v>0.40160000000000001</v>
      </c>
      <c r="P126">
        <v>0.24529999999999999</v>
      </c>
      <c r="Q126" t="s">
        <v>76</v>
      </c>
      <c r="R126">
        <v>2022</v>
      </c>
      <c r="S126" t="s">
        <v>25</v>
      </c>
    </row>
    <row r="127" spans="1:19" x14ac:dyDescent="0.3">
      <c r="A127" t="s">
        <v>198</v>
      </c>
      <c r="B127" s="1">
        <v>45946</v>
      </c>
      <c r="C127" t="s">
        <v>61</v>
      </c>
      <c r="D127" t="s">
        <v>74</v>
      </c>
      <c r="E127" t="s">
        <v>22</v>
      </c>
      <c r="F127" t="s">
        <v>23</v>
      </c>
      <c r="G127">
        <v>26588.17</v>
      </c>
      <c r="H127">
        <v>20694.740000000002</v>
      </c>
      <c r="I127">
        <v>5893.43</v>
      </c>
      <c r="J127">
        <v>24350.79</v>
      </c>
      <c r="K127">
        <v>13756.82</v>
      </c>
      <c r="L127">
        <v>112827.82</v>
      </c>
      <c r="M127">
        <v>1314</v>
      </c>
      <c r="N127">
        <v>0.1017</v>
      </c>
      <c r="O127">
        <v>0.22170000000000001</v>
      </c>
      <c r="P127">
        <v>0.12189999999999999</v>
      </c>
      <c r="Q127" t="s">
        <v>66</v>
      </c>
      <c r="R127">
        <v>2025</v>
      </c>
      <c r="S127" t="s">
        <v>25</v>
      </c>
    </row>
    <row r="128" spans="1:19" x14ac:dyDescent="0.3">
      <c r="A128" t="s">
        <v>199</v>
      </c>
      <c r="B128" s="1">
        <v>44717</v>
      </c>
      <c r="C128" t="s">
        <v>27</v>
      </c>
      <c r="D128" t="s">
        <v>28</v>
      </c>
      <c r="E128" t="s">
        <v>22</v>
      </c>
      <c r="F128" t="s">
        <v>23</v>
      </c>
      <c r="G128">
        <v>81882.47</v>
      </c>
      <c r="H128">
        <v>61392.62</v>
      </c>
      <c r="I128">
        <v>20489.849999999999</v>
      </c>
      <c r="J128">
        <v>70446.28</v>
      </c>
      <c r="K128">
        <v>20799.86</v>
      </c>
      <c r="L128">
        <v>113137.4</v>
      </c>
      <c r="M128">
        <v>960</v>
      </c>
      <c r="N128">
        <v>-2.58E-2</v>
      </c>
      <c r="O128">
        <v>0.25019999999999998</v>
      </c>
      <c r="P128">
        <v>0.18379999999999999</v>
      </c>
      <c r="Q128" t="s">
        <v>58</v>
      </c>
      <c r="R128">
        <v>2022</v>
      </c>
      <c r="S128" t="s">
        <v>25</v>
      </c>
    </row>
    <row r="129" spans="1:19" x14ac:dyDescent="0.3">
      <c r="A129" t="s">
        <v>200</v>
      </c>
      <c r="B129" s="1">
        <v>45644</v>
      </c>
      <c r="C129" t="s">
        <v>30</v>
      </c>
      <c r="D129" t="s">
        <v>31</v>
      </c>
      <c r="E129" t="s">
        <v>32</v>
      </c>
      <c r="F129" t="s">
        <v>33</v>
      </c>
      <c r="G129">
        <v>76965.53</v>
      </c>
      <c r="H129">
        <v>43514.92</v>
      </c>
      <c r="I129">
        <v>33450.61</v>
      </c>
      <c r="K129">
        <v>30075.74</v>
      </c>
      <c r="L129">
        <v>92182.97</v>
      </c>
      <c r="M129">
        <v>845</v>
      </c>
      <c r="N129">
        <v>9.1399999999999995E-2</v>
      </c>
      <c r="O129">
        <v>0.43459999999999999</v>
      </c>
      <c r="P129">
        <v>0.32629999999999998</v>
      </c>
      <c r="Q129" t="s">
        <v>52</v>
      </c>
      <c r="R129">
        <v>2024</v>
      </c>
      <c r="S129" t="s">
        <v>40</v>
      </c>
    </row>
    <row r="130" spans="1:19" x14ac:dyDescent="0.3">
      <c r="A130" t="s">
        <v>201</v>
      </c>
      <c r="B130" s="1">
        <v>46013</v>
      </c>
      <c r="C130" t="s">
        <v>54</v>
      </c>
      <c r="D130" t="s">
        <v>55</v>
      </c>
      <c r="E130" t="s">
        <v>32</v>
      </c>
      <c r="F130" t="s">
        <v>33</v>
      </c>
      <c r="G130">
        <v>36584.629999999997</v>
      </c>
      <c r="J130">
        <v>35040.65</v>
      </c>
      <c r="K130">
        <v>14970.74</v>
      </c>
      <c r="L130">
        <v>122512.33</v>
      </c>
      <c r="M130">
        <v>1176</v>
      </c>
      <c r="N130">
        <v>-5.0799999999999998E-2</v>
      </c>
      <c r="P130">
        <v>0.1222</v>
      </c>
      <c r="Q130" t="s">
        <v>66</v>
      </c>
      <c r="R130">
        <v>2025</v>
      </c>
      <c r="S130" t="s">
        <v>25</v>
      </c>
    </row>
    <row r="131" spans="1:19" x14ac:dyDescent="0.3">
      <c r="A131" t="s">
        <v>202</v>
      </c>
      <c r="B131" s="1">
        <v>44647</v>
      </c>
      <c r="C131" t="s">
        <v>85</v>
      </c>
      <c r="D131" t="s">
        <v>86</v>
      </c>
      <c r="E131" t="s">
        <v>22</v>
      </c>
      <c r="F131" t="s">
        <v>23</v>
      </c>
      <c r="G131">
        <v>123423.31</v>
      </c>
      <c r="H131">
        <v>112573.6</v>
      </c>
      <c r="I131">
        <v>10849.71</v>
      </c>
      <c r="J131">
        <v>13998.69</v>
      </c>
      <c r="K131">
        <v>24778.33</v>
      </c>
      <c r="L131">
        <v>72681.63</v>
      </c>
      <c r="M131">
        <v>1212</v>
      </c>
      <c r="N131">
        <v>-2.8799999999999999E-2</v>
      </c>
      <c r="O131">
        <v>8.7900000000000006E-2</v>
      </c>
      <c r="P131">
        <v>0.34089999999999998</v>
      </c>
      <c r="Q131" t="s">
        <v>90</v>
      </c>
      <c r="R131">
        <v>2022</v>
      </c>
      <c r="S131" t="s">
        <v>40</v>
      </c>
    </row>
    <row r="132" spans="1:19" x14ac:dyDescent="0.3">
      <c r="A132" t="s">
        <v>203</v>
      </c>
      <c r="B132" s="1">
        <v>45548</v>
      </c>
      <c r="C132" t="s">
        <v>102</v>
      </c>
      <c r="D132" t="s">
        <v>103</v>
      </c>
      <c r="E132" t="s">
        <v>22</v>
      </c>
      <c r="F132" t="s">
        <v>23</v>
      </c>
      <c r="G132">
        <v>83151.360000000001</v>
      </c>
      <c r="H132">
        <v>66546.86</v>
      </c>
      <c r="I132">
        <v>16604.5</v>
      </c>
      <c r="J132">
        <v>45001.9</v>
      </c>
      <c r="K132">
        <v>44845.75</v>
      </c>
      <c r="L132">
        <v>70408.039999999994</v>
      </c>
      <c r="M132">
        <v>1872</v>
      </c>
      <c r="N132">
        <v>-7.5999999999999998E-2</v>
      </c>
      <c r="O132">
        <v>0.19969999999999999</v>
      </c>
      <c r="P132">
        <v>0.63690000000000002</v>
      </c>
      <c r="Q132" t="s">
        <v>72</v>
      </c>
      <c r="R132">
        <v>2024</v>
      </c>
      <c r="S132" t="s">
        <v>82</v>
      </c>
    </row>
    <row r="133" spans="1:19" x14ac:dyDescent="0.3">
      <c r="A133" t="s">
        <v>204</v>
      </c>
      <c r="B133" s="1">
        <v>45571</v>
      </c>
      <c r="C133" t="s">
        <v>61</v>
      </c>
      <c r="D133" t="s">
        <v>74</v>
      </c>
      <c r="E133" t="s">
        <v>38</v>
      </c>
      <c r="F133" t="s">
        <v>23</v>
      </c>
      <c r="G133">
        <v>25622.99</v>
      </c>
      <c r="H133">
        <v>22306.92</v>
      </c>
      <c r="I133">
        <v>3316.07</v>
      </c>
      <c r="J133">
        <v>63051.47</v>
      </c>
      <c r="K133">
        <v>21816.61</v>
      </c>
      <c r="L133">
        <v>103965.98</v>
      </c>
      <c r="M133">
        <v>1028</v>
      </c>
      <c r="N133">
        <v>-4.8899999999999999E-2</v>
      </c>
      <c r="O133">
        <v>0.12939999999999999</v>
      </c>
      <c r="P133">
        <v>0.20979999999999999</v>
      </c>
      <c r="Q133" t="s">
        <v>52</v>
      </c>
      <c r="R133">
        <v>2024</v>
      </c>
      <c r="S133" t="s">
        <v>25</v>
      </c>
    </row>
    <row r="134" spans="1:19" x14ac:dyDescent="0.3">
      <c r="A134" t="s">
        <v>205</v>
      </c>
      <c r="B134" s="1">
        <v>44580</v>
      </c>
      <c r="C134" t="s">
        <v>85</v>
      </c>
      <c r="D134" t="s">
        <v>86</v>
      </c>
      <c r="E134" t="s">
        <v>38</v>
      </c>
      <c r="F134" t="s">
        <v>23</v>
      </c>
      <c r="G134">
        <v>107829.88</v>
      </c>
      <c r="H134">
        <v>91136.85</v>
      </c>
      <c r="I134">
        <v>16693.03</v>
      </c>
      <c r="J134">
        <v>53681.35</v>
      </c>
      <c r="K134">
        <v>75493.759999999995</v>
      </c>
      <c r="L134">
        <v>102896.17</v>
      </c>
      <c r="M134">
        <v>947</v>
      </c>
      <c r="N134">
        <v>-6.7199999999999996E-2</v>
      </c>
      <c r="O134">
        <v>0.15479999999999999</v>
      </c>
      <c r="P134">
        <v>0.73370000000000002</v>
      </c>
      <c r="Q134" t="s">
        <v>90</v>
      </c>
      <c r="R134">
        <v>2022</v>
      </c>
      <c r="S134" t="s">
        <v>82</v>
      </c>
    </row>
    <row r="135" spans="1:19" x14ac:dyDescent="0.3">
      <c r="A135" t="s">
        <v>206</v>
      </c>
      <c r="B135" s="1">
        <v>45650</v>
      </c>
      <c r="C135" t="s">
        <v>78</v>
      </c>
      <c r="D135" t="s">
        <v>79</v>
      </c>
      <c r="E135" t="s">
        <v>38</v>
      </c>
      <c r="F135" t="s">
        <v>23</v>
      </c>
      <c r="G135">
        <v>31865.7</v>
      </c>
      <c r="H135">
        <v>25725.9</v>
      </c>
      <c r="I135">
        <v>6139.8</v>
      </c>
      <c r="J135">
        <v>10398.129999999999</v>
      </c>
      <c r="K135">
        <v>12171.91</v>
      </c>
      <c r="L135">
        <v>22306.03</v>
      </c>
      <c r="M135">
        <v>673</v>
      </c>
      <c r="N135">
        <v>-8.9200000000000002E-2</v>
      </c>
      <c r="O135">
        <v>0.19270000000000001</v>
      </c>
      <c r="P135">
        <v>0.54569999999999996</v>
      </c>
      <c r="Q135" t="s">
        <v>52</v>
      </c>
      <c r="R135">
        <v>2024</v>
      </c>
      <c r="S135" t="s">
        <v>40</v>
      </c>
    </row>
    <row r="136" spans="1:19" x14ac:dyDescent="0.3">
      <c r="A136" t="s">
        <v>207</v>
      </c>
      <c r="B136" s="1">
        <v>45852</v>
      </c>
      <c r="C136" t="s">
        <v>36</v>
      </c>
      <c r="D136" t="s">
        <v>37</v>
      </c>
      <c r="E136" t="s">
        <v>38</v>
      </c>
      <c r="F136" t="s">
        <v>23</v>
      </c>
      <c r="G136">
        <v>212630.21</v>
      </c>
      <c r="H136">
        <v>165683.89000000001</v>
      </c>
      <c r="I136">
        <v>46946.32</v>
      </c>
      <c r="J136">
        <v>66627.45</v>
      </c>
      <c r="K136">
        <v>4450.28</v>
      </c>
      <c r="L136">
        <v>102501.01</v>
      </c>
      <c r="M136">
        <v>922</v>
      </c>
      <c r="N136">
        <v>9.4500000000000001E-2</v>
      </c>
      <c r="O136">
        <v>0.2208</v>
      </c>
      <c r="P136">
        <v>4.3400000000000001E-2</v>
      </c>
      <c r="Q136" t="s">
        <v>24</v>
      </c>
      <c r="R136">
        <v>2025</v>
      </c>
      <c r="S136" t="s">
        <v>25</v>
      </c>
    </row>
    <row r="137" spans="1:19" x14ac:dyDescent="0.3">
      <c r="A137" t="s">
        <v>208</v>
      </c>
      <c r="B137" s="1">
        <v>45806</v>
      </c>
      <c r="C137" t="s">
        <v>85</v>
      </c>
      <c r="D137" t="s">
        <v>86</v>
      </c>
      <c r="E137" t="s">
        <v>51</v>
      </c>
      <c r="F137" t="s">
        <v>23</v>
      </c>
      <c r="G137">
        <v>34479.360000000001</v>
      </c>
      <c r="H137">
        <v>24051.58</v>
      </c>
      <c r="I137">
        <v>10427.780000000001</v>
      </c>
      <c r="J137">
        <v>11237.85</v>
      </c>
      <c r="K137">
        <v>60965.07</v>
      </c>
      <c r="L137">
        <v>384417.16</v>
      </c>
      <c r="M137">
        <v>1673</v>
      </c>
      <c r="N137">
        <v>5.2299999999999999E-2</v>
      </c>
      <c r="O137">
        <v>0.3024</v>
      </c>
      <c r="P137">
        <v>0.15859999999999999</v>
      </c>
      <c r="Q137" t="s">
        <v>34</v>
      </c>
      <c r="R137">
        <v>2025</v>
      </c>
      <c r="S137" t="s">
        <v>25</v>
      </c>
    </row>
    <row r="138" spans="1:19" x14ac:dyDescent="0.3">
      <c r="A138" t="s">
        <v>209</v>
      </c>
      <c r="B138" s="1">
        <v>44925</v>
      </c>
      <c r="C138" t="s">
        <v>85</v>
      </c>
      <c r="D138" t="s">
        <v>86</v>
      </c>
      <c r="E138" t="s">
        <v>22</v>
      </c>
      <c r="F138" t="s">
        <v>23</v>
      </c>
      <c r="G138">
        <v>119767.01</v>
      </c>
      <c r="H138">
        <v>76661.48</v>
      </c>
      <c r="I138">
        <v>43105.53</v>
      </c>
      <c r="J138">
        <v>40007.97</v>
      </c>
      <c r="K138">
        <v>23129.93</v>
      </c>
      <c r="L138">
        <v>130661.94</v>
      </c>
      <c r="N138">
        <v>-6.13E-2</v>
      </c>
      <c r="O138">
        <v>0.3599</v>
      </c>
      <c r="P138">
        <v>0.17699999999999999</v>
      </c>
      <c r="Q138" t="s">
        <v>46</v>
      </c>
      <c r="R138">
        <v>2022</v>
      </c>
      <c r="S138" t="s">
        <v>25</v>
      </c>
    </row>
    <row r="139" spans="1:19" x14ac:dyDescent="0.3">
      <c r="A139" t="s">
        <v>210</v>
      </c>
      <c r="B139" s="1">
        <v>45312</v>
      </c>
      <c r="C139" t="s">
        <v>27</v>
      </c>
      <c r="D139" t="s">
        <v>28</v>
      </c>
      <c r="E139" t="s">
        <v>38</v>
      </c>
      <c r="F139" t="s">
        <v>23</v>
      </c>
      <c r="G139">
        <v>360863.31</v>
      </c>
      <c r="H139">
        <v>210441.68</v>
      </c>
      <c r="I139">
        <v>150421.63</v>
      </c>
      <c r="J139">
        <v>65200.7</v>
      </c>
      <c r="K139">
        <v>15161.39</v>
      </c>
      <c r="L139">
        <v>257923.84</v>
      </c>
      <c r="M139">
        <v>557</v>
      </c>
      <c r="N139">
        <v>1.47E-2</v>
      </c>
      <c r="O139">
        <v>0.4168</v>
      </c>
      <c r="P139">
        <v>5.8799999999999998E-2</v>
      </c>
      <c r="Q139" t="s">
        <v>80</v>
      </c>
      <c r="R139">
        <v>2024</v>
      </c>
      <c r="S139" t="s">
        <v>25</v>
      </c>
    </row>
    <row r="140" spans="1:19" x14ac:dyDescent="0.3">
      <c r="A140" t="s">
        <v>211</v>
      </c>
      <c r="B140" s="1">
        <v>45470</v>
      </c>
      <c r="C140" t="s">
        <v>36</v>
      </c>
      <c r="D140" t="s">
        <v>37</v>
      </c>
      <c r="E140" t="s">
        <v>38</v>
      </c>
      <c r="F140" t="s">
        <v>23</v>
      </c>
      <c r="G140">
        <v>50121.09</v>
      </c>
      <c r="H140">
        <v>42280.18</v>
      </c>
      <c r="I140">
        <v>7840.91</v>
      </c>
      <c r="J140">
        <v>17555.87</v>
      </c>
      <c r="K140">
        <v>13931.43</v>
      </c>
      <c r="L140">
        <v>71045.52</v>
      </c>
      <c r="M140">
        <v>729</v>
      </c>
      <c r="N140">
        <v>9.64E-2</v>
      </c>
      <c r="O140">
        <v>0.15640000000000001</v>
      </c>
      <c r="P140">
        <v>0.1961</v>
      </c>
      <c r="Q140" t="s">
        <v>111</v>
      </c>
      <c r="R140">
        <v>2024</v>
      </c>
      <c r="S140" t="s">
        <v>25</v>
      </c>
    </row>
    <row r="141" spans="1:19" x14ac:dyDescent="0.3">
      <c r="A141" t="s">
        <v>212</v>
      </c>
      <c r="B141" s="1">
        <v>44702</v>
      </c>
      <c r="C141" t="s">
        <v>61</v>
      </c>
      <c r="D141" t="s">
        <v>74</v>
      </c>
      <c r="E141" t="s">
        <v>38</v>
      </c>
      <c r="F141" t="s">
        <v>23</v>
      </c>
      <c r="G141">
        <v>160171.39000000001</v>
      </c>
      <c r="H141">
        <v>140495.35999999999</v>
      </c>
      <c r="I141">
        <v>19676.03</v>
      </c>
      <c r="J141">
        <v>42992.46</v>
      </c>
      <c r="K141">
        <v>15342.88</v>
      </c>
      <c r="L141">
        <v>79410.679999999993</v>
      </c>
      <c r="M141">
        <v>477</v>
      </c>
      <c r="N141">
        <v>0.14119999999999999</v>
      </c>
      <c r="O141">
        <v>0.12280000000000001</v>
      </c>
      <c r="P141">
        <v>0.19320000000000001</v>
      </c>
      <c r="Q141" t="s">
        <v>58</v>
      </c>
      <c r="R141">
        <v>2022</v>
      </c>
      <c r="S141" t="s">
        <v>25</v>
      </c>
    </row>
    <row r="142" spans="1:19" x14ac:dyDescent="0.3">
      <c r="A142" t="s">
        <v>213</v>
      </c>
      <c r="B142" s="1">
        <v>45281</v>
      </c>
      <c r="C142" t="s">
        <v>61</v>
      </c>
      <c r="D142" t="s">
        <v>74</v>
      </c>
      <c r="E142" t="s">
        <v>51</v>
      </c>
      <c r="F142" t="s">
        <v>23</v>
      </c>
      <c r="G142">
        <v>25544.13</v>
      </c>
      <c r="H142">
        <v>16904.150000000001</v>
      </c>
      <c r="I142">
        <v>8639.98</v>
      </c>
      <c r="J142">
        <v>42725.46</v>
      </c>
      <c r="K142">
        <v>46824.39</v>
      </c>
      <c r="L142">
        <v>127111.48</v>
      </c>
      <c r="M142">
        <v>1426</v>
      </c>
      <c r="N142">
        <v>5.2699999999999997E-2</v>
      </c>
      <c r="O142">
        <v>0.3382</v>
      </c>
      <c r="P142">
        <v>0.36840000000000001</v>
      </c>
      <c r="Q142" t="s">
        <v>44</v>
      </c>
      <c r="R142">
        <v>2023</v>
      </c>
      <c r="S142" t="s">
        <v>40</v>
      </c>
    </row>
    <row r="143" spans="1:19" x14ac:dyDescent="0.3">
      <c r="A143" t="s">
        <v>214</v>
      </c>
      <c r="B143" s="1">
        <v>45554</v>
      </c>
      <c r="C143" t="s">
        <v>30</v>
      </c>
      <c r="D143" t="s">
        <v>31</v>
      </c>
      <c r="E143" t="s">
        <v>22</v>
      </c>
      <c r="F143" t="s">
        <v>23</v>
      </c>
      <c r="G143">
        <v>34808.53</v>
      </c>
      <c r="H143">
        <v>22174.33</v>
      </c>
      <c r="I143">
        <v>12634.2</v>
      </c>
      <c r="J143">
        <v>27578.09</v>
      </c>
      <c r="K143">
        <v>25230.09</v>
      </c>
      <c r="L143">
        <v>163515.95000000001</v>
      </c>
      <c r="M143">
        <v>497</v>
      </c>
      <c r="N143">
        <v>2.0799999999999999E-2</v>
      </c>
      <c r="O143">
        <v>0.36299999999999999</v>
      </c>
      <c r="P143">
        <v>0.15429999999999999</v>
      </c>
      <c r="Q143" t="s">
        <v>72</v>
      </c>
      <c r="R143">
        <v>2024</v>
      </c>
      <c r="S143" t="s">
        <v>25</v>
      </c>
    </row>
    <row r="144" spans="1:19" x14ac:dyDescent="0.3">
      <c r="A144" t="s">
        <v>215</v>
      </c>
      <c r="B144" s="1">
        <v>45549</v>
      </c>
      <c r="C144" t="s">
        <v>27</v>
      </c>
      <c r="D144" t="s">
        <v>28</v>
      </c>
      <c r="E144" t="s">
        <v>22</v>
      </c>
      <c r="F144" t="s">
        <v>23</v>
      </c>
      <c r="G144">
        <v>105154.03</v>
      </c>
      <c r="H144">
        <v>67829.289999999994</v>
      </c>
      <c r="I144">
        <v>37324.74</v>
      </c>
      <c r="J144">
        <v>14286.04</v>
      </c>
      <c r="K144">
        <v>17366.939999999999</v>
      </c>
      <c r="L144">
        <v>81975.12</v>
      </c>
      <c r="M144">
        <v>738</v>
      </c>
      <c r="N144">
        <v>-4.1799999999999997E-2</v>
      </c>
      <c r="O144">
        <v>0.35499999999999998</v>
      </c>
      <c r="P144">
        <v>0.21190000000000001</v>
      </c>
      <c r="Q144" t="s">
        <v>72</v>
      </c>
      <c r="R144">
        <v>2024</v>
      </c>
      <c r="S144" t="s">
        <v>25</v>
      </c>
    </row>
    <row r="145" spans="1:19" x14ac:dyDescent="0.3">
      <c r="A145" t="s">
        <v>216</v>
      </c>
      <c r="B145" s="1">
        <v>45959</v>
      </c>
      <c r="C145" t="s">
        <v>20</v>
      </c>
      <c r="D145" t="s">
        <v>21</v>
      </c>
      <c r="E145" t="s">
        <v>22</v>
      </c>
      <c r="F145" t="s">
        <v>23</v>
      </c>
      <c r="G145">
        <v>222027.19</v>
      </c>
      <c r="H145">
        <v>123414.66</v>
      </c>
      <c r="I145">
        <v>98612.53</v>
      </c>
      <c r="J145">
        <v>24617.99</v>
      </c>
      <c r="K145">
        <v>61950.26</v>
      </c>
      <c r="L145">
        <v>65160.65</v>
      </c>
      <c r="M145">
        <v>427</v>
      </c>
      <c r="N145">
        <v>8.8400000000000006E-2</v>
      </c>
      <c r="O145">
        <v>0.44409999999999999</v>
      </c>
      <c r="P145">
        <v>0.95069999999999999</v>
      </c>
      <c r="Q145" t="s">
        <v>66</v>
      </c>
      <c r="R145">
        <v>2025</v>
      </c>
      <c r="S145" t="s">
        <v>82</v>
      </c>
    </row>
    <row r="146" spans="1:19" x14ac:dyDescent="0.3">
      <c r="A146" t="s">
        <v>217</v>
      </c>
      <c r="B146" s="1">
        <v>44597</v>
      </c>
      <c r="C146" t="s">
        <v>20</v>
      </c>
      <c r="D146" t="s">
        <v>21</v>
      </c>
      <c r="E146" t="s">
        <v>22</v>
      </c>
      <c r="F146" t="s">
        <v>23</v>
      </c>
      <c r="G146">
        <v>50106.57</v>
      </c>
      <c r="H146">
        <v>31760.69</v>
      </c>
      <c r="I146">
        <v>18345.88</v>
      </c>
      <c r="J146">
        <v>16149.92</v>
      </c>
      <c r="K146">
        <v>16827.150000000001</v>
      </c>
      <c r="L146">
        <v>67779.42</v>
      </c>
      <c r="M146">
        <v>638</v>
      </c>
      <c r="N146">
        <v>1.2500000000000001E-2</v>
      </c>
      <c r="O146">
        <v>0.36609999999999998</v>
      </c>
      <c r="P146">
        <v>0.24829999999999999</v>
      </c>
      <c r="Q146" t="s">
        <v>90</v>
      </c>
      <c r="R146">
        <v>2022</v>
      </c>
      <c r="S146" t="s">
        <v>25</v>
      </c>
    </row>
    <row r="147" spans="1:19" x14ac:dyDescent="0.3">
      <c r="A147" t="s">
        <v>218</v>
      </c>
      <c r="B147" s="3">
        <v>44721</v>
      </c>
      <c r="C147" t="s">
        <v>27</v>
      </c>
      <c r="D147" t="s">
        <v>28</v>
      </c>
      <c r="E147" t="s">
        <v>38</v>
      </c>
      <c r="F147" t="s">
        <v>23</v>
      </c>
      <c r="G147">
        <v>142941.51999999999</v>
      </c>
      <c r="H147">
        <v>113041.68</v>
      </c>
      <c r="I147">
        <v>29899.84</v>
      </c>
      <c r="J147">
        <v>35453.589999999997</v>
      </c>
      <c r="K147">
        <v>5458.95</v>
      </c>
      <c r="L147">
        <v>114717.84</v>
      </c>
      <c r="M147">
        <v>1560</v>
      </c>
      <c r="N147">
        <v>-8.0699999999999994E-2</v>
      </c>
      <c r="O147">
        <v>0.2092</v>
      </c>
      <c r="P147">
        <v>4.7600000000000003E-2</v>
      </c>
      <c r="Q147" t="s">
        <v>58</v>
      </c>
      <c r="R147">
        <v>2022</v>
      </c>
      <c r="S147" t="s">
        <v>25</v>
      </c>
    </row>
    <row r="148" spans="1:19" x14ac:dyDescent="0.3">
      <c r="A148" t="s">
        <v>219</v>
      </c>
      <c r="B148" s="1">
        <v>45175</v>
      </c>
      <c r="C148" t="s">
        <v>20</v>
      </c>
      <c r="D148" t="s">
        <v>21</v>
      </c>
      <c r="E148" t="s">
        <v>32</v>
      </c>
      <c r="F148" t="s">
        <v>33</v>
      </c>
      <c r="G148">
        <v>216895.74</v>
      </c>
      <c r="H148">
        <v>156626.07</v>
      </c>
      <c r="I148">
        <v>60269.67</v>
      </c>
      <c r="J148">
        <v>44060.25</v>
      </c>
      <c r="K148">
        <v>29060.84</v>
      </c>
      <c r="L148">
        <v>79990.490000000005</v>
      </c>
      <c r="M148">
        <v>574</v>
      </c>
      <c r="N148">
        <v>5.7200000000000001E-2</v>
      </c>
      <c r="O148">
        <v>0.27789999999999998</v>
      </c>
      <c r="P148">
        <v>0.36330000000000001</v>
      </c>
      <c r="Q148" t="s">
        <v>56</v>
      </c>
      <c r="R148">
        <v>2023</v>
      </c>
      <c r="S148" t="s">
        <v>40</v>
      </c>
    </row>
    <row r="149" spans="1:19" x14ac:dyDescent="0.3">
      <c r="A149" t="s">
        <v>220</v>
      </c>
      <c r="B149" s="1">
        <v>45194</v>
      </c>
      <c r="C149" t="s">
        <v>61</v>
      </c>
      <c r="D149" t="s">
        <v>74</v>
      </c>
      <c r="E149" t="s">
        <v>38</v>
      </c>
      <c r="F149" t="s">
        <v>23</v>
      </c>
      <c r="G149">
        <v>16024.56</v>
      </c>
      <c r="H149">
        <v>9523.98</v>
      </c>
      <c r="I149">
        <v>6500.58</v>
      </c>
      <c r="J149">
        <v>23167.18</v>
      </c>
      <c r="K149">
        <v>53758.31</v>
      </c>
      <c r="L149">
        <v>129366.39999999999</v>
      </c>
      <c r="M149">
        <v>1271</v>
      </c>
      <c r="N149">
        <v>-7.6600000000000001E-2</v>
      </c>
      <c r="O149">
        <v>0.40570000000000001</v>
      </c>
      <c r="P149">
        <v>0.41560000000000002</v>
      </c>
      <c r="Q149" t="s">
        <v>56</v>
      </c>
      <c r="R149">
        <v>2023</v>
      </c>
      <c r="S149" t="s">
        <v>40</v>
      </c>
    </row>
    <row r="150" spans="1:19" x14ac:dyDescent="0.3">
      <c r="A150" t="s">
        <v>221</v>
      </c>
      <c r="B150" s="1">
        <v>45539</v>
      </c>
      <c r="C150" t="s">
        <v>42</v>
      </c>
      <c r="D150" t="s">
        <v>43</v>
      </c>
      <c r="E150" t="s">
        <v>22</v>
      </c>
      <c r="F150" t="s">
        <v>23</v>
      </c>
      <c r="G150">
        <v>96410.1</v>
      </c>
      <c r="H150">
        <v>74731.320000000007</v>
      </c>
      <c r="I150">
        <v>21678.78</v>
      </c>
      <c r="J150">
        <v>41562.79</v>
      </c>
      <c r="K150">
        <v>9991.2999999999993</v>
      </c>
      <c r="L150">
        <v>102563.41</v>
      </c>
      <c r="M150">
        <v>660</v>
      </c>
      <c r="N150">
        <v>-7.8100000000000003E-2</v>
      </c>
      <c r="O150">
        <v>0.22489999999999999</v>
      </c>
      <c r="P150">
        <v>9.74E-2</v>
      </c>
      <c r="Q150" t="s">
        <v>72</v>
      </c>
      <c r="R150">
        <v>2024</v>
      </c>
      <c r="S150" t="s">
        <v>25</v>
      </c>
    </row>
    <row r="151" spans="1:19" x14ac:dyDescent="0.3">
      <c r="A151" t="s">
        <v>222</v>
      </c>
      <c r="B151" s="1">
        <v>45322</v>
      </c>
      <c r="C151" t="s">
        <v>78</v>
      </c>
      <c r="D151" t="s">
        <v>79</v>
      </c>
      <c r="E151" t="s">
        <v>38</v>
      </c>
      <c r="F151" t="s">
        <v>23</v>
      </c>
      <c r="G151">
        <v>22169.360000000001</v>
      </c>
      <c r="H151">
        <v>15449.45</v>
      </c>
      <c r="I151">
        <v>6719.91</v>
      </c>
      <c r="J151">
        <v>46891.6</v>
      </c>
      <c r="K151">
        <v>150933.49</v>
      </c>
      <c r="L151">
        <v>72518.820000000007</v>
      </c>
      <c r="M151">
        <v>1308</v>
      </c>
      <c r="N151">
        <v>1.23E-2</v>
      </c>
      <c r="O151">
        <v>0.30309999999999998</v>
      </c>
      <c r="P151">
        <v>2.0813000000000001</v>
      </c>
      <c r="Q151" t="s">
        <v>80</v>
      </c>
      <c r="R151">
        <v>2024</v>
      </c>
      <c r="S151" t="s">
        <v>82</v>
      </c>
    </row>
    <row r="152" spans="1:19" x14ac:dyDescent="0.3">
      <c r="A152" t="s">
        <v>223</v>
      </c>
      <c r="B152" s="1">
        <v>45901</v>
      </c>
      <c r="C152" t="s">
        <v>54</v>
      </c>
      <c r="D152" t="s">
        <v>55</v>
      </c>
      <c r="E152" t="s">
        <v>32</v>
      </c>
      <c r="F152" t="s">
        <v>33</v>
      </c>
      <c r="G152">
        <v>56945.66</v>
      </c>
      <c r="J152">
        <v>45468.75</v>
      </c>
      <c r="K152">
        <v>28723.29</v>
      </c>
      <c r="L152">
        <v>101062.87</v>
      </c>
      <c r="M152">
        <v>1357</v>
      </c>
      <c r="N152">
        <v>-1.18E-2</v>
      </c>
      <c r="P152">
        <v>0.28420000000000001</v>
      </c>
      <c r="Q152" t="s">
        <v>24</v>
      </c>
      <c r="R152">
        <v>2025</v>
      </c>
      <c r="S152" t="s">
        <v>25</v>
      </c>
    </row>
    <row r="153" spans="1:19" x14ac:dyDescent="0.3">
      <c r="A153" t="s">
        <v>224</v>
      </c>
      <c r="B153" s="1">
        <v>45592</v>
      </c>
      <c r="C153" t="s">
        <v>85</v>
      </c>
      <c r="D153" t="s">
        <v>86</v>
      </c>
      <c r="E153" t="s">
        <v>38</v>
      </c>
      <c r="F153" t="s">
        <v>23</v>
      </c>
      <c r="G153">
        <v>52594.67</v>
      </c>
      <c r="H153">
        <v>36769.07</v>
      </c>
      <c r="I153">
        <v>15825.6</v>
      </c>
      <c r="J153">
        <v>27848.98</v>
      </c>
      <c r="K153">
        <v>41324.379999999997</v>
      </c>
      <c r="L153">
        <v>58369.33</v>
      </c>
      <c r="M153">
        <v>909</v>
      </c>
      <c r="N153">
        <v>9.2999999999999992E-3</v>
      </c>
      <c r="O153">
        <v>0.3009</v>
      </c>
      <c r="P153">
        <v>0.70799999999999996</v>
      </c>
      <c r="Q153" t="s">
        <v>52</v>
      </c>
      <c r="R153">
        <v>2024</v>
      </c>
      <c r="S153" t="s">
        <v>82</v>
      </c>
    </row>
    <row r="154" spans="1:19" x14ac:dyDescent="0.3">
      <c r="A154" t="s">
        <v>225</v>
      </c>
      <c r="B154" s="1">
        <v>45354</v>
      </c>
      <c r="C154" t="s">
        <v>61</v>
      </c>
      <c r="D154" t="s">
        <v>74</v>
      </c>
      <c r="E154" t="s">
        <v>22</v>
      </c>
      <c r="F154" t="s">
        <v>23</v>
      </c>
      <c r="G154">
        <v>20334.09</v>
      </c>
      <c r="H154">
        <v>15745.85</v>
      </c>
      <c r="I154">
        <v>4588.24</v>
      </c>
      <c r="J154">
        <v>28204.14</v>
      </c>
      <c r="K154">
        <v>17800.740000000002</v>
      </c>
      <c r="L154">
        <v>148635.12</v>
      </c>
      <c r="M154">
        <v>626</v>
      </c>
      <c r="N154">
        <v>3.6400000000000002E-2</v>
      </c>
      <c r="O154">
        <v>0.22559999999999999</v>
      </c>
      <c r="P154">
        <v>0.1198</v>
      </c>
      <c r="Q154" t="s">
        <v>80</v>
      </c>
      <c r="R154">
        <v>2024</v>
      </c>
      <c r="S154" t="s">
        <v>25</v>
      </c>
    </row>
    <row r="155" spans="1:19" x14ac:dyDescent="0.3">
      <c r="A155" t="s">
        <v>226</v>
      </c>
      <c r="B155" s="1">
        <v>45098</v>
      </c>
      <c r="C155" t="s">
        <v>27</v>
      </c>
      <c r="D155" t="s">
        <v>227</v>
      </c>
      <c r="E155" t="s">
        <v>38</v>
      </c>
      <c r="F155" t="s">
        <v>23</v>
      </c>
      <c r="G155">
        <v>68171.070000000007</v>
      </c>
      <c r="H155">
        <v>57085.61</v>
      </c>
      <c r="I155">
        <v>11085.46</v>
      </c>
      <c r="K155">
        <v>32646.51</v>
      </c>
      <c r="L155">
        <v>60251.25</v>
      </c>
      <c r="M155">
        <v>1244</v>
      </c>
      <c r="N155">
        <v>-2.4400000000000002E-2</v>
      </c>
      <c r="O155">
        <v>0.16259999999999999</v>
      </c>
      <c r="P155">
        <v>0.54179999999999995</v>
      </c>
      <c r="Q155" t="s">
        <v>39</v>
      </c>
      <c r="R155">
        <v>2023</v>
      </c>
      <c r="S155" t="s">
        <v>40</v>
      </c>
    </row>
    <row r="156" spans="1:19" x14ac:dyDescent="0.3">
      <c r="A156" t="s">
        <v>228</v>
      </c>
      <c r="B156" s="1">
        <v>45645</v>
      </c>
      <c r="C156" t="s">
        <v>54</v>
      </c>
      <c r="D156" t="s">
        <v>55</v>
      </c>
      <c r="E156" t="s">
        <v>22</v>
      </c>
      <c r="F156" t="s">
        <v>23</v>
      </c>
      <c r="G156">
        <v>31163.99</v>
      </c>
      <c r="H156">
        <v>23648.58</v>
      </c>
      <c r="I156">
        <v>7515.41</v>
      </c>
      <c r="J156">
        <v>11005.4</v>
      </c>
      <c r="K156">
        <v>17152.849999999999</v>
      </c>
      <c r="L156">
        <v>49137.52</v>
      </c>
      <c r="M156">
        <v>1877</v>
      </c>
      <c r="N156">
        <v>2.5999999999999999E-3</v>
      </c>
      <c r="O156">
        <v>0.2412</v>
      </c>
      <c r="P156">
        <v>0.34910000000000002</v>
      </c>
      <c r="Q156" t="s">
        <v>52</v>
      </c>
      <c r="R156">
        <v>2024</v>
      </c>
      <c r="S156" t="s">
        <v>40</v>
      </c>
    </row>
    <row r="157" spans="1:19" x14ac:dyDescent="0.3">
      <c r="A157" t="s">
        <v>229</v>
      </c>
      <c r="B157" s="1">
        <v>45544</v>
      </c>
      <c r="C157" t="s">
        <v>102</v>
      </c>
      <c r="D157" t="s">
        <v>103</v>
      </c>
      <c r="E157" t="s">
        <v>38</v>
      </c>
      <c r="F157" t="s">
        <v>23</v>
      </c>
      <c r="G157">
        <v>50697.31</v>
      </c>
      <c r="H157">
        <v>30160.46</v>
      </c>
      <c r="I157">
        <v>20536.849999999999</v>
      </c>
      <c r="J157">
        <v>24645.47</v>
      </c>
      <c r="K157">
        <v>16469.7</v>
      </c>
      <c r="L157">
        <v>72367.460000000006</v>
      </c>
      <c r="M157">
        <v>753</v>
      </c>
      <c r="N157">
        <v>2.2800000000000001E-2</v>
      </c>
      <c r="O157">
        <v>0.40510000000000002</v>
      </c>
      <c r="P157">
        <v>0.2276</v>
      </c>
      <c r="Q157" t="s">
        <v>72</v>
      </c>
      <c r="R157">
        <v>2024</v>
      </c>
      <c r="S157" t="s">
        <v>25</v>
      </c>
    </row>
    <row r="158" spans="1:19" x14ac:dyDescent="0.3">
      <c r="A158" t="s">
        <v>230</v>
      </c>
      <c r="B158" s="1">
        <v>45346</v>
      </c>
      <c r="C158" t="s">
        <v>42</v>
      </c>
      <c r="D158" t="s">
        <v>43</v>
      </c>
      <c r="E158" t="s">
        <v>22</v>
      </c>
      <c r="F158" t="s">
        <v>23</v>
      </c>
      <c r="H158">
        <v>27901.05</v>
      </c>
      <c r="J158">
        <v>20107.13</v>
      </c>
      <c r="K158">
        <v>57551.21</v>
      </c>
      <c r="L158">
        <v>102478.79</v>
      </c>
      <c r="M158">
        <v>1332</v>
      </c>
      <c r="N158">
        <v>6.0499999999999998E-2</v>
      </c>
      <c r="P158">
        <v>0.56159999999999999</v>
      </c>
      <c r="Q158" t="s">
        <v>80</v>
      </c>
      <c r="R158">
        <v>2024</v>
      </c>
      <c r="S158" t="s">
        <v>40</v>
      </c>
    </row>
    <row r="159" spans="1:19" x14ac:dyDescent="0.3">
      <c r="A159" t="s">
        <v>231</v>
      </c>
      <c r="B159" s="1">
        <v>44653</v>
      </c>
      <c r="C159" t="s">
        <v>30</v>
      </c>
      <c r="D159" t="s">
        <v>31</v>
      </c>
      <c r="E159" t="s">
        <v>32</v>
      </c>
      <c r="F159" t="s">
        <v>33</v>
      </c>
      <c r="G159">
        <v>31069.41</v>
      </c>
      <c r="H159">
        <v>21537.91</v>
      </c>
      <c r="I159">
        <v>9531.5</v>
      </c>
      <c r="J159">
        <v>31182.2</v>
      </c>
      <c r="K159">
        <v>22333.93</v>
      </c>
      <c r="L159">
        <v>58495.839999999997</v>
      </c>
      <c r="M159">
        <v>1068</v>
      </c>
      <c r="N159">
        <v>0.11260000000000001</v>
      </c>
      <c r="O159">
        <v>0.30680000000000002</v>
      </c>
      <c r="P159">
        <v>0.38179999999999997</v>
      </c>
      <c r="Q159" t="s">
        <v>58</v>
      </c>
      <c r="R159">
        <v>2022</v>
      </c>
      <c r="S159" t="s">
        <v>40</v>
      </c>
    </row>
    <row r="160" spans="1:19" x14ac:dyDescent="0.3">
      <c r="A160" t="s">
        <v>232</v>
      </c>
      <c r="B160" s="1">
        <v>46008</v>
      </c>
      <c r="C160" t="s">
        <v>20</v>
      </c>
      <c r="D160" t="s">
        <v>21</v>
      </c>
      <c r="E160" t="s">
        <v>38</v>
      </c>
      <c r="F160" t="s">
        <v>23</v>
      </c>
      <c r="G160">
        <v>27003.51</v>
      </c>
      <c r="H160">
        <v>23187.7</v>
      </c>
      <c r="I160">
        <v>3815.81</v>
      </c>
      <c r="J160">
        <v>67715.360000000001</v>
      </c>
      <c r="K160">
        <v>10346.959999999999</v>
      </c>
      <c r="L160">
        <v>155674.94</v>
      </c>
      <c r="M160">
        <v>480</v>
      </c>
      <c r="N160">
        <v>-4.7199999999999999E-2</v>
      </c>
      <c r="O160">
        <v>0.14130000000000001</v>
      </c>
      <c r="P160">
        <v>6.6500000000000004E-2</v>
      </c>
      <c r="Q160" t="s">
        <v>66</v>
      </c>
      <c r="R160">
        <v>2025</v>
      </c>
      <c r="S160" t="s">
        <v>25</v>
      </c>
    </row>
    <row r="161" spans="1:19" x14ac:dyDescent="0.3">
      <c r="A161" t="s">
        <v>233</v>
      </c>
      <c r="B161" s="1">
        <v>44869</v>
      </c>
      <c r="C161" t="s">
        <v>54</v>
      </c>
      <c r="D161" t="s">
        <v>55</v>
      </c>
      <c r="E161" t="s">
        <v>32</v>
      </c>
      <c r="F161" t="s">
        <v>33</v>
      </c>
      <c r="G161">
        <v>46793.74</v>
      </c>
      <c r="H161">
        <v>27938.85</v>
      </c>
      <c r="I161">
        <v>18854.89</v>
      </c>
      <c r="J161">
        <v>23843.06</v>
      </c>
      <c r="K161">
        <v>19698.990000000002</v>
      </c>
      <c r="L161">
        <v>114548.72</v>
      </c>
      <c r="M161">
        <v>1467</v>
      </c>
      <c r="N161">
        <v>0.05</v>
      </c>
      <c r="O161">
        <v>0.40289999999999998</v>
      </c>
      <c r="P161">
        <v>0.17199999999999999</v>
      </c>
      <c r="Q161" t="s">
        <v>46</v>
      </c>
      <c r="R161">
        <v>2022</v>
      </c>
      <c r="S161" t="s">
        <v>25</v>
      </c>
    </row>
    <row r="162" spans="1:19" x14ac:dyDescent="0.3">
      <c r="A162" t="s">
        <v>234</v>
      </c>
      <c r="B162" s="1">
        <v>45115</v>
      </c>
      <c r="C162" t="s">
        <v>42</v>
      </c>
      <c r="D162" t="s">
        <v>43</v>
      </c>
      <c r="E162" t="s">
        <v>22</v>
      </c>
      <c r="F162" t="s">
        <v>23</v>
      </c>
      <c r="G162">
        <v>88007.6</v>
      </c>
      <c r="H162">
        <v>79512.56</v>
      </c>
      <c r="I162">
        <v>8495.0400000000009</v>
      </c>
      <c r="J162">
        <v>37985.72</v>
      </c>
      <c r="K162">
        <v>15752.3</v>
      </c>
      <c r="L162">
        <v>168590.17</v>
      </c>
      <c r="M162">
        <v>683</v>
      </c>
      <c r="N162">
        <v>0.14699999999999999</v>
      </c>
      <c r="O162">
        <v>9.6500000000000002E-2</v>
      </c>
      <c r="P162">
        <v>9.3399999999999997E-2</v>
      </c>
      <c r="Q162" t="s">
        <v>56</v>
      </c>
      <c r="R162">
        <v>2023</v>
      </c>
      <c r="S162" t="s">
        <v>25</v>
      </c>
    </row>
    <row r="163" spans="1:19" x14ac:dyDescent="0.3">
      <c r="A163" t="s">
        <v>235</v>
      </c>
      <c r="B163" s="1">
        <v>44793</v>
      </c>
      <c r="C163" t="s">
        <v>48</v>
      </c>
      <c r="D163" t="s">
        <v>49</v>
      </c>
      <c r="E163" t="s">
        <v>22</v>
      </c>
      <c r="F163" t="s">
        <v>23</v>
      </c>
      <c r="G163">
        <v>297226.67</v>
      </c>
      <c r="H163">
        <v>235986.37</v>
      </c>
      <c r="I163">
        <v>61240.3</v>
      </c>
      <c r="J163">
        <v>21504.11</v>
      </c>
      <c r="K163">
        <v>33564.86</v>
      </c>
      <c r="L163">
        <v>130560.95</v>
      </c>
      <c r="M163">
        <v>673</v>
      </c>
      <c r="N163">
        <v>2.2599999999999999E-2</v>
      </c>
      <c r="O163">
        <v>0.20599999999999999</v>
      </c>
      <c r="P163">
        <v>0.2571</v>
      </c>
      <c r="Q163" t="s">
        <v>76</v>
      </c>
      <c r="R163">
        <v>2022</v>
      </c>
      <c r="S163" t="s">
        <v>25</v>
      </c>
    </row>
    <row r="164" spans="1:19" x14ac:dyDescent="0.3">
      <c r="A164" t="s">
        <v>236</v>
      </c>
      <c r="B164" s="1">
        <v>45142</v>
      </c>
      <c r="C164" t="s">
        <v>102</v>
      </c>
      <c r="D164" t="s">
        <v>103</v>
      </c>
      <c r="E164" t="s">
        <v>22</v>
      </c>
      <c r="F164" t="s">
        <v>23</v>
      </c>
      <c r="G164">
        <v>77468.009999999995</v>
      </c>
      <c r="H164">
        <v>62104.89</v>
      </c>
      <c r="I164">
        <v>15363.12</v>
      </c>
      <c r="J164">
        <v>109698.4</v>
      </c>
      <c r="K164">
        <v>20085.29</v>
      </c>
      <c r="L164">
        <v>178467.53</v>
      </c>
      <c r="M164">
        <v>489</v>
      </c>
      <c r="N164">
        <v>-6.2899999999999998E-2</v>
      </c>
      <c r="O164">
        <v>0.1983</v>
      </c>
      <c r="P164">
        <v>0.1125</v>
      </c>
      <c r="Q164" t="s">
        <v>56</v>
      </c>
      <c r="R164">
        <v>2023</v>
      </c>
      <c r="S164" t="s">
        <v>25</v>
      </c>
    </row>
    <row r="165" spans="1:19" x14ac:dyDescent="0.3">
      <c r="A165" t="s">
        <v>237</v>
      </c>
      <c r="B165" s="1">
        <v>45796</v>
      </c>
      <c r="C165" t="s">
        <v>54</v>
      </c>
      <c r="D165" t="s">
        <v>55</v>
      </c>
      <c r="E165" t="s">
        <v>51</v>
      </c>
      <c r="F165" t="s">
        <v>23</v>
      </c>
      <c r="G165">
        <v>37030.9</v>
      </c>
      <c r="H165">
        <v>22752.54</v>
      </c>
      <c r="I165">
        <v>14278.36</v>
      </c>
      <c r="J165">
        <v>47841.89</v>
      </c>
      <c r="K165">
        <v>33726.35</v>
      </c>
      <c r="L165">
        <v>83052.77</v>
      </c>
      <c r="M165">
        <v>631</v>
      </c>
      <c r="N165">
        <v>7.5999999999999998E-2</v>
      </c>
      <c r="O165">
        <v>0.3856</v>
      </c>
      <c r="P165">
        <v>0.40610000000000002</v>
      </c>
      <c r="Q165" t="s">
        <v>34</v>
      </c>
      <c r="R165">
        <v>2025</v>
      </c>
      <c r="S165" t="s">
        <v>40</v>
      </c>
    </row>
    <row r="166" spans="1:19" x14ac:dyDescent="0.3">
      <c r="A166" t="s">
        <v>238</v>
      </c>
      <c r="B166" s="1">
        <v>44929</v>
      </c>
      <c r="C166" t="s">
        <v>85</v>
      </c>
      <c r="D166" t="s">
        <v>86</v>
      </c>
      <c r="E166" t="s">
        <v>38</v>
      </c>
      <c r="F166" t="s">
        <v>23</v>
      </c>
      <c r="G166">
        <v>108514.08</v>
      </c>
      <c r="H166">
        <v>75017.7</v>
      </c>
      <c r="I166">
        <v>33496.379999999997</v>
      </c>
      <c r="J166">
        <v>82274.070000000007</v>
      </c>
      <c r="K166">
        <v>20782.28</v>
      </c>
      <c r="L166">
        <v>131880.47</v>
      </c>
      <c r="M166">
        <v>1632</v>
      </c>
      <c r="N166">
        <v>5.1700000000000003E-2</v>
      </c>
      <c r="O166">
        <v>0.30869999999999997</v>
      </c>
      <c r="P166">
        <v>0.15759999999999999</v>
      </c>
      <c r="Q166" t="s">
        <v>118</v>
      </c>
      <c r="R166">
        <v>2023</v>
      </c>
      <c r="S166" t="s">
        <v>25</v>
      </c>
    </row>
    <row r="167" spans="1:19" x14ac:dyDescent="0.3">
      <c r="A167" t="s">
        <v>239</v>
      </c>
      <c r="B167" s="1">
        <v>44680</v>
      </c>
      <c r="C167" t="s">
        <v>78</v>
      </c>
      <c r="D167" t="s">
        <v>79</v>
      </c>
      <c r="E167" t="s">
        <v>51</v>
      </c>
      <c r="F167" t="s">
        <v>23</v>
      </c>
      <c r="G167">
        <v>48132.51</v>
      </c>
      <c r="H167">
        <v>43925.2</v>
      </c>
      <c r="I167">
        <v>4207.3100000000004</v>
      </c>
      <c r="J167">
        <v>62911.74</v>
      </c>
      <c r="K167">
        <v>86205.99</v>
      </c>
      <c r="L167">
        <v>293745.64</v>
      </c>
      <c r="M167">
        <v>1255</v>
      </c>
      <c r="N167">
        <v>5.45E-2</v>
      </c>
      <c r="O167">
        <v>8.7400000000000005E-2</v>
      </c>
      <c r="P167">
        <v>0.29349999999999998</v>
      </c>
      <c r="Q167" t="s">
        <v>58</v>
      </c>
      <c r="R167">
        <v>2022</v>
      </c>
      <c r="S167" t="s">
        <v>25</v>
      </c>
    </row>
    <row r="168" spans="1:19" x14ac:dyDescent="0.3">
      <c r="A168" t="s">
        <v>240</v>
      </c>
      <c r="B168" s="1">
        <v>45083</v>
      </c>
      <c r="C168" t="s">
        <v>36</v>
      </c>
      <c r="D168" t="s">
        <v>37</v>
      </c>
      <c r="E168" t="s">
        <v>38</v>
      </c>
      <c r="F168" t="s">
        <v>23</v>
      </c>
      <c r="G168">
        <v>105022.88</v>
      </c>
      <c r="H168">
        <v>66490.8</v>
      </c>
      <c r="I168">
        <v>38532.080000000002</v>
      </c>
      <c r="J168">
        <v>28360.17</v>
      </c>
      <c r="K168">
        <v>11662.72</v>
      </c>
      <c r="L168">
        <v>42061.279999999999</v>
      </c>
      <c r="M168">
        <v>2264</v>
      </c>
      <c r="N168">
        <v>-7.2700000000000001E-2</v>
      </c>
      <c r="O168">
        <v>0.3669</v>
      </c>
      <c r="P168">
        <v>0.27729999999999999</v>
      </c>
      <c r="Q168" t="s">
        <v>39</v>
      </c>
      <c r="R168">
        <v>2023</v>
      </c>
      <c r="S168" t="s">
        <v>25</v>
      </c>
    </row>
    <row r="169" spans="1:19" x14ac:dyDescent="0.3">
      <c r="A169" t="s">
        <v>241</v>
      </c>
      <c r="B169" s="1">
        <v>45757</v>
      </c>
      <c r="C169" t="s">
        <v>85</v>
      </c>
      <c r="D169" t="s">
        <v>86</v>
      </c>
      <c r="E169" t="s">
        <v>38</v>
      </c>
      <c r="F169" t="s">
        <v>23</v>
      </c>
      <c r="G169">
        <v>83851.77</v>
      </c>
      <c r="H169">
        <v>66154.850000000006</v>
      </c>
      <c r="I169">
        <v>17696.919999999998</v>
      </c>
      <c r="J169">
        <v>29284.27</v>
      </c>
      <c r="K169">
        <v>53550.41</v>
      </c>
      <c r="L169">
        <v>67949.34</v>
      </c>
      <c r="M169">
        <v>832</v>
      </c>
      <c r="N169">
        <v>3.1199999999999999E-2</v>
      </c>
      <c r="O169">
        <v>0.21110000000000001</v>
      </c>
      <c r="P169">
        <v>0.78810000000000002</v>
      </c>
      <c r="Q169" t="s">
        <v>34</v>
      </c>
      <c r="R169">
        <v>2025</v>
      </c>
      <c r="S169" t="s">
        <v>82</v>
      </c>
    </row>
    <row r="170" spans="1:19" x14ac:dyDescent="0.3">
      <c r="A170" t="s">
        <v>242</v>
      </c>
      <c r="B170" s="1">
        <v>44863</v>
      </c>
      <c r="C170" t="s">
        <v>27</v>
      </c>
      <c r="D170" t="s">
        <v>28</v>
      </c>
      <c r="E170" t="s">
        <v>51</v>
      </c>
      <c r="F170" t="s">
        <v>23</v>
      </c>
      <c r="G170">
        <v>130299.28</v>
      </c>
      <c r="H170">
        <v>103298.65</v>
      </c>
      <c r="I170">
        <v>27000.63</v>
      </c>
      <c r="J170">
        <v>54946.45</v>
      </c>
      <c r="K170">
        <v>31095.46</v>
      </c>
      <c r="L170">
        <v>77584.240000000005</v>
      </c>
      <c r="M170">
        <v>1074</v>
      </c>
      <c r="N170">
        <v>-3.8899999999999997E-2</v>
      </c>
      <c r="O170">
        <v>0.2072</v>
      </c>
      <c r="P170">
        <v>0.40079999999999999</v>
      </c>
      <c r="Q170" t="s">
        <v>46</v>
      </c>
      <c r="R170">
        <v>2022</v>
      </c>
      <c r="S170" t="s">
        <v>40</v>
      </c>
    </row>
    <row r="171" spans="1:19" x14ac:dyDescent="0.3">
      <c r="A171" t="s">
        <v>243</v>
      </c>
      <c r="B171" s="1">
        <v>45992</v>
      </c>
      <c r="C171" t="s">
        <v>54</v>
      </c>
      <c r="D171" t="s">
        <v>55</v>
      </c>
      <c r="E171" t="s">
        <v>51</v>
      </c>
      <c r="F171" t="s">
        <v>23</v>
      </c>
      <c r="G171">
        <v>100849.87</v>
      </c>
      <c r="H171">
        <v>75700.710000000006</v>
      </c>
      <c r="I171">
        <v>25149.16</v>
      </c>
      <c r="J171">
        <v>54531.27</v>
      </c>
      <c r="K171">
        <v>32617.439999999999</v>
      </c>
      <c r="L171">
        <v>475899.48</v>
      </c>
      <c r="M171">
        <v>1158</v>
      </c>
      <c r="N171">
        <v>-0.1221</v>
      </c>
      <c r="O171">
        <v>0.24940000000000001</v>
      </c>
      <c r="P171">
        <v>6.8500000000000005E-2</v>
      </c>
      <c r="Q171" t="s">
        <v>66</v>
      </c>
      <c r="R171">
        <v>2025</v>
      </c>
      <c r="S171" t="s">
        <v>25</v>
      </c>
    </row>
    <row r="172" spans="1:19" x14ac:dyDescent="0.3">
      <c r="A172" t="s">
        <v>244</v>
      </c>
      <c r="B172" s="1">
        <v>45866</v>
      </c>
      <c r="C172" t="s">
        <v>20</v>
      </c>
      <c r="D172" t="s">
        <v>21</v>
      </c>
      <c r="E172" t="s">
        <v>32</v>
      </c>
      <c r="F172" t="s">
        <v>33</v>
      </c>
      <c r="G172">
        <v>48798.47</v>
      </c>
      <c r="H172">
        <v>35172.78</v>
      </c>
      <c r="I172">
        <v>13625.69</v>
      </c>
      <c r="J172">
        <v>45920.32</v>
      </c>
      <c r="K172">
        <v>22760.49</v>
      </c>
      <c r="L172">
        <v>77558.179999999993</v>
      </c>
      <c r="M172">
        <v>691</v>
      </c>
      <c r="N172">
        <v>5.4100000000000002E-2</v>
      </c>
      <c r="O172">
        <v>0.2792</v>
      </c>
      <c r="P172">
        <v>0.29349999999999998</v>
      </c>
      <c r="Q172" t="s">
        <v>24</v>
      </c>
      <c r="R172">
        <v>2025</v>
      </c>
      <c r="S172" t="s">
        <v>25</v>
      </c>
    </row>
    <row r="173" spans="1:19" x14ac:dyDescent="0.3">
      <c r="A173" t="s">
        <v>245</v>
      </c>
      <c r="B173" s="1">
        <v>44863</v>
      </c>
      <c r="C173" t="s">
        <v>61</v>
      </c>
      <c r="E173" t="s">
        <v>22</v>
      </c>
      <c r="F173" t="s">
        <v>23</v>
      </c>
      <c r="G173">
        <v>33613.26</v>
      </c>
      <c r="H173">
        <v>22907.18</v>
      </c>
      <c r="I173">
        <v>10706.08</v>
      </c>
      <c r="J173">
        <v>44856.41</v>
      </c>
      <c r="K173">
        <v>33603.53</v>
      </c>
      <c r="L173">
        <v>223135.94</v>
      </c>
      <c r="M173">
        <v>467</v>
      </c>
      <c r="N173">
        <v>-7.2999999999999995E-2</v>
      </c>
      <c r="O173">
        <v>0.31850000000000001</v>
      </c>
      <c r="P173">
        <v>0.15060000000000001</v>
      </c>
      <c r="Q173" t="s">
        <v>46</v>
      </c>
      <c r="R173">
        <v>2022</v>
      </c>
      <c r="S173" t="s">
        <v>25</v>
      </c>
    </row>
    <row r="174" spans="1:19" x14ac:dyDescent="0.3">
      <c r="A174" t="s">
        <v>246</v>
      </c>
      <c r="B174" s="1">
        <v>45655</v>
      </c>
      <c r="C174" t="s">
        <v>30</v>
      </c>
      <c r="D174" t="s">
        <v>31</v>
      </c>
      <c r="E174" t="s">
        <v>22</v>
      </c>
      <c r="F174" t="s">
        <v>23</v>
      </c>
      <c r="G174">
        <v>42994.58</v>
      </c>
      <c r="H174">
        <v>35133.72</v>
      </c>
      <c r="I174">
        <v>7860.86</v>
      </c>
      <c r="J174">
        <v>7586.42</v>
      </c>
      <c r="K174">
        <v>32200.84</v>
      </c>
      <c r="L174">
        <v>128091.01</v>
      </c>
      <c r="M174">
        <v>474</v>
      </c>
      <c r="N174">
        <v>-0.1221</v>
      </c>
      <c r="O174">
        <v>0.18279999999999999</v>
      </c>
      <c r="P174">
        <v>0.25140000000000001</v>
      </c>
      <c r="Q174" t="s">
        <v>52</v>
      </c>
      <c r="R174">
        <v>2024</v>
      </c>
      <c r="S174" t="s">
        <v>25</v>
      </c>
    </row>
    <row r="175" spans="1:19" x14ac:dyDescent="0.3">
      <c r="A175" t="s">
        <v>247</v>
      </c>
      <c r="B175" s="1">
        <v>44763</v>
      </c>
      <c r="C175" t="s">
        <v>102</v>
      </c>
      <c r="D175" t="s">
        <v>103</v>
      </c>
      <c r="E175" t="s">
        <v>38</v>
      </c>
      <c r="F175" t="s">
        <v>23</v>
      </c>
      <c r="G175">
        <v>27128.05</v>
      </c>
      <c r="H175">
        <v>22892.080000000002</v>
      </c>
      <c r="I175">
        <v>4235.97</v>
      </c>
      <c r="J175">
        <v>79523.58</v>
      </c>
      <c r="K175">
        <v>31097.83</v>
      </c>
      <c r="L175">
        <v>111513.57</v>
      </c>
      <c r="M175">
        <v>2431</v>
      </c>
      <c r="N175">
        <v>-1.2200000000000001E-2</v>
      </c>
      <c r="O175">
        <v>0.15609999999999999</v>
      </c>
      <c r="P175">
        <v>0.27889999999999998</v>
      </c>
      <c r="Q175" t="s">
        <v>76</v>
      </c>
      <c r="R175">
        <v>2022</v>
      </c>
      <c r="S175" t="s">
        <v>25</v>
      </c>
    </row>
    <row r="176" spans="1:19" x14ac:dyDescent="0.3">
      <c r="A176" t="s">
        <v>248</v>
      </c>
      <c r="B176" s="1">
        <v>45259</v>
      </c>
      <c r="C176" t="s">
        <v>102</v>
      </c>
      <c r="D176" t="s">
        <v>103</v>
      </c>
      <c r="E176" t="s">
        <v>38</v>
      </c>
      <c r="F176" t="s">
        <v>23</v>
      </c>
      <c r="G176">
        <v>245206.29</v>
      </c>
      <c r="H176">
        <v>189615.68</v>
      </c>
      <c r="I176">
        <v>55590.61</v>
      </c>
      <c r="J176">
        <v>123084.98</v>
      </c>
      <c r="K176">
        <v>61037.89</v>
      </c>
      <c r="L176">
        <v>216461.5</v>
      </c>
      <c r="M176">
        <v>1274</v>
      </c>
      <c r="N176">
        <v>-3.1300000000000001E-2</v>
      </c>
      <c r="O176">
        <v>0.22670000000000001</v>
      </c>
      <c r="P176">
        <v>0.28199999999999997</v>
      </c>
      <c r="Q176" t="s">
        <v>44</v>
      </c>
      <c r="R176">
        <v>2023</v>
      </c>
      <c r="S176" t="s">
        <v>25</v>
      </c>
    </row>
    <row r="177" spans="1:19" x14ac:dyDescent="0.3">
      <c r="A177" t="s">
        <v>249</v>
      </c>
      <c r="B177" s="1">
        <v>44772</v>
      </c>
      <c r="C177" t="s">
        <v>48</v>
      </c>
      <c r="D177" t="s">
        <v>49</v>
      </c>
      <c r="E177" t="s">
        <v>22</v>
      </c>
      <c r="F177" t="s">
        <v>23</v>
      </c>
      <c r="G177">
        <v>65472.14</v>
      </c>
      <c r="H177">
        <v>55023.56</v>
      </c>
      <c r="I177">
        <v>10448.58</v>
      </c>
      <c r="J177">
        <v>23926.46</v>
      </c>
      <c r="K177">
        <v>57426.47</v>
      </c>
      <c r="L177">
        <v>123786.6</v>
      </c>
      <c r="M177">
        <v>257</v>
      </c>
      <c r="N177">
        <v>7.0099999999999996E-2</v>
      </c>
      <c r="O177">
        <v>0.15959999999999999</v>
      </c>
      <c r="P177">
        <v>0.46389999999999998</v>
      </c>
      <c r="Q177" t="s">
        <v>76</v>
      </c>
      <c r="R177">
        <v>2022</v>
      </c>
      <c r="S177" t="s">
        <v>40</v>
      </c>
    </row>
    <row r="178" spans="1:19" x14ac:dyDescent="0.3">
      <c r="A178" t="s">
        <v>250</v>
      </c>
      <c r="B178" s="1">
        <v>44674</v>
      </c>
      <c r="C178" t="s">
        <v>42</v>
      </c>
      <c r="D178" t="s">
        <v>43</v>
      </c>
      <c r="E178" t="s">
        <v>38</v>
      </c>
      <c r="F178" t="s">
        <v>23</v>
      </c>
      <c r="G178">
        <v>42272.02</v>
      </c>
      <c r="H178">
        <v>26700.12</v>
      </c>
      <c r="I178">
        <v>15571.9</v>
      </c>
      <c r="J178">
        <v>29891.52</v>
      </c>
      <c r="K178">
        <v>90288</v>
      </c>
      <c r="L178">
        <v>125988.07</v>
      </c>
      <c r="M178">
        <v>566</v>
      </c>
      <c r="N178">
        <v>0.14910000000000001</v>
      </c>
      <c r="O178">
        <v>0.36840000000000001</v>
      </c>
      <c r="P178">
        <v>0.71660000000000001</v>
      </c>
      <c r="Q178" t="s">
        <v>58</v>
      </c>
      <c r="R178">
        <v>2022</v>
      </c>
      <c r="S178" t="s">
        <v>82</v>
      </c>
    </row>
    <row r="179" spans="1:19" x14ac:dyDescent="0.3">
      <c r="A179" t="s">
        <v>251</v>
      </c>
      <c r="B179" s="1">
        <v>45632</v>
      </c>
      <c r="C179" t="s">
        <v>42</v>
      </c>
      <c r="D179" t="s">
        <v>43</v>
      </c>
      <c r="E179" t="s">
        <v>32</v>
      </c>
      <c r="F179" t="s">
        <v>33</v>
      </c>
      <c r="G179">
        <v>63119.519999999997</v>
      </c>
      <c r="H179">
        <v>54328.66</v>
      </c>
      <c r="I179">
        <v>8790.86</v>
      </c>
      <c r="J179">
        <v>16787.55</v>
      </c>
      <c r="K179">
        <v>70186.63</v>
      </c>
      <c r="L179">
        <v>30789.86</v>
      </c>
      <c r="M179">
        <v>510</v>
      </c>
      <c r="N179">
        <v>3.61E-2</v>
      </c>
      <c r="O179">
        <v>0.13930000000000001</v>
      </c>
      <c r="P179">
        <v>2.2795000000000001</v>
      </c>
      <c r="Q179" t="s">
        <v>52</v>
      </c>
      <c r="R179">
        <v>2024</v>
      </c>
      <c r="S179" t="s">
        <v>82</v>
      </c>
    </row>
    <row r="180" spans="1:19" x14ac:dyDescent="0.3">
      <c r="A180" t="s">
        <v>252</v>
      </c>
      <c r="B180" s="1">
        <v>45534</v>
      </c>
      <c r="C180" t="s">
        <v>61</v>
      </c>
      <c r="D180" t="s">
        <v>74</v>
      </c>
      <c r="E180" t="s">
        <v>38</v>
      </c>
      <c r="F180" t="s">
        <v>23</v>
      </c>
      <c r="G180">
        <v>116622.06</v>
      </c>
      <c r="H180">
        <v>89448.8</v>
      </c>
      <c r="I180">
        <v>27173.26</v>
      </c>
      <c r="J180">
        <v>106179.16</v>
      </c>
      <c r="K180">
        <v>37913.019999999997</v>
      </c>
      <c r="L180">
        <v>175602.29</v>
      </c>
      <c r="M180">
        <v>746</v>
      </c>
      <c r="N180">
        <v>4.9700000000000001E-2</v>
      </c>
      <c r="O180">
        <v>0.23300000000000001</v>
      </c>
      <c r="P180">
        <v>0.21590000000000001</v>
      </c>
      <c r="Q180" t="s">
        <v>72</v>
      </c>
      <c r="R180">
        <v>2024</v>
      </c>
      <c r="S180" t="s">
        <v>25</v>
      </c>
    </row>
    <row r="181" spans="1:19" x14ac:dyDescent="0.3">
      <c r="A181" t="s">
        <v>253</v>
      </c>
      <c r="B181" s="1">
        <v>44610</v>
      </c>
      <c r="C181" t="s">
        <v>27</v>
      </c>
      <c r="D181" t="s">
        <v>28</v>
      </c>
      <c r="E181" t="s">
        <v>22</v>
      </c>
      <c r="F181" t="s">
        <v>23</v>
      </c>
      <c r="G181">
        <v>114806.83</v>
      </c>
      <c r="H181">
        <v>93134.399999999994</v>
      </c>
      <c r="I181">
        <v>21672.43</v>
      </c>
      <c r="J181">
        <v>30577.360000000001</v>
      </c>
      <c r="K181">
        <v>18225.82</v>
      </c>
      <c r="L181">
        <v>97171.8</v>
      </c>
      <c r="M181">
        <v>793</v>
      </c>
      <c r="N181">
        <v>-6.4899999999999999E-2</v>
      </c>
      <c r="O181">
        <v>0.1888</v>
      </c>
      <c r="P181">
        <v>0.18759999999999999</v>
      </c>
      <c r="Q181" t="s">
        <v>90</v>
      </c>
      <c r="R181">
        <v>2022</v>
      </c>
      <c r="S181" t="s">
        <v>25</v>
      </c>
    </row>
    <row r="182" spans="1:19" x14ac:dyDescent="0.3">
      <c r="A182" t="s">
        <v>254</v>
      </c>
      <c r="B182" s="1">
        <v>45109</v>
      </c>
      <c r="C182" t="s">
        <v>42</v>
      </c>
      <c r="D182" t="s">
        <v>227</v>
      </c>
      <c r="E182" t="s">
        <v>22</v>
      </c>
      <c r="F182" t="s">
        <v>23</v>
      </c>
      <c r="G182">
        <v>39334.6</v>
      </c>
      <c r="H182">
        <v>33089.72</v>
      </c>
      <c r="I182">
        <v>6244.88</v>
      </c>
      <c r="J182">
        <v>16856.25</v>
      </c>
      <c r="K182">
        <v>25508.76</v>
      </c>
      <c r="L182">
        <v>88822.92</v>
      </c>
      <c r="M182">
        <v>1513</v>
      </c>
      <c r="N182">
        <v>-7.9000000000000008E-3</v>
      </c>
      <c r="O182">
        <v>0.1588</v>
      </c>
      <c r="P182">
        <v>0.28720000000000001</v>
      </c>
      <c r="Q182" t="s">
        <v>56</v>
      </c>
      <c r="R182">
        <v>2023</v>
      </c>
      <c r="S182" t="s">
        <v>25</v>
      </c>
    </row>
    <row r="183" spans="1:19" x14ac:dyDescent="0.3">
      <c r="A183" t="s">
        <v>255</v>
      </c>
      <c r="B183" s="1">
        <v>45813</v>
      </c>
      <c r="C183" t="s">
        <v>85</v>
      </c>
      <c r="D183" t="s">
        <v>86</v>
      </c>
      <c r="E183" t="s">
        <v>38</v>
      </c>
      <c r="F183" t="s">
        <v>23</v>
      </c>
      <c r="G183">
        <v>15127.11</v>
      </c>
      <c r="H183">
        <v>10264</v>
      </c>
      <c r="I183">
        <v>4863.1099999999997</v>
      </c>
      <c r="J183">
        <v>61012.36</v>
      </c>
      <c r="K183">
        <v>32782.89</v>
      </c>
      <c r="L183">
        <v>124939.44</v>
      </c>
      <c r="M183">
        <v>1231</v>
      </c>
      <c r="N183">
        <v>1.7299999999999999E-2</v>
      </c>
      <c r="O183">
        <v>0.32150000000000001</v>
      </c>
      <c r="P183">
        <v>0.26240000000000002</v>
      </c>
      <c r="Q183" t="s">
        <v>34</v>
      </c>
      <c r="R183">
        <v>2025</v>
      </c>
      <c r="S183" t="s">
        <v>25</v>
      </c>
    </row>
    <row r="184" spans="1:19" x14ac:dyDescent="0.3">
      <c r="A184" t="s">
        <v>256</v>
      </c>
      <c r="B184" s="1">
        <v>45457</v>
      </c>
      <c r="C184" t="s">
        <v>61</v>
      </c>
      <c r="D184" t="s">
        <v>74</v>
      </c>
      <c r="E184" t="s">
        <v>22</v>
      </c>
      <c r="F184" t="s">
        <v>23</v>
      </c>
      <c r="G184">
        <v>68328.83</v>
      </c>
      <c r="H184">
        <v>62345.54</v>
      </c>
      <c r="I184">
        <v>5983.29</v>
      </c>
      <c r="J184">
        <v>170912.36</v>
      </c>
      <c r="K184">
        <v>38437.93</v>
      </c>
      <c r="L184">
        <v>206244.43</v>
      </c>
      <c r="M184">
        <v>698</v>
      </c>
      <c r="N184">
        <v>-6.9800000000000001E-2</v>
      </c>
      <c r="O184">
        <v>8.7599999999999997E-2</v>
      </c>
      <c r="P184">
        <v>0.18640000000000001</v>
      </c>
      <c r="Q184" t="s">
        <v>111</v>
      </c>
      <c r="R184">
        <v>2024</v>
      </c>
      <c r="S184" t="s">
        <v>25</v>
      </c>
    </row>
    <row r="185" spans="1:19" x14ac:dyDescent="0.3">
      <c r="A185" t="s">
        <v>257</v>
      </c>
      <c r="B185" s="1">
        <v>44945</v>
      </c>
      <c r="C185" t="s">
        <v>30</v>
      </c>
      <c r="D185" t="s">
        <v>31</v>
      </c>
      <c r="E185" t="s">
        <v>51</v>
      </c>
      <c r="F185" t="s">
        <v>23</v>
      </c>
      <c r="G185">
        <v>42829.11</v>
      </c>
      <c r="H185">
        <v>34391.300000000003</v>
      </c>
      <c r="I185">
        <v>8437.81</v>
      </c>
      <c r="J185">
        <v>29292.14</v>
      </c>
      <c r="K185">
        <v>36299.129999999997</v>
      </c>
      <c r="L185">
        <v>90765.6</v>
      </c>
      <c r="M185">
        <v>719</v>
      </c>
      <c r="N185">
        <v>-9.4700000000000006E-2</v>
      </c>
      <c r="O185">
        <v>0.19700000000000001</v>
      </c>
      <c r="P185">
        <v>0.39989999999999998</v>
      </c>
      <c r="Q185" t="s">
        <v>118</v>
      </c>
      <c r="R185">
        <v>2023</v>
      </c>
      <c r="S185" t="s">
        <v>40</v>
      </c>
    </row>
    <row r="186" spans="1:19" x14ac:dyDescent="0.3">
      <c r="A186" t="s">
        <v>258</v>
      </c>
      <c r="B186" s="1">
        <v>44738</v>
      </c>
      <c r="C186" t="s">
        <v>54</v>
      </c>
      <c r="D186" t="s">
        <v>55</v>
      </c>
      <c r="E186" t="s">
        <v>38</v>
      </c>
      <c r="F186" t="s">
        <v>23</v>
      </c>
      <c r="G186">
        <v>42704.79</v>
      </c>
      <c r="H186">
        <v>30729.14</v>
      </c>
      <c r="I186">
        <v>11975.65</v>
      </c>
      <c r="J186">
        <v>34902.050000000003</v>
      </c>
      <c r="K186">
        <v>9768.59</v>
      </c>
      <c r="L186">
        <v>92228.19</v>
      </c>
      <c r="M186">
        <v>733</v>
      </c>
      <c r="N186">
        <v>0.1608</v>
      </c>
      <c r="O186">
        <v>0.28039999999999998</v>
      </c>
      <c r="P186">
        <v>0.10589999999999999</v>
      </c>
      <c r="Q186" t="s">
        <v>58</v>
      </c>
      <c r="R186">
        <v>2022</v>
      </c>
      <c r="S186" t="s">
        <v>25</v>
      </c>
    </row>
    <row r="187" spans="1:19" x14ac:dyDescent="0.3">
      <c r="A187" t="s">
        <v>259</v>
      </c>
      <c r="B187" s="1">
        <v>45671</v>
      </c>
      <c r="C187" t="s">
        <v>30</v>
      </c>
      <c r="D187" t="s">
        <v>31</v>
      </c>
      <c r="E187" t="s">
        <v>22</v>
      </c>
      <c r="F187" t="s">
        <v>23</v>
      </c>
      <c r="G187">
        <v>135120.07999999999</v>
      </c>
      <c r="H187">
        <v>79912.22</v>
      </c>
      <c r="I187">
        <v>55207.86</v>
      </c>
      <c r="J187">
        <v>20283.03</v>
      </c>
      <c r="K187">
        <v>28506.92</v>
      </c>
      <c r="L187">
        <v>79185.95</v>
      </c>
      <c r="M187">
        <v>892</v>
      </c>
      <c r="N187">
        <v>0.1193</v>
      </c>
      <c r="O187">
        <v>0.40860000000000002</v>
      </c>
      <c r="P187">
        <v>0.36</v>
      </c>
      <c r="Q187" t="s">
        <v>106</v>
      </c>
      <c r="R187">
        <v>2025</v>
      </c>
      <c r="S187" t="s">
        <v>40</v>
      </c>
    </row>
    <row r="188" spans="1:19" x14ac:dyDescent="0.3">
      <c r="A188" t="s">
        <v>260</v>
      </c>
      <c r="B188" s="1">
        <v>45739</v>
      </c>
      <c r="C188" t="s">
        <v>20</v>
      </c>
      <c r="D188" t="s">
        <v>21</v>
      </c>
      <c r="E188" t="s">
        <v>22</v>
      </c>
      <c r="F188" t="s">
        <v>23</v>
      </c>
      <c r="G188">
        <v>155633.16</v>
      </c>
      <c r="H188">
        <v>115506.69</v>
      </c>
      <c r="I188">
        <v>40126.47</v>
      </c>
      <c r="J188">
        <v>19190</v>
      </c>
      <c r="K188">
        <v>34837.980000000003</v>
      </c>
      <c r="L188">
        <v>68739.87</v>
      </c>
      <c r="M188">
        <v>787</v>
      </c>
      <c r="N188">
        <v>-0.1072</v>
      </c>
      <c r="O188">
        <v>0.25779999999999997</v>
      </c>
      <c r="P188">
        <v>0.50680000000000003</v>
      </c>
      <c r="Q188" t="s">
        <v>106</v>
      </c>
      <c r="R188">
        <v>2025</v>
      </c>
      <c r="S188" t="s">
        <v>40</v>
      </c>
    </row>
    <row r="189" spans="1:19" x14ac:dyDescent="0.3">
      <c r="A189" t="s">
        <v>261</v>
      </c>
      <c r="B189" s="1">
        <v>45442</v>
      </c>
      <c r="C189" t="s">
        <v>61</v>
      </c>
      <c r="D189" t="s">
        <v>74</v>
      </c>
      <c r="E189" t="s">
        <v>22</v>
      </c>
      <c r="F189" t="s">
        <v>23</v>
      </c>
      <c r="G189">
        <v>129835.22</v>
      </c>
      <c r="H189">
        <v>97288.08</v>
      </c>
      <c r="I189">
        <v>32547.14</v>
      </c>
      <c r="J189">
        <v>31117.14</v>
      </c>
      <c r="K189">
        <v>12347.92</v>
      </c>
      <c r="L189">
        <v>90749.4</v>
      </c>
      <c r="M189">
        <v>1432</v>
      </c>
      <c r="N189">
        <v>4.7899999999999998E-2</v>
      </c>
      <c r="O189">
        <v>0.25069999999999998</v>
      </c>
      <c r="P189">
        <v>0.1361</v>
      </c>
      <c r="Q189" t="s">
        <v>111</v>
      </c>
      <c r="R189">
        <v>2024</v>
      </c>
      <c r="S189" t="s">
        <v>25</v>
      </c>
    </row>
    <row r="190" spans="1:19" x14ac:dyDescent="0.3">
      <c r="A190" t="s">
        <v>262</v>
      </c>
      <c r="B190" s="1">
        <v>45270</v>
      </c>
      <c r="C190" t="s">
        <v>68</v>
      </c>
      <c r="D190" t="s">
        <v>69</v>
      </c>
      <c r="E190" t="s">
        <v>38</v>
      </c>
      <c r="F190" t="s">
        <v>23</v>
      </c>
      <c r="G190">
        <v>22247.85</v>
      </c>
      <c r="H190">
        <v>18762.86</v>
      </c>
      <c r="I190">
        <v>3484.99</v>
      </c>
      <c r="J190">
        <v>37814.82</v>
      </c>
      <c r="K190">
        <v>120407.63</v>
      </c>
      <c r="L190">
        <v>172411.23</v>
      </c>
      <c r="M190">
        <v>734</v>
      </c>
      <c r="N190">
        <v>0.1061</v>
      </c>
      <c r="O190">
        <v>0.15659999999999999</v>
      </c>
      <c r="P190">
        <v>0.69840000000000002</v>
      </c>
      <c r="Q190" t="s">
        <v>44</v>
      </c>
      <c r="R190">
        <v>2023</v>
      </c>
      <c r="S190" t="s">
        <v>82</v>
      </c>
    </row>
    <row r="191" spans="1:19" x14ac:dyDescent="0.3">
      <c r="A191" t="s">
        <v>263</v>
      </c>
      <c r="B191" s="1">
        <v>45389</v>
      </c>
      <c r="C191" t="s">
        <v>102</v>
      </c>
      <c r="D191" t="s">
        <v>103</v>
      </c>
      <c r="E191" t="s">
        <v>32</v>
      </c>
      <c r="F191" t="s">
        <v>33</v>
      </c>
      <c r="G191">
        <v>138506.53</v>
      </c>
      <c r="H191">
        <v>92411.81</v>
      </c>
      <c r="I191">
        <v>46094.720000000001</v>
      </c>
      <c r="J191">
        <v>52023.59</v>
      </c>
      <c r="K191">
        <v>20582.16</v>
      </c>
      <c r="L191">
        <v>96258.240000000005</v>
      </c>
      <c r="M191">
        <v>584</v>
      </c>
      <c r="N191">
        <v>4.1799999999999997E-2</v>
      </c>
      <c r="O191">
        <v>0.33279999999999998</v>
      </c>
      <c r="P191">
        <v>0.21379999999999999</v>
      </c>
      <c r="Q191" t="s">
        <v>111</v>
      </c>
      <c r="R191">
        <v>2024</v>
      </c>
      <c r="S191" t="s">
        <v>25</v>
      </c>
    </row>
    <row r="192" spans="1:19" x14ac:dyDescent="0.3">
      <c r="A192" t="s">
        <v>264</v>
      </c>
      <c r="B192" s="1">
        <v>44927</v>
      </c>
      <c r="C192" t="s">
        <v>42</v>
      </c>
      <c r="D192" t="s">
        <v>43</v>
      </c>
      <c r="E192" t="s">
        <v>22</v>
      </c>
      <c r="F192" t="s">
        <v>23</v>
      </c>
      <c r="G192">
        <v>891489.84</v>
      </c>
      <c r="H192">
        <v>67443.94</v>
      </c>
      <c r="I192">
        <v>824045.9</v>
      </c>
      <c r="J192">
        <v>88305.21</v>
      </c>
      <c r="K192">
        <v>266062.48</v>
      </c>
      <c r="L192">
        <v>146191.15</v>
      </c>
      <c r="M192">
        <v>1505</v>
      </c>
      <c r="N192">
        <v>0.1174</v>
      </c>
      <c r="O192">
        <v>0.92430000000000001</v>
      </c>
      <c r="P192">
        <v>1.82</v>
      </c>
      <c r="Q192" t="s">
        <v>118</v>
      </c>
      <c r="R192">
        <v>2023</v>
      </c>
      <c r="S192" t="s">
        <v>82</v>
      </c>
    </row>
    <row r="193" spans="1:19" x14ac:dyDescent="0.3">
      <c r="A193" t="s">
        <v>265</v>
      </c>
      <c r="B193" s="1">
        <v>44808</v>
      </c>
      <c r="C193" t="s">
        <v>42</v>
      </c>
      <c r="D193" t="s">
        <v>43</v>
      </c>
      <c r="E193" t="s">
        <v>51</v>
      </c>
      <c r="F193" t="s">
        <v>23</v>
      </c>
      <c r="G193">
        <v>94223.64</v>
      </c>
      <c r="H193">
        <v>55066.3</v>
      </c>
      <c r="I193">
        <v>39157.339999999997</v>
      </c>
      <c r="J193">
        <v>19136.28</v>
      </c>
      <c r="K193">
        <v>17690.849999999999</v>
      </c>
      <c r="L193">
        <v>42456.86</v>
      </c>
      <c r="M193">
        <v>1116</v>
      </c>
      <c r="N193">
        <v>-7.7000000000000002E-3</v>
      </c>
      <c r="O193">
        <v>0.41560000000000002</v>
      </c>
      <c r="P193">
        <v>0.41670000000000001</v>
      </c>
      <c r="Q193" t="s">
        <v>76</v>
      </c>
      <c r="R193">
        <v>2022</v>
      </c>
      <c r="S193" t="s">
        <v>40</v>
      </c>
    </row>
    <row r="194" spans="1:19" x14ac:dyDescent="0.3">
      <c r="A194" t="s">
        <v>266</v>
      </c>
      <c r="B194" s="1">
        <v>45962</v>
      </c>
      <c r="C194" t="s">
        <v>85</v>
      </c>
      <c r="D194" t="s">
        <v>86</v>
      </c>
      <c r="E194" t="s">
        <v>22</v>
      </c>
      <c r="F194" t="s">
        <v>23</v>
      </c>
      <c r="G194">
        <v>172150.57</v>
      </c>
      <c r="H194">
        <v>123936.04</v>
      </c>
      <c r="I194">
        <v>48214.53</v>
      </c>
      <c r="J194">
        <v>30253.040000000001</v>
      </c>
      <c r="K194">
        <v>25010.84</v>
      </c>
      <c r="L194">
        <v>41411.61</v>
      </c>
      <c r="M194">
        <v>717</v>
      </c>
      <c r="N194">
        <v>8.4500000000000006E-2</v>
      </c>
      <c r="O194">
        <v>0.28010000000000002</v>
      </c>
      <c r="P194">
        <v>0.60399999999999998</v>
      </c>
      <c r="Q194" t="s">
        <v>66</v>
      </c>
      <c r="R194">
        <v>2025</v>
      </c>
      <c r="S194" t="s">
        <v>82</v>
      </c>
    </row>
    <row r="195" spans="1:19" x14ac:dyDescent="0.3">
      <c r="A195" t="s">
        <v>267</v>
      </c>
      <c r="B195" s="1">
        <v>44717</v>
      </c>
      <c r="C195" t="s">
        <v>61</v>
      </c>
      <c r="D195" t="s">
        <v>74</v>
      </c>
      <c r="E195" t="s">
        <v>38</v>
      </c>
      <c r="F195" t="s">
        <v>23</v>
      </c>
      <c r="G195">
        <v>50643.44</v>
      </c>
      <c r="H195">
        <v>34373.64</v>
      </c>
      <c r="I195">
        <v>16269.8</v>
      </c>
      <c r="J195">
        <v>24649.3</v>
      </c>
      <c r="K195">
        <v>97958.63</v>
      </c>
      <c r="L195">
        <v>71666.070000000007</v>
      </c>
      <c r="M195">
        <v>1552</v>
      </c>
      <c r="N195">
        <v>0.1241</v>
      </c>
      <c r="O195">
        <v>0.32129999999999997</v>
      </c>
      <c r="P195">
        <v>1.3669</v>
      </c>
      <c r="Q195" t="s">
        <v>58</v>
      </c>
      <c r="R195">
        <v>2022</v>
      </c>
      <c r="S195" t="s">
        <v>82</v>
      </c>
    </row>
    <row r="196" spans="1:19" x14ac:dyDescent="0.3">
      <c r="A196" t="s">
        <v>268</v>
      </c>
      <c r="B196" s="1">
        <v>45181</v>
      </c>
      <c r="C196" t="s">
        <v>85</v>
      </c>
      <c r="D196" t="s">
        <v>86</v>
      </c>
      <c r="E196" t="s">
        <v>22</v>
      </c>
      <c r="F196" t="s">
        <v>23</v>
      </c>
      <c r="G196">
        <v>95075.31</v>
      </c>
      <c r="H196">
        <v>74599.179999999993</v>
      </c>
      <c r="I196">
        <v>20476.13</v>
      </c>
      <c r="J196">
        <v>32307.77</v>
      </c>
      <c r="K196">
        <v>36241.050000000003</v>
      </c>
      <c r="L196">
        <v>65413.120000000003</v>
      </c>
      <c r="M196">
        <v>1537</v>
      </c>
      <c r="N196">
        <v>-7.4099999999999999E-2</v>
      </c>
      <c r="O196">
        <v>0.21540000000000001</v>
      </c>
      <c r="P196">
        <v>0.55400000000000005</v>
      </c>
      <c r="Q196" t="s">
        <v>56</v>
      </c>
      <c r="R196">
        <v>2023</v>
      </c>
      <c r="S196" t="s">
        <v>40</v>
      </c>
    </row>
    <row r="197" spans="1:19" x14ac:dyDescent="0.3">
      <c r="A197" t="s">
        <v>269</v>
      </c>
      <c r="B197" s="1">
        <v>45015</v>
      </c>
      <c r="C197" t="s">
        <v>36</v>
      </c>
      <c r="D197" t="s">
        <v>37</v>
      </c>
      <c r="E197" t="s">
        <v>22</v>
      </c>
      <c r="F197" t="s">
        <v>23</v>
      </c>
      <c r="G197">
        <v>56311.64</v>
      </c>
      <c r="H197">
        <v>48411.41</v>
      </c>
      <c r="I197">
        <v>7900.23</v>
      </c>
      <c r="J197">
        <v>47428.82</v>
      </c>
      <c r="K197">
        <v>54016.12</v>
      </c>
      <c r="L197">
        <v>69247.350000000006</v>
      </c>
      <c r="M197">
        <v>950</v>
      </c>
      <c r="N197">
        <v>0.15540000000000001</v>
      </c>
      <c r="O197">
        <v>0.14030000000000001</v>
      </c>
      <c r="P197">
        <v>0.78</v>
      </c>
      <c r="Q197" t="s">
        <v>118</v>
      </c>
      <c r="R197">
        <v>2023</v>
      </c>
      <c r="S197" t="s">
        <v>82</v>
      </c>
    </row>
    <row r="198" spans="1:19" x14ac:dyDescent="0.3">
      <c r="A198" t="s">
        <v>270</v>
      </c>
      <c r="B198" s="1">
        <v>45094</v>
      </c>
      <c r="C198" t="s">
        <v>85</v>
      </c>
      <c r="D198" t="s">
        <v>86</v>
      </c>
      <c r="E198" t="s">
        <v>32</v>
      </c>
      <c r="F198" t="s">
        <v>33</v>
      </c>
      <c r="G198">
        <v>102133.91</v>
      </c>
      <c r="H198">
        <v>89096.08</v>
      </c>
      <c r="I198">
        <v>13037.83</v>
      </c>
      <c r="J198">
        <v>37261.18</v>
      </c>
      <c r="K198">
        <v>47996.74</v>
      </c>
      <c r="L198">
        <v>136035.76</v>
      </c>
      <c r="M198">
        <v>520</v>
      </c>
      <c r="N198">
        <v>7.2599999999999998E-2</v>
      </c>
      <c r="O198">
        <v>0.12770000000000001</v>
      </c>
      <c r="P198">
        <v>0.3528</v>
      </c>
      <c r="Q198" t="s">
        <v>39</v>
      </c>
      <c r="R198">
        <v>2023</v>
      </c>
      <c r="S198" t="s">
        <v>40</v>
      </c>
    </row>
    <row r="199" spans="1:19" x14ac:dyDescent="0.3">
      <c r="A199" t="s">
        <v>271</v>
      </c>
      <c r="B199" s="1">
        <v>44780</v>
      </c>
      <c r="C199" t="s">
        <v>48</v>
      </c>
      <c r="D199" t="s">
        <v>49</v>
      </c>
      <c r="E199" t="s">
        <v>22</v>
      </c>
      <c r="F199" t="s">
        <v>23</v>
      </c>
      <c r="G199">
        <v>39022.629999999997</v>
      </c>
      <c r="H199">
        <v>27917.200000000001</v>
      </c>
      <c r="I199">
        <v>11105.43</v>
      </c>
      <c r="J199">
        <v>36501.01</v>
      </c>
      <c r="K199">
        <v>65229.33</v>
      </c>
      <c r="L199">
        <v>91206.22</v>
      </c>
      <c r="M199">
        <v>337</v>
      </c>
      <c r="N199">
        <v>7.3599999999999999E-2</v>
      </c>
      <c r="O199">
        <v>0.28460000000000002</v>
      </c>
      <c r="P199">
        <v>0.71519999999999995</v>
      </c>
      <c r="Q199" t="s">
        <v>76</v>
      </c>
      <c r="R199">
        <v>2022</v>
      </c>
      <c r="S199" t="s">
        <v>82</v>
      </c>
    </row>
    <row r="200" spans="1:19" x14ac:dyDescent="0.3">
      <c r="A200" t="s">
        <v>272</v>
      </c>
      <c r="B200" s="1">
        <v>44842</v>
      </c>
      <c r="C200" t="s">
        <v>54</v>
      </c>
      <c r="D200" t="s">
        <v>55</v>
      </c>
      <c r="E200" t="s">
        <v>32</v>
      </c>
      <c r="F200" t="s">
        <v>33</v>
      </c>
      <c r="G200">
        <v>56181.55</v>
      </c>
      <c r="H200">
        <v>50985.33</v>
      </c>
      <c r="I200">
        <v>5196.22</v>
      </c>
      <c r="J200">
        <v>31345.5</v>
      </c>
      <c r="K200">
        <v>36702.28</v>
      </c>
      <c r="L200">
        <v>66859.61</v>
      </c>
      <c r="M200">
        <v>1312</v>
      </c>
      <c r="N200">
        <v>4.7100000000000003E-2</v>
      </c>
      <c r="O200">
        <v>9.2499999999999999E-2</v>
      </c>
      <c r="P200">
        <v>0.54890000000000005</v>
      </c>
      <c r="Q200" t="s">
        <v>46</v>
      </c>
      <c r="R200">
        <v>2022</v>
      </c>
      <c r="S200" t="s">
        <v>40</v>
      </c>
    </row>
    <row r="201" spans="1:19" x14ac:dyDescent="0.3">
      <c r="A201" t="s">
        <v>273</v>
      </c>
      <c r="B201" s="1">
        <v>45658</v>
      </c>
      <c r="C201" t="s">
        <v>20</v>
      </c>
      <c r="E201" t="s">
        <v>22</v>
      </c>
      <c r="F201" t="s">
        <v>23</v>
      </c>
      <c r="G201">
        <v>130304.69</v>
      </c>
      <c r="H201">
        <v>85240.49</v>
      </c>
      <c r="I201">
        <v>45064.2</v>
      </c>
      <c r="J201">
        <v>22726.14</v>
      </c>
      <c r="K201">
        <v>36092.120000000003</v>
      </c>
      <c r="L201">
        <v>260395.98</v>
      </c>
      <c r="M201">
        <v>811</v>
      </c>
      <c r="N201">
        <v>-1.6199999999999999E-2</v>
      </c>
      <c r="O201">
        <v>0.3458</v>
      </c>
      <c r="P201">
        <v>0.1386</v>
      </c>
      <c r="Q201" t="s">
        <v>106</v>
      </c>
      <c r="R201">
        <v>2025</v>
      </c>
      <c r="S201" t="s">
        <v>25</v>
      </c>
    </row>
    <row r="202" spans="1:19" x14ac:dyDescent="0.3">
      <c r="A202" t="s">
        <v>274</v>
      </c>
      <c r="B202" s="1">
        <v>44650</v>
      </c>
      <c r="C202" t="s">
        <v>48</v>
      </c>
      <c r="D202" t="s">
        <v>275</v>
      </c>
      <c r="E202" t="s">
        <v>32</v>
      </c>
      <c r="F202" t="s">
        <v>33</v>
      </c>
      <c r="H202">
        <v>91598.55</v>
      </c>
      <c r="J202">
        <v>17674.16</v>
      </c>
      <c r="K202">
        <v>20217.79</v>
      </c>
      <c r="L202">
        <v>126313.36</v>
      </c>
      <c r="M202">
        <v>1154</v>
      </c>
      <c r="N202">
        <v>0.17899999999999999</v>
      </c>
      <c r="P202">
        <v>0.16009999999999999</v>
      </c>
      <c r="Q202" t="s">
        <v>90</v>
      </c>
      <c r="R202">
        <v>2022</v>
      </c>
      <c r="S202" t="s">
        <v>25</v>
      </c>
    </row>
    <row r="203" spans="1:19" x14ac:dyDescent="0.3">
      <c r="A203" t="s">
        <v>276</v>
      </c>
      <c r="B203" s="1">
        <v>44829</v>
      </c>
      <c r="C203" t="s">
        <v>48</v>
      </c>
      <c r="D203" t="s">
        <v>49</v>
      </c>
      <c r="E203" t="s">
        <v>38</v>
      </c>
      <c r="F203" t="s">
        <v>23</v>
      </c>
      <c r="G203">
        <v>76537.33</v>
      </c>
      <c r="H203">
        <v>43897.77</v>
      </c>
      <c r="I203">
        <v>32639.56</v>
      </c>
      <c r="J203">
        <v>74110.67</v>
      </c>
      <c r="K203">
        <v>35526.15</v>
      </c>
      <c r="L203">
        <v>217401.49</v>
      </c>
      <c r="M203">
        <v>1011</v>
      </c>
      <c r="N203">
        <v>5.8099999999999999E-2</v>
      </c>
      <c r="O203">
        <v>0.42649999999999999</v>
      </c>
      <c r="P203">
        <v>0.16339999999999999</v>
      </c>
      <c r="Q203" t="s">
        <v>76</v>
      </c>
      <c r="R203">
        <v>2022</v>
      </c>
      <c r="S203" t="s">
        <v>25</v>
      </c>
    </row>
    <row r="204" spans="1:19" x14ac:dyDescent="0.3">
      <c r="A204" t="s">
        <v>277</v>
      </c>
      <c r="B204" s="1">
        <v>45041</v>
      </c>
      <c r="C204" t="s">
        <v>48</v>
      </c>
      <c r="D204" t="s">
        <v>49</v>
      </c>
      <c r="E204" t="s">
        <v>38</v>
      </c>
      <c r="F204" t="s">
        <v>23</v>
      </c>
      <c r="G204">
        <v>111818.7</v>
      </c>
      <c r="H204">
        <v>79308.320000000007</v>
      </c>
      <c r="I204">
        <v>32510.38</v>
      </c>
      <c r="J204">
        <v>215620.25</v>
      </c>
      <c r="K204">
        <v>15942.43</v>
      </c>
      <c r="L204">
        <v>230789.5</v>
      </c>
      <c r="M204">
        <v>1130</v>
      </c>
      <c r="N204">
        <v>0.113</v>
      </c>
      <c r="O204">
        <v>0.29070000000000001</v>
      </c>
      <c r="P204">
        <v>6.9099999999999995E-2</v>
      </c>
      <c r="Q204" t="s">
        <v>39</v>
      </c>
      <c r="R204">
        <v>2023</v>
      </c>
      <c r="S204" t="s">
        <v>25</v>
      </c>
    </row>
    <row r="205" spans="1:19" x14ac:dyDescent="0.3">
      <c r="A205" t="s">
        <v>278</v>
      </c>
      <c r="B205" s="1">
        <v>44967</v>
      </c>
      <c r="C205" t="s">
        <v>61</v>
      </c>
      <c r="D205" t="s">
        <v>74</v>
      </c>
      <c r="E205" t="s">
        <v>38</v>
      </c>
      <c r="F205" t="s">
        <v>23</v>
      </c>
      <c r="G205">
        <v>208559.75</v>
      </c>
      <c r="H205">
        <v>160367.42000000001</v>
      </c>
      <c r="I205">
        <v>48192.33</v>
      </c>
      <c r="J205">
        <v>82490.64</v>
      </c>
      <c r="K205">
        <v>11949.74</v>
      </c>
      <c r="L205">
        <v>190195.79</v>
      </c>
      <c r="M205">
        <v>581</v>
      </c>
      <c r="N205">
        <v>1.23E-2</v>
      </c>
      <c r="O205">
        <v>0.2311</v>
      </c>
      <c r="P205">
        <v>6.2799999999999995E-2</v>
      </c>
      <c r="Q205" t="s">
        <v>118</v>
      </c>
      <c r="R205">
        <v>2023</v>
      </c>
      <c r="S205" t="s">
        <v>25</v>
      </c>
    </row>
    <row r="206" spans="1:19" x14ac:dyDescent="0.3">
      <c r="A206" t="s">
        <v>279</v>
      </c>
      <c r="B206" s="1">
        <v>45140</v>
      </c>
      <c r="C206" t="s">
        <v>85</v>
      </c>
      <c r="D206" t="s">
        <v>86</v>
      </c>
      <c r="E206" t="s">
        <v>22</v>
      </c>
      <c r="F206" t="s">
        <v>23</v>
      </c>
      <c r="G206">
        <v>96350.92</v>
      </c>
      <c r="H206">
        <v>74406.12</v>
      </c>
      <c r="I206">
        <v>21944.799999999999</v>
      </c>
      <c r="J206">
        <v>36327.760000000002</v>
      </c>
      <c r="K206">
        <v>27858.18</v>
      </c>
      <c r="L206">
        <v>249805.59</v>
      </c>
      <c r="M206">
        <v>678</v>
      </c>
      <c r="N206">
        <v>2.46E-2</v>
      </c>
      <c r="O206">
        <v>0.2278</v>
      </c>
      <c r="P206">
        <v>0.1115</v>
      </c>
      <c r="Q206" t="s">
        <v>56</v>
      </c>
      <c r="R206">
        <v>2023</v>
      </c>
      <c r="S206" t="s">
        <v>25</v>
      </c>
    </row>
    <row r="207" spans="1:19" x14ac:dyDescent="0.3">
      <c r="A207" t="s">
        <v>280</v>
      </c>
      <c r="B207" s="1">
        <v>45134</v>
      </c>
      <c r="C207" t="s">
        <v>78</v>
      </c>
      <c r="D207" t="s">
        <v>79</v>
      </c>
      <c r="E207" t="s">
        <v>38</v>
      </c>
      <c r="F207" t="s">
        <v>23</v>
      </c>
      <c r="G207">
        <v>49136.14</v>
      </c>
      <c r="H207">
        <v>29570.57</v>
      </c>
      <c r="I207">
        <v>19565.57</v>
      </c>
      <c r="K207">
        <v>22557.98</v>
      </c>
      <c r="L207">
        <v>44715.51</v>
      </c>
      <c r="M207">
        <v>1100</v>
      </c>
      <c r="N207">
        <v>-8.3000000000000004E-2</v>
      </c>
      <c r="O207">
        <v>0.3982</v>
      </c>
      <c r="P207">
        <v>0.50449999999999995</v>
      </c>
      <c r="Q207" t="s">
        <v>56</v>
      </c>
      <c r="R207">
        <v>2023</v>
      </c>
      <c r="S207" t="s">
        <v>40</v>
      </c>
    </row>
    <row r="208" spans="1:19" x14ac:dyDescent="0.3">
      <c r="A208" t="s">
        <v>281</v>
      </c>
      <c r="B208" s="1">
        <v>45214</v>
      </c>
      <c r="C208" t="s">
        <v>42</v>
      </c>
      <c r="D208" t="s">
        <v>43</v>
      </c>
      <c r="E208" t="s">
        <v>38</v>
      </c>
      <c r="F208" t="s">
        <v>23</v>
      </c>
      <c r="G208">
        <v>155338.19</v>
      </c>
      <c r="H208">
        <v>88280.84</v>
      </c>
      <c r="I208">
        <v>67057.350000000006</v>
      </c>
      <c r="J208">
        <v>35767.06</v>
      </c>
      <c r="K208">
        <v>34143.82</v>
      </c>
      <c r="L208">
        <v>110117.83</v>
      </c>
      <c r="M208">
        <v>780</v>
      </c>
      <c r="N208">
        <v>-0.1246</v>
      </c>
      <c r="O208">
        <v>0.43169999999999997</v>
      </c>
      <c r="P208">
        <v>0.31009999999999999</v>
      </c>
      <c r="Q208" t="s">
        <v>44</v>
      </c>
      <c r="R208">
        <v>2023</v>
      </c>
      <c r="S208" t="s">
        <v>40</v>
      </c>
    </row>
    <row r="209" spans="1:19" x14ac:dyDescent="0.3">
      <c r="A209" t="s">
        <v>282</v>
      </c>
      <c r="B209" s="1">
        <v>44879</v>
      </c>
      <c r="C209" t="s">
        <v>27</v>
      </c>
      <c r="D209" t="s">
        <v>28</v>
      </c>
      <c r="E209" t="s">
        <v>116</v>
      </c>
      <c r="F209" t="s">
        <v>33</v>
      </c>
      <c r="G209">
        <v>52549.14</v>
      </c>
      <c r="H209">
        <v>34303.769999999997</v>
      </c>
      <c r="I209">
        <v>18245.37</v>
      </c>
      <c r="J209">
        <v>30314.42</v>
      </c>
      <c r="K209">
        <v>16905.22</v>
      </c>
      <c r="L209">
        <v>143896.93</v>
      </c>
      <c r="M209">
        <v>952</v>
      </c>
      <c r="N209">
        <v>0.10979999999999999</v>
      </c>
      <c r="O209">
        <v>0.34720000000000001</v>
      </c>
      <c r="P209">
        <v>0.11749999999999999</v>
      </c>
      <c r="Q209" t="s">
        <v>46</v>
      </c>
      <c r="R209">
        <v>2022</v>
      </c>
      <c r="S209" t="s">
        <v>25</v>
      </c>
    </row>
    <row r="210" spans="1:19" x14ac:dyDescent="0.3">
      <c r="A210" t="s">
        <v>283</v>
      </c>
      <c r="B210" s="1">
        <v>45626</v>
      </c>
      <c r="C210" t="s">
        <v>54</v>
      </c>
      <c r="D210" t="s">
        <v>55</v>
      </c>
      <c r="E210" t="s">
        <v>116</v>
      </c>
      <c r="F210" t="s">
        <v>33</v>
      </c>
      <c r="G210">
        <v>70147.42</v>
      </c>
      <c r="H210">
        <v>62703.93</v>
      </c>
      <c r="I210">
        <v>7443.49</v>
      </c>
      <c r="J210">
        <v>21737.78</v>
      </c>
      <c r="K210">
        <v>20017.150000000001</v>
      </c>
      <c r="L210">
        <v>47518</v>
      </c>
      <c r="M210">
        <v>1165</v>
      </c>
      <c r="N210">
        <v>3.61E-2</v>
      </c>
      <c r="O210">
        <v>0.1061</v>
      </c>
      <c r="P210">
        <v>0.42130000000000001</v>
      </c>
      <c r="Q210" t="s">
        <v>52</v>
      </c>
      <c r="R210">
        <v>2024</v>
      </c>
      <c r="S210" t="s">
        <v>40</v>
      </c>
    </row>
    <row r="211" spans="1:19" x14ac:dyDescent="0.3">
      <c r="A211" t="s">
        <v>284</v>
      </c>
      <c r="B211" s="1">
        <v>45006</v>
      </c>
      <c r="C211" t="s">
        <v>27</v>
      </c>
      <c r="D211" t="s">
        <v>28</v>
      </c>
      <c r="E211" t="s">
        <v>38</v>
      </c>
      <c r="F211" t="s">
        <v>23</v>
      </c>
      <c r="G211">
        <v>133094.01</v>
      </c>
      <c r="H211">
        <v>120233.45</v>
      </c>
      <c r="I211">
        <v>12860.56</v>
      </c>
      <c r="J211">
        <v>22479.06</v>
      </c>
      <c r="K211">
        <v>18279.79</v>
      </c>
      <c r="L211">
        <v>89321.58</v>
      </c>
      <c r="M211">
        <v>1854</v>
      </c>
      <c r="N211">
        <v>7.7299999999999994E-2</v>
      </c>
      <c r="O211">
        <v>9.6600000000000005E-2</v>
      </c>
      <c r="P211">
        <v>0.20469999999999999</v>
      </c>
      <c r="Q211" t="s">
        <v>118</v>
      </c>
      <c r="R211">
        <v>2023</v>
      </c>
      <c r="S211" t="s">
        <v>25</v>
      </c>
    </row>
    <row r="212" spans="1:19" x14ac:dyDescent="0.3">
      <c r="A212" t="s">
        <v>285</v>
      </c>
      <c r="B212" s="1">
        <v>45200</v>
      </c>
      <c r="C212" t="s">
        <v>68</v>
      </c>
      <c r="D212" t="s">
        <v>69</v>
      </c>
      <c r="E212" t="s">
        <v>22</v>
      </c>
      <c r="F212" t="s">
        <v>23</v>
      </c>
      <c r="G212">
        <v>47303.4</v>
      </c>
      <c r="H212">
        <v>36453.839999999997</v>
      </c>
      <c r="I212">
        <v>10849.56</v>
      </c>
      <c r="J212">
        <v>39623.79</v>
      </c>
      <c r="K212">
        <v>56150.91</v>
      </c>
      <c r="L212">
        <v>104838.46</v>
      </c>
      <c r="M212">
        <v>422</v>
      </c>
      <c r="N212">
        <v>-5.7200000000000001E-2</v>
      </c>
      <c r="O212">
        <v>0.22939999999999999</v>
      </c>
      <c r="P212">
        <v>0.53559999999999997</v>
      </c>
      <c r="Q212" t="s">
        <v>44</v>
      </c>
      <c r="R212">
        <v>2023</v>
      </c>
      <c r="S212" t="s">
        <v>40</v>
      </c>
    </row>
    <row r="213" spans="1:19" x14ac:dyDescent="0.3">
      <c r="A213" t="s">
        <v>286</v>
      </c>
      <c r="B213" s="1">
        <v>45520</v>
      </c>
      <c r="C213" t="s">
        <v>78</v>
      </c>
      <c r="D213" t="s">
        <v>79</v>
      </c>
      <c r="E213" t="s">
        <v>51</v>
      </c>
      <c r="F213" t="s">
        <v>23</v>
      </c>
      <c r="G213">
        <v>173619.08</v>
      </c>
      <c r="H213">
        <v>152537.29</v>
      </c>
      <c r="I213">
        <v>21081.79</v>
      </c>
      <c r="J213">
        <v>83189.63</v>
      </c>
      <c r="K213">
        <v>28126.3</v>
      </c>
      <c r="L213">
        <v>487575.55</v>
      </c>
      <c r="M213">
        <v>784</v>
      </c>
      <c r="N213">
        <v>-1.38E-2</v>
      </c>
      <c r="O213">
        <v>0.12139999999999999</v>
      </c>
      <c r="P213">
        <v>5.7700000000000001E-2</v>
      </c>
      <c r="Q213" t="s">
        <v>72</v>
      </c>
      <c r="R213">
        <v>2024</v>
      </c>
      <c r="S213" t="s">
        <v>25</v>
      </c>
    </row>
    <row r="214" spans="1:19" x14ac:dyDescent="0.3">
      <c r="A214" t="s">
        <v>287</v>
      </c>
      <c r="B214" s="1">
        <v>44948</v>
      </c>
      <c r="C214" t="s">
        <v>85</v>
      </c>
      <c r="D214" t="s">
        <v>86</v>
      </c>
      <c r="E214" t="s">
        <v>38</v>
      </c>
      <c r="F214" t="s">
        <v>23</v>
      </c>
      <c r="G214">
        <v>34772.36</v>
      </c>
      <c r="H214">
        <v>19275.41</v>
      </c>
      <c r="I214">
        <v>15496.95</v>
      </c>
      <c r="J214">
        <v>35454.019999999997</v>
      </c>
      <c r="K214">
        <v>6921.05</v>
      </c>
      <c r="L214">
        <v>72348.710000000006</v>
      </c>
      <c r="M214">
        <v>2996</v>
      </c>
      <c r="N214">
        <v>-2.64E-2</v>
      </c>
      <c r="O214">
        <v>0.44569999999999999</v>
      </c>
      <c r="P214">
        <v>9.5699999999999993E-2</v>
      </c>
      <c r="Q214" t="s">
        <v>118</v>
      </c>
      <c r="R214">
        <v>2023</v>
      </c>
      <c r="S214" t="s">
        <v>25</v>
      </c>
    </row>
    <row r="215" spans="1:19" x14ac:dyDescent="0.3">
      <c r="A215" t="s">
        <v>288</v>
      </c>
      <c r="B215" s="1">
        <v>45135</v>
      </c>
      <c r="C215" t="s">
        <v>61</v>
      </c>
      <c r="D215" t="s">
        <v>74</v>
      </c>
      <c r="E215" t="s">
        <v>51</v>
      </c>
      <c r="F215" t="s">
        <v>23</v>
      </c>
      <c r="G215">
        <v>20463.46</v>
      </c>
      <c r="H215">
        <v>16775.830000000002</v>
      </c>
      <c r="I215">
        <v>3687.63</v>
      </c>
      <c r="J215">
        <v>54877.27</v>
      </c>
      <c r="K215">
        <v>58428.89</v>
      </c>
      <c r="L215">
        <v>137364.25</v>
      </c>
      <c r="M215">
        <v>671</v>
      </c>
      <c r="N215">
        <v>0.1431</v>
      </c>
      <c r="O215">
        <v>0.1802</v>
      </c>
      <c r="P215">
        <v>0.4254</v>
      </c>
      <c r="Q215" t="s">
        <v>56</v>
      </c>
      <c r="R215">
        <v>2023</v>
      </c>
      <c r="S215" t="s">
        <v>40</v>
      </c>
    </row>
    <row r="216" spans="1:19" x14ac:dyDescent="0.3">
      <c r="A216" t="s">
        <v>289</v>
      </c>
      <c r="B216" s="1">
        <v>44634</v>
      </c>
      <c r="C216" t="s">
        <v>30</v>
      </c>
      <c r="D216" t="s">
        <v>31</v>
      </c>
      <c r="E216" t="s">
        <v>38</v>
      </c>
      <c r="F216" t="s">
        <v>23</v>
      </c>
      <c r="G216">
        <v>140137.38</v>
      </c>
      <c r="H216">
        <v>100222.78</v>
      </c>
      <c r="I216">
        <v>39914.6</v>
      </c>
      <c r="J216">
        <v>20548.96</v>
      </c>
      <c r="K216">
        <v>41046.25</v>
      </c>
      <c r="L216">
        <v>106929.61</v>
      </c>
      <c r="M216">
        <v>395</v>
      </c>
      <c r="N216">
        <v>-4.2000000000000003E-2</v>
      </c>
      <c r="O216">
        <v>0.2848</v>
      </c>
      <c r="P216">
        <v>0.38390000000000002</v>
      </c>
      <c r="Q216" t="s">
        <v>90</v>
      </c>
      <c r="R216">
        <v>2022</v>
      </c>
      <c r="S216" t="s">
        <v>40</v>
      </c>
    </row>
    <row r="217" spans="1:19" x14ac:dyDescent="0.3">
      <c r="A217" t="s">
        <v>290</v>
      </c>
      <c r="B217" s="1">
        <v>45703</v>
      </c>
      <c r="C217" t="s">
        <v>61</v>
      </c>
      <c r="D217" t="s">
        <v>74</v>
      </c>
      <c r="E217" t="s">
        <v>32</v>
      </c>
      <c r="F217" t="s">
        <v>33</v>
      </c>
      <c r="G217">
        <v>143079.4</v>
      </c>
      <c r="H217">
        <v>98522.27</v>
      </c>
      <c r="I217">
        <v>44557.13</v>
      </c>
      <c r="J217">
        <v>72308.259999999995</v>
      </c>
      <c r="K217">
        <v>21969.19</v>
      </c>
      <c r="L217">
        <v>96388.71</v>
      </c>
      <c r="M217">
        <v>581</v>
      </c>
      <c r="N217">
        <v>-2.23E-2</v>
      </c>
      <c r="O217">
        <v>0.31140000000000001</v>
      </c>
      <c r="P217">
        <v>0.22789999999999999</v>
      </c>
      <c r="Q217" t="s">
        <v>106</v>
      </c>
      <c r="R217">
        <v>2025</v>
      </c>
      <c r="S217" t="s">
        <v>25</v>
      </c>
    </row>
    <row r="218" spans="1:19" x14ac:dyDescent="0.3">
      <c r="A218" t="s">
        <v>291</v>
      </c>
      <c r="B218" s="1">
        <v>46004</v>
      </c>
      <c r="C218" t="s">
        <v>61</v>
      </c>
      <c r="D218" t="s">
        <v>74</v>
      </c>
      <c r="E218" t="s">
        <v>22</v>
      </c>
      <c r="F218" t="s">
        <v>23</v>
      </c>
      <c r="G218">
        <v>50746.14</v>
      </c>
      <c r="H218">
        <v>35601.599999999999</v>
      </c>
      <c r="I218">
        <v>15144.54</v>
      </c>
      <c r="J218">
        <v>28382.97</v>
      </c>
      <c r="K218">
        <v>65397.67</v>
      </c>
      <c r="L218">
        <v>53030.83</v>
      </c>
      <c r="M218">
        <v>431</v>
      </c>
      <c r="N218">
        <v>0.10539999999999999</v>
      </c>
      <c r="O218">
        <v>0.2984</v>
      </c>
      <c r="P218">
        <v>1.2332000000000001</v>
      </c>
      <c r="Q218" t="s">
        <v>66</v>
      </c>
      <c r="R218">
        <v>2025</v>
      </c>
      <c r="S218" t="s">
        <v>82</v>
      </c>
    </row>
    <row r="219" spans="1:19" x14ac:dyDescent="0.3">
      <c r="A219" t="s">
        <v>292</v>
      </c>
      <c r="B219" s="1">
        <v>45394</v>
      </c>
      <c r="C219" t="s">
        <v>42</v>
      </c>
      <c r="D219" t="s">
        <v>43</v>
      </c>
      <c r="E219" t="s">
        <v>32</v>
      </c>
      <c r="F219" t="s">
        <v>33</v>
      </c>
      <c r="G219">
        <v>74471.25</v>
      </c>
      <c r="H219">
        <v>44700.77</v>
      </c>
      <c r="I219">
        <v>29770.48</v>
      </c>
      <c r="J219">
        <v>44034.6</v>
      </c>
      <c r="K219">
        <v>24552.52</v>
      </c>
      <c r="L219">
        <v>97245.95</v>
      </c>
      <c r="M219">
        <v>839</v>
      </c>
      <c r="N219">
        <v>6.5199999999999994E-2</v>
      </c>
      <c r="O219">
        <v>0.39979999999999999</v>
      </c>
      <c r="P219">
        <v>0.2525</v>
      </c>
      <c r="Q219" t="s">
        <v>111</v>
      </c>
      <c r="R219">
        <v>2024</v>
      </c>
      <c r="S219" t="s">
        <v>25</v>
      </c>
    </row>
    <row r="220" spans="1:19" x14ac:dyDescent="0.3">
      <c r="A220" t="s">
        <v>293</v>
      </c>
      <c r="B220" s="1">
        <v>44686</v>
      </c>
      <c r="C220" t="s">
        <v>30</v>
      </c>
      <c r="D220" t="s">
        <v>31</v>
      </c>
      <c r="E220" t="s">
        <v>38</v>
      </c>
      <c r="F220" t="s">
        <v>23</v>
      </c>
      <c r="H220">
        <v>19993.189999999999</v>
      </c>
      <c r="J220">
        <v>25629.75</v>
      </c>
      <c r="K220">
        <v>46984.05</v>
      </c>
      <c r="L220">
        <v>72242.78</v>
      </c>
      <c r="M220">
        <v>1522</v>
      </c>
      <c r="N220">
        <v>3.7699999999999997E-2</v>
      </c>
      <c r="P220">
        <v>0.65039999999999998</v>
      </c>
      <c r="Q220" t="s">
        <v>58</v>
      </c>
      <c r="R220">
        <v>2022</v>
      </c>
      <c r="S220" t="s">
        <v>82</v>
      </c>
    </row>
    <row r="221" spans="1:19" x14ac:dyDescent="0.3">
      <c r="A221" t="s">
        <v>294</v>
      </c>
      <c r="B221" s="1">
        <v>44620</v>
      </c>
      <c r="C221" t="s">
        <v>48</v>
      </c>
      <c r="D221" t="s">
        <v>49</v>
      </c>
      <c r="E221" t="s">
        <v>38</v>
      </c>
      <c r="F221" t="s">
        <v>23</v>
      </c>
      <c r="G221">
        <v>68203.67</v>
      </c>
      <c r="H221">
        <v>47240.55</v>
      </c>
      <c r="I221">
        <v>20963.12</v>
      </c>
      <c r="J221">
        <v>44954.31</v>
      </c>
      <c r="K221">
        <v>41075.47</v>
      </c>
      <c r="L221">
        <v>57929.3</v>
      </c>
      <c r="M221">
        <v>975</v>
      </c>
      <c r="N221">
        <v>-7.85E-2</v>
      </c>
      <c r="O221">
        <v>0.30740000000000001</v>
      </c>
      <c r="P221">
        <v>0.70909999999999995</v>
      </c>
      <c r="Q221" t="s">
        <v>90</v>
      </c>
      <c r="R221">
        <v>2022</v>
      </c>
      <c r="S221" t="s">
        <v>82</v>
      </c>
    </row>
    <row r="222" spans="1:19" x14ac:dyDescent="0.3">
      <c r="A222" t="s">
        <v>295</v>
      </c>
      <c r="B222" s="1">
        <v>45382</v>
      </c>
      <c r="C222" t="s">
        <v>68</v>
      </c>
      <c r="D222" t="s">
        <v>69</v>
      </c>
      <c r="E222" t="s">
        <v>38</v>
      </c>
      <c r="F222" t="s">
        <v>23</v>
      </c>
      <c r="G222">
        <v>63420.89</v>
      </c>
      <c r="H222">
        <v>41975.96</v>
      </c>
      <c r="I222">
        <v>21444.93</v>
      </c>
      <c r="J222">
        <v>77606.36</v>
      </c>
      <c r="K222">
        <v>14325.16</v>
      </c>
      <c r="L222">
        <v>115191.51</v>
      </c>
      <c r="M222">
        <v>832</v>
      </c>
      <c r="N222">
        <v>-2.5399999999999999E-2</v>
      </c>
      <c r="O222">
        <v>0.33810000000000001</v>
      </c>
      <c r="P222">
        <v>0.1244</v>
      </c>
      <c r="Q222" t="s">
        <v>80</v>
      </c>
      <c r="R222">
        <v>2024</v>
      </c>
      <c r="S222" t="s">
        <v>25</v>
      </c>
    </row>
    <row r="223" spans="1:19" x14ac:dyDescent="0.3">
      <c r="A223" t="s">
        <v>296</v>
      </c>
      <c r="B223" s="1">
        <v>44700</v>
      </c>
      <c r="C223" t="s">
        <v>36</v>
      </c>
      <c r="D223" t="s">
        <v>37</v>
      </c>
      <c r="E223" t="s">
        <v>38</v>
      </c>
      <c r="F223" t="s">
        <v>23</v>
      </c>
      <c r="H223">
        <v>15448.68</v>
      </c>
      <c r="J223">
        <v>55466.65</v>
      </c>
      <c r="K223">
        <v>23447.279999999999</v>
      </c>
      <c r="L223">
        <v>81545.41</v>
      </c>
      <c r="M223">
        <v>818</v>
      </c>
      <c r="N223">
        <v>0.18509999999999999</v>
      </c>
      <c r="P223">
        <v>0.28749999999999998</v>
      </c>
      <c r="Q223" t="s">
        <v>58</v>
      </c>
      <c r="R223">
        <v>2022</v>
      </c>
      <c r="S223" t="s">
        <v>25</v>
      </c>
    </row>
    <row r="224" spans="1:19" x14ac:dyDescent="0.3">
      <c r="A224" t="s">
        <v>297</v>
      </c>
      <c r="B224" s="1">
        <v>45684</v>
      </c>
      <c r="C224" t="s">
        <v>30</v>
      </c>
      <c r="D224" t="s">
        <v>31</v>
      </c>
      <c r="E224" t="s">
        <v>22</v>
      </c>
      <c r="F224" t="s">
        <v>23</v>
      </c>
      <c r="G224">
        <v>88407.33</v>
      </c>
      <c r="H224">
        <v>67248.77</v>
      </c>
      <c r="I224">
        <v>21158.560000000001</v>
      </c>
      <c r="J224">
        <v>61674.48</v>
      </c>
      <c r="K224">
        <v>10060.379999999999</v>
      </c>
      <c r="L224">
        <v>148575.44</v>
      </c>
      <c r="M224">
        <v>728</v>
      </c>
      <c r="N224">
        <v>2.0999999999999999E-3</v>
      </c>
      <c r="O224">
        <v>0.23930000000000001</v>
      </c>
      <c r="P224">
        <v>6.7699999999999996E-2</v>
      </c>
      <c r="Q224" t="s">
        <v>106</v>
      </c>
      <c r="R224">
        <v>2025</v>
      </c>
      <c r="S224" t="s">
        <v>25</v>
      </c>
    </row>
    <row r="225" spans="1:19" x14ac:dyDescent="0.3">
      <c r="A225" t="s">
        <v>298</v>
      </c>
      <c r="B225" s="1">
        <v>44625</v>
      </c>
      <c r="C225" t="s">
        <v>48</v>
      </c>
      <c r="D225" t="s">
        <v>49</v>
      </c>
      <c r="E225" t="s">
        <v>116</v>
      </c>
      <c r="F225" t="s">
        <v>23</v>
      </c>
      <c r="G225">
        <v>215752.28</v>
      </c>
      <c r="H225">
        <v>146879.94</v>
      </c>
      <c r="I225">
        <v>68872.34</v>
      </c>
      <c r="J225">
        <v>98059.97</v>
      </c>
      <c r="K225">
        <v>17389.87</v>
      </c>
      <c r="L225">
        <v>155772.23000000001</v>
      </c>
      <c r="M225">
        <v>1040</v>
      </c>
      <c r="N225">
        <v>0.13220000000000001</v>
      </c>
      <c r="O225">
        <v>0.31919999999999998</v>
      </c>
      <c r="P225">
        <v>0.1116</v>
      </c>
      <c r="Q225" t="s">
        <v>90</v>
      </c>
      <c r="R225">
        <v>2022</v>
      </c>
      <c r="S225" t="s">
        <v>25</v>
      </c>
    </row>
    <row r="226" spans="1:19" x14ac:dyDescent="0.3">
      <c r="A226" t="s">
        <v>299</v>
      </c>
      <c r="B226" s="1">
        <v>45605</v>
      </c>
      <c r="C226" t="s">
        <v>27</v>
      </c>
      <c r="D226" t="s">
        <v>28</v>
      </c>
      <c r="E226" t="s">
        <v>22</v>
      </c>
      <c r="F226" t="s">
        <v>23</v>
      </c>
      <c r="G226">
        <v>52036.26</v>
      </c>
      <c r="H226">
        <v>47288.21</v>
      </c>
      <c r="I226">
        <v>4748.05</v>
      </c>
      <c r="J226">
        <v>32011.49</v>
      </c>
      <c r="K226">
        <v>27310.44</v>
      </c>
      <c r="L226">
        <v>129772.78</v>
      </c>
      <c r="M226">
        <v>990</v>
      </c>
      <c r="N226">
        <v>-1.6E-2</v>
      </c>
      <c r="O226">
        <v>9.1200000000000003E-2</v>
      </c>
      <c r="P226">
        <v>0.2104</v>
      </c>
      <c r="Q226" t="s">
        <v>52</v>
      </c>
      <c r="R226">
        <v>2024</v>
      </c>
      <c r="S226" t="s">
        <v>25</v>
      </c>
    </row>
    <row r="227" spans="1:19" x14ac:dyDescent="0.3">
      <c r="A227" t="s">
        <v>300</v>
      </c>
      <c r="B227" s="1">
        <v>45813</v>
      </c>
      <c r="C227" t="s">
        <v>85</v>
      </c>
      <c r="D227" t="s">
        <v>86</v>
      </c>
      <c r="E227" t="s">
        <v>32</v>
      </c>
      <c r="F227" t="s">
        <v>33</v>
      </c>
      <c r="G227">
        <v>40589.879999999997</v>
      </c>
      <c r="H227">
        <v>33765.31</v>
      </c>
      <c r="I227">
        <v>6824.57</v>
      </c>
      <c r="J227">
        <v>20792.830000000002</v>
      </c>
      <c r="K227">
        <v>32610.09</v>
      </c>
      <c r="L227">
        <v>30544.47</v>
      </c>
      <c r="M227">
        <v>3047</v>
      </c>
      <c r="N227">
        <v>-1.0200000000000001E-2</v>
      </c>
      <c r="O227">
        <v>0.1681</v>
      </c>
      <c r="P227">
        <v>1.0676000000000001</v>
      </c>
      <c r="Q227" t="s">
        <v>34</v>
      </c>
      <c r="R227">
        <v>2025</v>
      </c>
      <c r="S227" t="s">
        <v>82</v>
      </c>
    </row>
    <row r="228" spans="1:19" x14ac:dyDescent="0.3">
      <c r="A228" t="s">
        <v>301</v>
      </c>
      <c r="B228" s="1">
        <v>44643</v>
      </c>
      <c r="C228" t="s">
        <v>30</v>
      </c>
      <c r="D228" t="s">
        <v>31</v>
      </c>
      <c r="E228" t="s">
        <v>22</v>
      </c>
      <c r="F228" t="s">
        <v>23</v>
      </c>
      <c r="G228">
        <v>288292.34999999998</v>
      </c>
      <c r="H228">
        <v>221645.07</v>
      </c>
      <c r="I228">
        <v>66647.28</v>
      </c>
      <c r="J228">
        <v>14501.67</v>
      </c>
      <c r="K228">
        <v>24702.98</v>
      </c>
      <c r="L228">
        <v>184377.09</v>
      </c>
      <c r="M228">
        <v>566</v>
      </c>
      <c r="N228">
        <v>-4.9599999999999998E-2</v>
      </c>
      <c r="O228">
        <v>0.23119999999999999</v>
      </c>
      <c r="P228">
        <v>0.13400000000000001</v>
      </c>
      <c r="Q228" t="s">
        <v>90</v>
      </c>
      <c r="R228">
        <v>2022</v>
      </c>
      <c r="S228" t="s">
        <v>25</v>
      </c>
    </row>
    <row r="229" spans="1:19" x14ac:dyDescent="0.3">
      <c r="A229" t="s">
        <v>302</v>
      </c>
      <c r="B229" s="1">
        <v>45398</v>
      </c>
      <c r="C229" t="s">
        <v>85</v>
      </c>
      <c r="D229" t="s">
        <v>86</v>
      </c>
      <c r="E229" t="s">
        <v>38</v>
      </c>
      <c r="F229" t="s">
        <v>23</v>
      </c>
      <c r="G229">
        <v>333236.88</v>
      </c>
      <c r="H229">
        <v>297501.08</v>
      </c>
      <c r="I229">
        <v>35735.800000000003</v>
      </c>
      <c r="J229">
        <v>37593.93</v>
      </c>
      <c r="K229">
        <v>26503.52</v>
      </c>
      <c r="L229">
        <v>82333.39</v>
      </c>
      <c r="M229">
        <v>1488</v>
      </c>
      <c r="N229">
        <v>8.1100000000000005E-2</v>
      </c>
      <c r="O229">
        <v>0.1072</v>
      </c>
      <c r="P229">
        <v>0.32190000000000002</v>
      </c>
      <c r="Q229" t="s">
        <v>111</v>
      </c>
      <c r="R229">
        <v>2024</v>
      </c>
      <c r="S229" t="s">
        <v>40</v>
      </c>
    </row>
    <row r="230" spans="1:19" x14ac:dyDescent="0.3">
      <c r="A230" t="s">
        <v>303</v>
      </c>
      <c r="B230" s="1">
        <v>44881</v>
      </c>
      <c r="C230" t="s">
        <v>85</v>
      </c>
      <c r="D230" t="s">
        <v>86</v>
      </c>
      <c r="E230" t="s">
        <v>32</v>
      </c>
      <c r="F230" t="s">
        <v>33</v>
      </c>
      <c r="G230">
        <v>38887.300000000003</v>
      </c>
      <c r="H230">
        <v>32962.5</v>
      </c>
      <c r="I230">
        <v>5924.8</v>
      </c>
      <c r="J230">
        <v>12509.8</v>
      </c>
      <c r="K230">
        <v>13154.51</v>
      </c>
      <c r="L230">
        <v>48357.34</v>
      </c>
      <c r="M230">
        <v>705</v>
      </c>
      <c r="N230">
        <v>7.4200000000000002E-2</v>
      </c>
      <c r="O230">
        <v>0.15240000000000001</v>
      </c>
      <c r="P230">
        <v>0.27200000000000002</v>
      </c>
      <c r="Q230" t="s">
        <v>46</v>
      </c>
      <c r="R230">
        <v>2022</v>
      </c>
      <c r="S230" t="s">
        <v>25</v>
      </c>
    </row>
    <row r="231" spans="1:19" x14ac:dyDescent="0.3">
      <c r="A231" t="s">
        <v>304</v>
      </c>
      <c r="B231" s="1">
        <v>45877</v>
      </c>
      <c r="C231" t="s">
        <v>20</v>
      </c>
      <c r="D231" t="s">
        <v>21</v>
      </c>
      <c r="E231" t="s">
        <v>38</v>
      </c>
      <c r="F231" t="s">
        <v>23</v>
      </c>
      <c r="G231">
        <v>102209.28</v>
      </c>
      <c r="H231">
        <v>61617.33</v>
      </c>
      <c r="I231">
        <v>40591.949999999997</v>
      </c>
      <c r="J231">
        <v>54228.44</v>
      </c>
      <c r="K231">
        <v>51038.1</v>
      </c>
      <c r="L231">
        <v>159649.57999999999</v>
      </c>
      <c r="M231">
        <v>1533</v>
      </c>
      <c r="N231">
        <v>6.3100000000000003E-2</v>
      </c>
      <c r="O231">
        <v>0.39710000000000001</v>
      </c>
      <c r="P231">
        <v>0.31969999999999998</v>
      </c>
      <c r="Q231" t="s">
        <v>24</v>
      </c>
      <c r="R231">
        <v>2025</v>
      </c>
      <c r="S231" t="s">
        <v>40</v>
      </c>
    </row>
    <row r="232" spans="1:19" x14ac:dyDescent="0.3">
      <c r="A232" t="s">
        <v>305</v>
      </c>
      <c r="B232" s="1">
        <v>45264</v>
      </c>
      <c r="C232" t="s">
        <v>42</v>
      </c>
      <c r="D232" t="s">
        <v>43</v>
      </c>
      <c r="E232" t="s">
        <v>22</v>
      </c>
      <c r="F232" t="s">
        <v>23</v>
      </c>
      <c r="G232">
        <v>71880.56</v>
      </c>
      <c r="H232">
        <v>41599.46</v>
      </c>
      <c r="I232">
        <v>30281.1</v>
      </c>
      <c r="J232">
        <v>17724.23</v>
      </c>
      <c r="K232">
        <v>7242.97</v>
      </c>
      <c r="L232">
        <v>35322.94</v>
      </c>
      <c r="M232">
        <v>823</v>
      </c>
      <c r="N232">
        <v>-3.1099999999999999E-2</v>
      </c>
      <c r="O232">
        <v>0.42130000000000001</v>
      </c>
      <c r="P232">
        <v>0.2051</v>
      </c>
      <c r="Q232" t="s">
        <v>44</v>
      </c>
      <c r="R232">
        <v>2023</v>
      </c>
      <c r="S232" t="s">
        <v>25</v>
      </c>
    </row>
    <row r="233" spans="1:19" x14ac:dyDescent="0.3">
      <c r="A233" t="s">
        <v>306</v>
      </c>
      <c r="B233" s="1">
        <v>45875</v>
      </c>
      <c r="C233" t="s">
        <v>30</v>
      </c>
      <c r="D233" t="s">
        <v>31</v>
      </c>
      <c r="E233" t="s">
        <v>22</v>
      </c>
      <c r="F233" t="s">
        <v>23</v>
      </c>
      <c r="G233">
        <v>94268.14</v>
      </c>
      <c r="H233">
        <v>55786.44</v>
      </c>
      <c r="I233">
        <v>38481.699999999997</v>
      </c>
      <c r="J233">
        <v>57242.57</v>
      </c>
      <c r="K233">
        <v>18420.759999999998</v>
      </c>
      <c r="L233">
        <v>153158.76999999999</v>
      </c>
      <c r="M233">
        <v>531</v>
      </c>
      <c r="N233">
        <v>4.5999999999999999E-3</v>
      </c>
      <c r="O233">
        <v>0.40820000000000001</v>
      </c>
      <c r="P233">
        <v>0.1203</v>
      </c>
      <c r="Q233" t="s">
        <v>24</v>
      </c>
      <c r="R233">
        <v>2025</v>
      </c>
      <c r="S233" t="s">
        <v>25</v>
      </c>
    </row>
    <row r="234" spans="1:19" x14ac:dyDescent="0.3">
      <c r="A234" t="s">
        <v>307</v>
      </c>
      <c r="B234" s="1">
        <v>44672</v>
      </c>
      <c r="C234" t="s">
        <v>61</v>
      </c>
      <c r="D234" t="s">
        <v>74</v>
      </c>
      <c r="E234" t="s">
        <v>32</v>
      </c>
      <c r="F234" t="s">
        <v>33</v>
      </c>
      <c r="G234">
        <v>96492.67</v>
      </c>
      <c r="H234">
        <v>67398.509999999995</v>
      </c>
      <c r="I234">
        <v>29094.16</v>
      </c>
      <c r="J234">
        <v>25917.360000000001</v>
      </c>
      <c r="K234">
        <v>14311.91</v>
      </c>
      <c r="L234">
        <v>67978.45</v>
      </c>
      <c r="M234">
        <v>1506</v>
      </c>
      <c r="N234">
        <v>3.1E-2</v>
      </c>
      <c r="O234">
        <v>0.30149999999999999</v>
      </c>
      <c r="P234">
        <v>0.21049999999999999</v>
      </c>
      <c r="Q234" t="s">
        <v>58</v>
      </c>
      <c r="R234">
        <v>2022</v>
      </c>
      <c r="S234" t="s">
        <v>25</v>
      </c>
    </row>
    <row r="235" spans="1:19" x14ac:dyDescent="0.3">
      <c r="A235" t="s">
        <v>308</v>
      </c>
      <c r="B235" s="1">
        <v>44998</v>
      </c>
      <c r="C235" t="s">
        <v>48</v>
      </c>
      <c r="D235" t="s">
        <v>49</v>
      </c>
      <c r="E235" t="s">
        <v>22</v>
      </c>
      <c r="F235" t="s">
        <v>23</v>
      </c>
      <c r="G235">
        <v>191531.02</v>
      </c>
      <c r="H235">
        <v>118653.82</v>
      </c>
      <c r="I235">
        <v>72877.2</v>
      </c>
      <c r="J235">
        <v>23505.64</v>
      </c>
      <c r="K235">
        <v>46274.9</v>
      </c>
      <c r="L235">
        <v>104696.98</v>
      </c>
      <c r="M235">
        <v>1612</v>
      </c>
      <c r="N235">
        <v>-4.0000000000000001E-3</v>
      </c>
      <c r="O235">
        <v>0.3805</v>
      </c>
      <c r="P235">
        <v>0.442</v>
      </c>
      <c r="Q235" t="s">
        <v>118</v>
      </c>
      <c r="R235">
        <v>2023</v>
      </c>
      <c r="S235" t="s">
        <v>40</v>
      </c>
    </row>
    <row r="236" spans="1:19" x14ac:dyDescent="0.3">
      <c r="A236" t="s">
        <v>309</v>
      </c>
      <c r="B236" s="1">
        <v>44721</v>
      </c>
      <c r="C236" t="s">
        <v>85</v>
      </c>
      <c r="D236" t="s">
        <v>86</v>
      </c>
      <c r="E236" t="s">
        <v>38</v>
      </c>
      <c r="F236" t="s">
        <v>23</v>
      </c>
      <c r="G236">
        <v>14182.06</v>
      </c>
      <c r="H236">
        <v>9031.4500000000007</v>
      </c>
      <c r="I236">
        <v>5150.6099999999997</v>
      </c>
      <c r="J236">
        <v>115897.45</v>
      </c>
      <c r="K236">
        <v>11297.91</v>
      </c>
      <c r="L236">
        <v>143837.41</v>
      </c>
      <c r="M236">
        <v>570</v>
      </c>
      <c r="N236">
        <v>2.2599999999999999E-2</v>
      </c>
      <c r="O236">
        <v>0.36320000000000002</v>
      </c>
      <c r="P236">
        <v>7.85E-2</v>
      </c>
      <c r="Q236" t="s">
        <v>58</v>
      </c>
      <c r="R236">
        <v>2022</v>
      </c>
      <c r="S236" t="s">
        <v>25</v>
      </c>
    </row>
    <row r="237" spans="1:19" x14ac:dyDescent="0.3">
      <c r="A237" t="s">
        <v>310</v>
      </c>
      <c r="B237" s="2">
        <v>45597</v>
      </c>
      <c r="C237" t="s">
        <v>54</v>
      </c>
      <c r="D237" t="s">
        <v>55</v>
      </c>
      <c r="E237" t="s">
        <v>22</v>
      </c>
      <c r="F237" t="s">
        <v>23</v>
      </c>
      <c r="G237">
        <v>22210.67</v>
      </c>
      <c r="H237">
        <v>13315.67</v>
      </c>
      <c r="I237">
        <v>8895</v>
      </c>
      <c r="J237">
        <v>32219.96</v>
      </c>
      <c r="K237">
        <v>17689.55</v>
      </c>
      <c r="L237">
        <v>99341.89</v>
      </c>
      <c r="M237">
        <v>620</v>
      </c>
      <c r="N237">
        <v>9.4100000000000003E-2</v>
      </c>
      <c r="O237">
        <v>0.40050000000000002</v>
      </c>
      <c r="P237">
        <v>0.17810000000000001</v>
      </c>
      <c r="Q237" t="s">
        <v>52</v>
      </c>
      <c r="R237">
        <v>2024</v>
      </c>
      <c r="S237" t="s">
        <v>25</v>
      </c>
    </row>
    <row r="238" spans="1:19" x14ac:dyDescent="0.3">
      <c r="A238" t="s">
        <v>311</v>
      </c>
      <c r="B238" s="1">
        <v>45739</v>
      </c>
      <c r="C238" t="s">
        <v>48</v>
      </c>
      <c r="D238" t="s">
        <v>49</v>
      </c>
      <c r="E238" t="s">
        <v>32</v>
      </c>
      <c r="F238" t="s">
        <v>33</v>
      </c>
      <c r="G238">
        <v>114808.52</v>
      </c>
      <c r="H238">
        <v>101194.4</v>
      </c>
      <c r="I238">
        <v>13614.12</v>
      </c>
      <c r="J238">
        <v>100433.97</v>
      </c>
      <c r="K238">
        <v>12411.09</v>
      </c>
      <c r="L238">
        <v>473058.74</v>
      </c>
      <c r="M238">
        <v>1114</v>
      </c>
      <c r="N238">
        <v>-3.0000000000000001E-3</v>
      </c>
      <c r="O238">
        <v>0.1186</v>
      </c>
      <c r="P238">
        <v>2.6200000000000001E-2</v>
      </c>
      <c r="Q238" t="s">
        <v>106</v>
      </c>
      <c r="R238">
        <v>2025</v>
      </c>
      <c r="S238" t="s">
        <v>25</v>
      </c>
    </row>
    <row r="239" spans="1:19" x14ac:dyDescent="0.3">
      <c r="A239" t="s">
        <v>312</v>
      </c>
      <c r="B239" s="1">
        <v>45138</v>
      </c>
      <c r="C239" t="s">
        <v>36</v>
      </c>
      <c r="D239" t="s">
        <v>37</v>
      </c>
      <c r="E239" t="s">
        <v>38</v>
      </c>
      <c r="F239" t="s">
        <v>23</v>
      </c>
      <c r="G239">
        <v>82469.64</v>
      </c>
      <c r="H239">
        <v>71799.95</v>
      </c>
      <c r="I239">
        <v>10669.69</v>
      </c>
      <c r="J239">
        <v>15723.7</v>
      </c>
      <c r="K239">
        <v>53466.5</v>
      </c>
      <c r="L239">
        <v>82797.47</v>
      </c>
      <c r="M239">
        <v>853</v>
      </c>
      <c r="N239">
        <v>5.8099999999999999E-2</v>
      </c>
      <c r="O239">
        <v>0.12939999999999999</v>
      </c>
      <c r="P239">
        <v>0.64580000000000004</v>
      </c>
      <c r="Q239" t="s">
        <v>56</v>
      </c>
      <c r="R239">
        <v>2023</v>
      </c>
      <c r="S239" t="s">
        <v>82</v>
      </c>
    </row>
    <row r="240" spans="1:19" x14ac:dyDescent="0.3">
      <c r="A240" t="s">
        <v>313</v>
      </c>
      <c r="B240" s="1">
        <v>45252</v>
      </c>
      <c r="C240" t="s">
        <v>85</v>
      </c>
      <c r="D240" t="s">
        <v>86</v>
      </c>
      <c r="E240" t="s">
        <v>32</v>
      </c>
      <c r="F240" t="s">
        <v>33</v>
      </c>
      <c r="G240">
        <v>86897.59</v>
      </c>
      <c r="H240">
        <v>63670.83</v>
      </c>
      <c r="I240">
        <v>23226.76</v>
      </c>
      <c r="J240">
        <v>21852.46</v>
      </c>
      <c r="K240">
        <v>94374.19</v>
      </c>
      <c r="L240">
        <v>43965.62</v>
      </c>
      <c r="M240">
        <v>1135</v>
      </c>
      <c r="N240">
        <v>-5.1200000000000002E-2</v>
      </c>
      <c r="O240">
        <v>0.26729999999999998</v>
      </c>
      <c r="P240">
        <v>2.1465000000000001</v>
      </c>
      <c r="Q240" t="s">
        <v>44</v>
      </c>
      <c r="R240">
        <v>2023</v>
      </c>
      <c r="S240" t="s">
        <v>82</v>
      </c>
    </row>
    <row r="241" spans="1:19" x14ac:dyDescent="0.3">
      <c r="A241" t="s">
        <v>314</v>
      </c>
      <c r="B241" s="1">
        <v>45084</v>
      </c>
      <c r="C241" t="s">
        <v>27</v>
      </c>
      <c r="D241" t="s">
        <v>28</v>
      </c>
      <c r="E241" t="s">
        <v>51</v>
      </c>
      <c r="F241" t="s">
        <v>23</v>
      </c>
      <c r="G241">
        <v>77468.56</v>
      </c>
      <c r="H241">
        <v>51150.89</v>
      </c>
      <c r="I241">
        <v>26317.67</v>
      </c>
      <c r="J241">
        <v>37726.61</v>
      </c>
      <c r="K241">
        <v>31654.71</v>
      </c>
      <c r="L241">
        <v>86089.48</v>
      </c>
      <c r="M241">
        <v>737</v>
      </c>
      <c r="N241">
        <v>2.0500000000000001E-2</v>
      </c>
      <c r="O241">
        <v>0.3397</v>
      </c>
      <c r="P241">
        <v>0.36770000000000003</v>
      </c>
      <c r="Q241" t="s">
        <v>39</v>
      </c>
      <c r="R241">
        <v>2023</v>
      </c>
      <c r="S241" t="s">
        <v>40</v>
      </c>
    </row>
    <row r="242" spans="1:19" x14ac:dyDescent="0.3">
      <c r="A242" t="s">
        <v>315</v>
      </c>
      <c r="B242" s="1">
        <v>45432</v>
      </c>
      <c r="C242" t="s">
        <v>27</v>
      </c>
      <c r="D242" t="s">
        <v>28</v>
      </c>
      <c r="E242" t="s">
        <v>32</v>
      </c>
      <c r="F242" t="s">
        <v>33</v>
      </c>
      <c r="G242">
        <v>11601.18</v>
      </c>
      <c r="H242">
        <v>8345.2999999999993</v>
      </c>
      <c r="I242">
        <v>3255.88</v>
      </c>
      <c r="J242">
        <v>33250.449999999997</v>
      </c>
      <c r="K242">
        <v>17319.189999999999</v>
      </c>
      <c r="L242">
        <v>57218.23</v>
      </c>
      <c r="M242">
        <v>714</v>
      </c>
      <c r="N242">
        <v>-1.1000000000000001E-3</v>
      </c>
      <c r="O242">
        <v>0.28070000000000001</v>
      </c>
      <c r="P242">
        <v>0.30270000000000002</v>
      </c>
      <c r="Q242" t="s">
        <v>111</v>
      </c>
      <c r="R242">
        <v>2024</v>
      </c>
      <c r="S242" t="s">
        <v>40</v>
      </c>
    </row>
    <row r="243" spans="1:19" x14ac:dyDescent="0.3">
      <c r="A243" t="s">
        <v>316</v>
      </c>
      <c r="B243" s="1">
        <v>45302</v>
      </c>
      <c r="C243" t="s">
        <v>78</v>
      </c>
      <c r="D243" t="s">
        <v>79</v>
      </c>
      <c r="E243" t="s">
        <v>38</v>
      </c>
      <c r="F243" t="s">
        <v>23</v>
      </c>
      <c r="G243">
        <v>90434.77</v>
      </c>
      <c r="H243">
        <v>56832.63</v>
      </c>
      <c r="I243">
        <v>33602.14</v>
      </c>
      <c r="J243">
        <v>40551.660000000003</v>
      </c>
      <c r="K243">
        <v>20000.8</v>
      </c>
      <c r="L243">
        <v>330615</v>
      </c>
      <c r="M243">
        <v>794</v>
      </c>
      <c r="N243">
        <v>3.7400000000000003E-2</v>
      </c>
      <c r="O243">
        <v>0.37159999999999999</v>
      </c>
      <c r="P243">
        <v>6.0499999999999998E-2</v>
      </c>
      <c r="Q243" t="s">
        <v>80</v>
      </c>
      <c r="R243">
        <v>2024</v>
      </c>
      <c r="S243" t="s">
        <v>25</v>
      </c>
    </row>
    <row r="244" spans="1:19" x14ac:dyDescent="0.3">
      <c r="A244" t="s">
        <v>317</v>
      </c>
      <c r="B244" s="1">
        <v>44723</v>
      </c>
      <c r="C244" t="s">
        <v>20</v>
      </c>
      <c r="D244" t="s">
        <v>21</v>
      </c>
      <c r="E244" t="s">
        <v>22</v>
      </c>
      <c r="F244" t="s">
        <v>23</v>
      </c>
      <c r="G244">
        <v>113252.6</v>
      </c>
      <c r="H244">
        <v>67557.210000000006</v>
      </c>
      <c r="I244">
        <v>45695.39</v>
      </c>
      <c r="J244">
        <v>29287.279999999999</v>
      </c>
      <c r="K244">
        <v>30050.63</v>
      </c>
      <c r="L244">
        <v>75687.710000000006</v>
      </c>
      <c r="M244">
        <v>2725</v>
      </c>
      <c r="N244">
        <v>-6.4399999999999999E-2</v>
      </c>
      <c r="O244">
        <v>0.40350000000000003</v>
      </c>
      <c r="P244">
        <v>0.39700000000000002</v>
      </c>
      <c r="Q244" t="s">
        <v>58</v>
      </c>
      <c r="R244">
        <v>2022</v>
      </c>
      <c r="S244" t="s">
        <v>40</v>
      </c>
    </row>
    <row r="245" spans="1:19" x14ac:dyDescent="0.3">
      <c r="A245" t="s">
        <v>318</v>
      </c>
      <c r="B245" s="1">
        <v>44788</v>
      </c>
      <c r="C245" t="s">
        <v>27</v>
      </c>
      <c r="D245" t="s">
        <v>28</v>
      </c>
      <c r="E245" t="s">
        <v>38</v>
      </c>
      <c r="F245" t="s">
        <v>23</v>
      </c>
      <c r="G245">
        <v>140274.34</v>
      </c>
      <c r="H245">
        <v>117738.66</v>
      </c>
      <c r="I245">
        <v>22535.68</v>
      </c>
      <c r="J245">
        <v>47194.74</v>
      </c>
      <c r="K245">
        <v>12827.48</v>
      </c>
      <c r="L245">
        <v>111797.83</v>
      </c>
      <c r="M245">
        <v>551</v>
      </c>
      <c r="N245">
        <v>6.9099999999999995E-2</v>
      </c>
      <c r="O245">
        <v>0.16070000000000001</v>
      </c>
      <c r="P245">
        <v>0.1147</v>
      </c>
      <c r="Q245" t="s">
        <v>76</v>
      </c>
      <c r="R245">
        <v>2022</v>
      </c>
      <c r="S245" t="s">
        <v>25</v>
      </c>
    </row>
    <row r="246" spans="1:19" x14ac:dyDescent="0.3">
      <c r="A246" t="s">
        <v>319</v>
      </c>
      <c r="B246" s="1">
        <v>45429</v>
      </c>
      <c r="C246" t="s">
        <v>85</v>
      </c>
      <c r="D246" t="s">
        <v>86</v>
      </c>
      <c r="E246" t="s">
        <v>38</v>
      </c>
      <c r="F246" t="s">
        <v>23</v>
      </c>
      <c r="G246">
        <v>41839.360000000001</v>
      </c>
      <c r="H246">
        <v>37038.06</v>
      </c>
      <c r="I246">
        <v>4801.3</v>
      </c>
      <c r="K246">
        <v>55894.29</v>
      </c>
      <c r="L246">
        <v>105264.41</v>
      </c>
      <c r="M246">
        <v>1694</v>
      </c>
      <c r="N246">
        <v>-3.1300000000000001E-2</v>
      </c>
      <c r="O246">
        <v>0.1148</v>
      </c>
      <c r="P246">
        <v>0.53100000000000003</v>
      </c>
      <c r="Q246" t="s">
        <v>111</v>
      </c>
      <c r="R246">
        <v>2024</v>
      </c>
      <c r="S246" t="s">
        <v>40</v>
      </c>
    </row>
    <row r="247" spans="1:19" x14ac:dyDescent="0.3">
      <c r="A247" t="s">
        <v>320</v>
      </c>
      <c r="B247" s="1">
        <v>45026</v>
      </c>
      <c r="C247" t="s">
        <v>20</v>
      </c>
      <c r="D247" t="s">
        <v>21</v>
      </c>
      <c r="E247" t="s">
        <v>22</v>
      </c>
      <c r="F247" t="s">
        <v>23</v>
      </c>
      <c r="G247">
        <v>97246.98</v>
      </c>
      <c r="J247">
        <v>33313.96</v>
      </c>
      <c r="K247">
        <v>22244.36</v>
      </c>
      <c r="L247">
        <v>102473.83</v>
      </c>
      <c r="M247">
        <v>1396</v>
      </c>
      <c r="N247">
        <v>-4.5699999999999998E-2</v>
      </c>
      <c r="P247">
        <v>0.21709999999999999</v>
      </c>
      <c r="Q247" t="s">
        <v>39</v>
      </c>
      <c r="R247">
        <v>2023</v>
      </c>
      <c r="S247" t="s">
        <v>25</v>
      </c>
    </row>
    <row r="248" spans="1:19" x14ac:dyDescent="0.3">
      <c r="A248" t="s">
        <v>321</v>
      </c>
      <c r="B248" s="1">
        <v>44573</v>
      </c>
      <c r="C248" t="s">
        <v>61</v>
      </c>
      <c r="D248" t="s">
        <v>74</v>
      </c>
      <c r="E248" t="s">
        <v>38</v>
      </c>
      <c r="F248" t="s">
        <v>23</v>
      </c>
      <c r="G248">
        <v>81397.070000000007</v>
      </c>
      <c r="H248">
        <v>70279.25</v>
      </c>
      <c r="I248">
        <v>11117.82</v>
      </c>
      <c r="J248">
        <v>34051.230000000003</v>
      </c>
      <c r="K248">
        <v>45989.85</v>
      </c>
      <c r="L248">
        <v>133532.51</v>
      </c>
      <c r="M248">
        <v>322</v>
      </c>
      <c r="N248">
        <v>-6.0199999999999997E-2</v>
      </c>
      <c r="O248">
        <v>0.1366</v>
      </c>
      <c r="P248">
        <v>0.34439999999999998</v>
      </c>
      <c r="Q248" t="s">
        <v>90</v>
      </c>
      <c r="R248">
        <v>2022</v>
      </c>
      <c r="S248" t="s">
        <v>40</v>
      </c>
    </row>
    <row r="249" spans="1:19" x14ac:dyDescent="0.3">
      <c r="A249" t="s">
        <v>322</v>
      </c>
      <c r="B249" s="1">
        <v>45050</v>
      </c>
      <c r="C249" t="s">
        <v>42</v>
      </c>
      <c r="D249" t="s">
        <v>43</v>
      </c>
      <c r="E249" t="s">
        <v>22</v>
      </c>
      <c r="F249" t="s">
        <v>23</v>
      </c>
      <c r="G249">
        <v>80626.89</v>
      </c>
      <c r="H249">
        <v>58467.26</v>
      </c>
      <c r="I249">
        <v>22159.63</v>
      </c>
      <c r="J249">
        <v>51277.67</v>
      </c>
      <c r="K249">
        <v>30886.52</v>
      </c>
      <c r="L249">
        <v>94234.73</v>
      </c>
      <c r="M249">
        <v>961</v>
      </c>
      <c r="N249">
        <v>1.1900000000000001E-2</v>
      </c>
      <c r="O249">
        <v>0.27479999999999999</v>
      </c>
      <c r="P249">
        <v>0.32779999999999998</v>
      </c>
      <c r="Q249" t="s">
        <v>39</v>
      </c>
      <c r="R249">
        <v>2023</v>
      </c>
      <c r="S249" t="s">
        <v>40</v>
      </c>
    </row>
    <row r="250" spans="1:19" x14ac:dyDescent="0.3">
      <c r="A250" t="s">
        <v>323</v>
      </c>
      <c r="B250" s="1">
        <v>45169</v>
      </c>
      <c r="C250" t="s">
        <v>20</v>
      </c>
      <c r="D250" t="s">
        <v>21</v>
      </c>
      <c r="E250" t="s">
        <v>22</v>
      </c>
      <c r="F250" t="s">
        <v>23</v>
      </c>
      <c r="G250">
        <v>169357.2</v>
      </c>
      <c r="H250">
        <v>128318.33</v>
      </c>
      <c r="I250">
        <v>41038.870000000003</v>
      </c>
      <c r="J250">
        <v>84472.44</v>
      </c>
      <c r="K250">
        <v>15730.1</v>
      </c>
      <c r="L250">
        <v>180488.9</v>
      </c>
      <c r="M250">
        <v>1268</v>
      </c>
      <c r="N250">
        <v>0.1186</v>
      </c>
      <c r="O250">
        <v>0.24229999999999999</v>
      </c>
      <c r="P250">
        <v>8.72E-2</v>
      </c>
      <c r="Q250" t="s">
        <v>56</v>
      </c>
      <c r="R250">
        <v>2023</v>
      </c>
      <c r="S250" t="s">
        <v>25</v>
      </c>
    </row>
    <row r="251" spans="1:19" x14ac:dyDescent="0.3">
      <c r="A251" t="s">
        <v>324</v>
      </c>
      <c r="B251" s="1">
        <v>45979</v>
      </c>
      <c r="C251" t="s">
        <v>78</v>
      </c>
      <c r="D251" t="s">
        <v>79</v>
      </c>
      <c r="E251" t="s">
        <v>22</v>
      </c>
      <c r="F251" t="s">
        <v>23</v>
      </c>
      <c r="G251">
        <v>34921.5</v>
      </c>
      <c r="H251">
        <v>31890.73</v>
      </c>
      <c r="I251">
        <v>3030.77</v>
      </c>
      <c r="J251">
        <v>17024.62</v>
      </c>
      <c r="K251">
        <v>55423.51</v>
      </c>
      <c r="L251">
        <v>79683.25</v>
      </c>
      <c r="M251">
        <v>1093</v>
      </c>
      <c r="N251">
        <v>-6.7400000000000002E-2</v>
      </c>
      <c r="O251">
        <v>8.6800000000000002E-2</v>
      </c>
      <c r="P251">
        <v>0.69550000000000001</v>
      </c>
      <c r="Q251" t="s">
        <v>66</v>
      </c>
      <c r="R251">
        <v>2025</v>
      </c>
      <c r="S251" t="s">
        <v>82</v>
      </c>
    </row>
    <row r="252" spans="1:19" x14ac:dyDescent="0.3">
      <c r="A252" t="s">
        <v>325</v>
      </c>
      <c r="B252" s="1">
        <v>45125</v>
      </c>
      <c r="C252" t="s">
        <v>48</v>
      </c>
      <c r="D252" t="s">
        <v>49</v>
      </c>
      <c r="E252" t="s">
        <v>38</v>
      </c>
      <c r="F252" t="s">
        <v>23</v>
      </c>
      <c r="G252">
        <v>164073.41</v>
      </c>
      <c r="H252">
        <v>122950.18</v>
      </c>
      <c r="I252">
        <v>41123.230000000003</v>
      </c>
      <c r="J252">
        <v>17515.310000000001</v>
      </c>
      <c r="K252">
        <v>30715.64</v>
      </c>
      <c r="L252">
        <v>62437.51</v>
      </c>
      <c r="M252">
        <v>1099</v>
      </c>
      <c r="N252">
        <v>2.4899999999999999E-2</v>
      </c>
      <c r="O252">
        <v>0.25059999999999999</v>
      </c>
      <c r="P252">
        <v>0.4919</v>
      </c>
      <c r="Q252" t="s">
        <v>56</v>
      </c>
      <c r="R252">
        <v>2023</v>
      </c>
      <c r="S252" t="s">
        <v>40</v>
      </c>
    </row>
    <row r="253" spans="1:19" x14ac:dyDescent="0.3">
      <c r="A253" t="s">
        <v>326</v>
      </c>
      <c r="B253" s="1">
        <v>45020</v>
      </c>
      <c r="C253" t="s">
        <v>42</v>
      </c>
      <c r="D253" t="s">
        <v>43</v>
      </c>
      <c r="E253" t="s">
        <v>22</v>
      </c>
      <c r="F253" t="s">
        <v>23</v>
      </c>
      <c r="G253">
        <v>68495.28</v>
      </c>
      <c r="H253">
        <v>45323.96</v>
      </c>
      <c r="I253">
        <v>23171.32</v>
      </c>
      <c r="J253">
        <v>22455.47</v>
      </c>
      <c r="K253">
        <v>15380.25</v>
      </c>
      <c r="L253">
        <v>175603.42</v>
      </c>
      <c r="M253">
        <v>1205</v>
      </c>
      <c r="N253">
        <v>2.3800000000000002E-2</v>
      </c>
      <c r="O253">
        <v>0.33829999999999999</v>
      </c>
      <c r="P253">
        <v>8.7599999999999997E-2</v>
      </c>
      <c r="Q253" t="s">
        <v>39</v>
      </c>
      <c r="R253">
        <v>2023</v>
      </c>
      <c r="S253" t="s">
        <v>25</v>
      </c>
    </row>
    <row r="254" spans="1:19" x14ac:dyDescent="0.3">
      <c r="A254" t="s">
        <v>327</v>
      </c>
      <c r="B254" s="1">
        <v>44863</v>
      </c>
      <c r="C254" t="s">
        <v>68</v>
      </c>
      <c r="D254" t="s">
        <v>69</v>
      </c>
      <c r="E254" t="s">
        <v>32</v>
      </c>
      <c r="F254" t="s">
        <v>33</v>
      </c>
      <c r="G254">
        <v>50695.62</v>
      </c>
      <c r="H254">
        <v>30991.63</v>
      </c>
      <c r="I254">
        <v>19703.990000000002</v>
      </c>
      <c r="J254">
        <v>31004.15</v>
      </c>
      <c r="K254">
        <v>8611.33</v>
      </c>
      <c r="L254">
        <v>80025.48</v>
      </c>
      <c r="M254">
        <v>740</v>
      </c>
      <c r="N254">
        <v>5.4100000000000002E-2</v>
      </c>
      <c r="O254">
        <v>0.38869999999999999</v>
      </c>
      <c r="P254">
        <v>0.1076</v>
      </c>
      <c r="Q254" t="s">
        <v>46</v>
      </c>
      <c r="R254">
        <v>2022</v>
      </c>
      <c r="S254" t="s">
        <v>25</v>
      </c>
    </row>
    <row r="255" spans="1:19" x14ac:dyDescent="0.3">
      <c r="A255" t="s">
        <v>328</v>
      </c>
      <c r="B255" s="1">
        <v>45141</v>
      </c>
      <c r="C255" t="s">
        <v>85</v>
      </c>
      <c r="D255" t="s">
        <v>86</v>
      </c>
      <c r="E255" t="s">
        <v>38</v>
      </c>
      <c r="F255" t="s">
        <v>23</v>
      </c>
      <c r="G255">
        <v>25879.83</v>
      </c>
      <c r="H255">
        <v>18418.38</v>
      </c>
      <c r="I255">
        <v>7461.45</v>
      </c>
      <c r="J255">
        <v>45411.51</v>
      </c>
      <c r="K255">
        <v>15164.13</v>
      </c>
      <c r="L255">
        <v>112770.45</v>
      </c>
      <c r="M255">
        <v>966</v>
      </c>
      <c r="N255">
        <v>1.3100000000000001E-2</v>
      </c>
      <c r="O255">
        <v>0.2883</v>
      </c>
      <c r="P255">
        <v>0.13450000000000001</v>
      </c>
      <c r="Q255" t="s">
        <v>56</v>
      </c>
      <c r="R255">
        <v>2023</v>
      </c>
      <c r="S255" t="s">
        <v>25</v>
      </c>
    </row>
    <row r="256" spans="1:19" x14ac:dyDescent="0.3">
      <c r="A256" t="s">
        <v>329</v>
      </c>
      <c r="B256" s="1">
        <v>45358</v>
      </c>
      <c r="C256" t="s">
        <v>42</v>
      </c>
      <c r="D256" t="s">
        <v>43</v>
      </c>
      <c r="E256" t="s">
        <v>22</v>
      </c>
      <c r="F256" t="s">
        <v>23</v>
      </c>
      <c r="G256">
        <v>74409.78</v>
      </c>
      <c r="H256">
        <v>67832.25</v>
      </c>
      <c r="I256">
        <v>6577.53</v>
      </c>
      <c r="J256">
        <v>49043.6</v>
      </c>
      <c r="K256">
        <v>16103.8</v>
      </c>
      <c r="L256">
        <v>135371.16</v>
      </c>
      <c r="M256">
        <v>2022</v>
      </c>
      <c r="N256">
        <v>-4.3E-3</v>
      </c>
      <c r="O256">
        <v>8.8400000000000006E-2</v>
      </c>
      <c r="P256">
        <v>0.11899999999999999</v>
      </c>
      <c r="Q256" t="s">
        <v>80</v>
      </c>
      <c r="R256">
        <v>2024</v>
      </c>
      <c r="S256" t="s">
        <v>25</v>
      </c>
    </row>
    <row r="257" spans="1:19" x14ac:dyDescent="0.3">
      <c r="A257" t="s">
        <v>330</v>
      </c>
      <c r="B257" s="1">
        <v>45154</v>
      </c>
      <c r="C257" t="s">
        <v>48</v>
      </c>
      <c r="D257" t="s">
        <v>49</v>
      </c>
      <c r="E257" t="s">
        <v>32</v>
      </c>
      <c r="F257" t="s">
        <v>33</v>
      </c>
      <c r="G257">
        <v>85042.07</v>
      </c>
      <c r="H257">
        <v>71052.820000000007</v>
      </c>
      <c r="I257">
        <v>13989.25</v>
      </c>
      <c r="J257">
        <v>14154.77</v>
      </c>
      <c r="K257">
        <v>20942.87</v>
      </c>
      <c r="L257">
        <v>73997.100000000006</v>
      </c>
      <c r="M257">
        <v>511</v>
      </c>
      <c r="N257">
        <v>5.5300000000000002E-2</v>
      </c>
      <c r="O257">
        <v>0.16450000000000001</v>
      </c>
      <c r="P257">
        <v>0.28299999999999997</v>
      </c>
      <c r="Q257" t="s">
        <v>56</v>
      </c>
      <c r="R257">
        <v>2023</v>
      </c>
      <c r="S257" t="s">
        <v>25</v>
      </c>
    </row>
    <row r="258" spans="1:19" x14ac:dyDescent="0.3">
      <c r="A258" t="s">
        <v>331</v>
      </c>
      <c r="B258" s="1">
        <v>45017</v>
      </c>
      <c r="C258" t="s">
        <v>36</v>
      </c>
      <c r="D258" t="s">
        <v>37</v>
      </c>
      <c r="E258" t="s">
        <v>38</v>
      </c>
      <c r="F258" t="s">
        <v>23</v>
      </c>
      <c r="G258">
        <v>49271.83</v>
      </c>
      <c r="H258">
        <v>31580.720000000001</v>
      </c>
      <c r="I258">
        <v>17691.11</v>
      </c>
      <c r="J258">
        <v>55968.19</v>
      </c>
      <c r="K258">
        <v>54561.78</v>
      </c>
      <c r="L258">
        <v>106819.94</v>
      </c>
      <c r="M258">
        <v>894</v>
      </c>
      <c r="N258">
        <v>5.6099999999999997E-2</v>
      </c>
      <c r="O258">
        <v>0.35909999999999997</v>
      </c>
      <c r="P258">
        <v>0.51080000000000003</v>
      </c>
      <c r="Q258" t="s">
        <v>39</v>
      </c>
      <c r="R258">
        <v>2023</v>
      </c>
      <c r="S258" t="s">
        <v>40</v>
      </c>
    </row>
    <row r="259" spans="1:19" x14ac:dyDescent="0.3">
      <c r="A259" t="s">
        <v>332</v>
      </c>
      <c r="B259" s="1">
        <v>45541</v>
      </c>
      <c r="C259" t="s">
        <v>78</v>
      </c>
      <c r="D259" t="s">
        <v>79</v>
      </c>
      <c r="E259" t="s">
        <v>22</v>
      </c>
      <c r="F259" t="s">
        <v>23</v>
      </c>
      <c r="G259">
        <v>69219.23</v>
      </c>
      <c r="H259">
        <v>45127.67</v>
      </c>
      <c r="I259">
        <v>24091.56</v>
      </c>
      <c r="J259">
        <v>20525.13</v>
      </c>
      <c r="K259">
        <v>72820.33</v>
      </c>
      <c r="L259">
        <v>34751.81</v>
      </c>
      <c r="M259">
        <v>1490</v>
      </c>
      <c r="N259">
        <v>-1.0500000000000001E-2</v>
      </c>
      <c r="O259">
        <v>0.34799999999999998</v>
      </c>
      <c r="P259">
        <v>2.0954000000000002</v>
      </c>
      <c r="Q259" t="s">
        <v>72</v>
      </c>
      <c r="R259">
        <v>2024</v>
      </c>
      <c r="S259" t="s">
        <v>82</v>
      </c>
    </row>
    <row r="260" spans="1:19" x14ac:dyDescent="0.3">
      <c r="A260" t="s">
        <v>333</v>
      </c>
      <c r="B260" s="1">
        <v>45989</v>
      </c>
      <c r="C260" t="s">
        <v>48</v>
      </c>
      <c r="D260" t="s">
        <v>49</v>
      </c>
      <c r="E260" t="s">
        <v>38</v>
      </c>
      <c r="F260" t="s">
        <v>23</v>
      </c>
      <c r="G260">
        <v>73812.070000000007</v>
      </c>
      <c r="H260">
        <v>46628.23</v>
      </c>
      <c r="I260">
        <v>27183.84</v>
      </c>
      <c r="J260">
        <v>16852.3</v>
      </c>
      <c r="K260">
        <v>31924.31</v>
      </c>
      <c r="L260">
        <v>68797.25</v>
      </c>
      <c r="M260">
        <v>448</v>
      </c>
      <c r="N260">
        <v>0.1588</v>
      </c>
      <c r="O260">
        <v>0.36830000000000002</v>
      </c>
      <c r="P260">
        <v>0.46400000000000002</v>
      </c>
      <c r="Q260" t="s">
        <v>66</v>
      </c>
      <c r="R260">
        <v>2025</v>
      </c>
      <c r="S260" t="s">
        <v>40</v>
      </c>
    </row>
    <row r="261" spans="1:19" x14ac:dyDescent="0.3">
      <c r="A261" t="s">
        <v>334</v>
      </c>
      <c r="B261" s="1">
        <v>45149</v>
      </c>
      <c r="C261" t="s">
        <v>30</v>
      </c>
      <c r="D261" t="s">
        <v>31</v>
      </c>
      <c r="E261" t="s">
        <v>32</v>
      </c>
      <c r="F261" t="s">
        <v>33</v>
      </c>
      <c r="G261">
        <v>43333.4</v>
      </c>
      <c r="H261">
        <v>29493.95</v>
      </c>
      <c r="I261">
        <v>13839.45</v>
      </c>
      <c r="J261">
        <v>64248.75</v>
      </c>
      <c r="K261">
        <v>23125.79</v>
      </c>
      <c r="L261">
        <v>183768.58</v>
      </c>
      <c r="M261">
        <v>847</v>
      </c>
      <c r="N261">
        <v>0.12330000000000001</v>
      </c>
      <c r="O261">
        <v>0.31940000000000002</v>
      </c>
      <c r="P261">
        <v>0.1258</v>
      </c>
      <c r="Q261" t="s">
        <v>56</v>
      </c>
      <c r="R261">
        <v>2023</v>
      </c>
      <c r="S261" t="s">
        <v>25</v>
      </c>
    </row>
    <row r="262" spans="1:19" x14ac:dyDescent="0.3">
      <c r="A262" t="s">
        <v>335</v>
      </c>
      <c r="B262" s="1">
        <v>44782</v>
      </c>
      <c r="C262" t="s">
        <v>68</v>
      </c>
      <c r="D262" t="s">
        <v>69</v>
      </c>
      <c r="E262" t="s">
        <v>38</v>
      </c>
      <c r="F262" t="s">
        <v>23</v>
      </c>
      <c r="G262">
        <v>41814.199999999997</v>
      </c>
      <c r="H262">
        <v>32184.68</v>
      </c>
      <c r="I262">
        <v>9629.52</v>
      </c>
      <c r="J262">
        <v>15978.35</v>
      </c>
      <c r="K262">
        <v>28962.11</v>
      </c>
      <c r="L262">
        <v>63198.75</v>
      </c>
      <c r="M262">
        <v>476</v>
      </c>
      <c r="N262">
        <v>-5.9799999999999999E-2</v>
      </c>
      <c r="O262">
        <v>0.2303</v>
      </c>
      <c r="P262">
        <v>0.45829999999999999</v>
      </c>
      <c r="Q262" t="s">
        <v>76</v>
      </c>
      <c r="R262">
        <v>2022</v>
      </c>
      <c r="S262" t="s">
        <v>40</v>
      </c>
    </row>
    <row r="263" spans="1:19" x14ac:dyDescent="0.3">
      <c r="A263" t="s">
        <v>336</v>
      </c>
      <c r="B263" s="1">
        <v>45268</v>
      </c>
      <c r="C263" t="s">
        <v>30</v>
      </c>
      <c r="D263" t="s">
        <v>31</v>
      </c>
      <c r="E263" t="s">
        <v>32</v>
      </c>
      <c r="F263" t="s">
        <v>33</v>
      </c>
      <c r="G263">
        <v>47838.080000000002</v>
      </c>
      <c r="H263">
        <v>40909.769999999997</v>
      </c>
      <c r="I263">
        <v>6928.31</v>
      </c>
      <c r="J263">
        <v>76831.27</v>
      </c>
      <c r="K263">
        <v>2591.6799999999998</v>
      </c>
      <c r="L263">
        <v>229474.46</v>
      </c>
      <c r="M263">
        <v>832</v>
      </c>
      <c r="N263">
        <v>0.06</v>
      </c>
      <c r="O263">
        <v>0.14480000000000001</v>
      </c>
      <c r="P263">
        <v>1.1299999999999999E-2</v>
      </c>
      <c r="Q263" t="s">
        <v>44</v>
      </c>
      <c r="R263">
        <v>2023</v>
      </c>
      <c r="S263" t="s">
        <v>25</v>
      </c>
    </row>
    <row r="264" spans="1:19" x14ac:dyDescent="0.3">
      <c r="A264" t="s">
        <v>337</v>
      </c>
      <c r="B264" s="1">
        <v>45386</v>
      </c>
      <c r="C264" t="s">
        <v>27</v>
      </c>
      <c r="D264" t="s">
        <v>28</v>
      </c>
      <c r="E264" t="s">
        <v>22</v>
      </c>
      <c r="F264" t="s">
        <v>23</v>
      </c>
      <c r="G264">
        <v>47935.71</v>
      </c>
      <c r="H264">
        <v>32788.28</v>
      </c>
      <c r="I264">
        <v>15147.43</v>
      </c>
      <c r="J264">
        <v>36090.03</v>
      </c>
      <c r="K264">
        <v>13451.74</v>
      </c>
      <c r="L264">
        <v>133259.48000000001</v>
      </c>
      <c r="M264">
        <v>1404</v>
      </c>
      <c r="N264">
        <v>-2.2000000000000001E-3</v>
      </c>
      <c r="O264">
        <v>0.316</v>
      </c>
      <c r="P264">
        <v>0.1009</v>
      </c>
      <c r="Q264" t="s">
        <v>111</v>
      </c>
      <c r="R264">
        <v>2024</v>
      </c>
      <c r="S264" t="s">
        <v>25</v>
      </c>
    </row>
    <row r="265" spans="1:19" x14ac:dyDescent="0.3">
      <c r="A265" t="s">
        <v>338</v>
      </c>
      <c r="B265" s="1">
        <v>45405</v>
      </c>
      <c r="C265" t="s">
        <v>85</v>
      </c>
      <c r="D265" t="s">
        <v>86</v>
      </c>
      <c r="E265" t="s">
        <v>22</v>
      </c>
      <c r="F265" t="s">
        <v>23</v>
      </c>
      <c r="G265">
        <v>113731.15</v>
      </c>
      <c r="H265">
        <v>93771.520000000004</v>
      </c>
      <c r="I265">
        <v>19959.63</v>
      </c>
      <c r="J265">
        <v>14703.55</v>
      </c>
      <c r="K265">
        <v>21995.99</v>
      </c>
      <c r="L265">
        <v>154818.38</v>
      </c>
      <c r="M265">
        <v>556</v>
      </c>
      <c r="N265">
        <v>-7.9899999999999999E-2</v>
      </c>
      <c r="O265">
        <v>0.17549999999999999</v>
      </c>
      <c r="P265">
        <v>0.1421</v>
      </c>
      <c r="Q265" t="s">
        <v>111</v>
      </c>
      <c r="R265">
        <v>2024</v>
      </c>
      <c r="S265" t="s">
        <v>25</v>
      </c>
    </row>
    <row r="266" spans="1:19" x14ac:dyDescent="0.3">
      <c r="A266" t="s">
        <v>339</v>
      </c>
      <c r="B266" s="1">
        <v>44767</v>
      </c>
      <c r="C266" t="s">
        <v>78</v>
      </c>
      <c r="D266" t="s">
        <v>79</v>
      </c>
      <c r="E266" t="s">
        <v>38</v>
      </c>
      <c r="F266" t="s">
        <v>23</v>
      </c>
      <c r="G266">
        <v>57924.98</v>
      </c>
      <c r="H266">
        <v>53281.2</v>
      </c>
      <c r="I266">
        <v>4643.78</v>
      </c>
      <c r="J266">
        <v>18456.259999999998</v>
      </c>
      <c r="K266">
        <v>8942.91</v>
      </c>
      <c r="L266">
        <v>60726.31</v>
      </c>
      <c r="M266">
        <v>1006</v>
      </c>
      <c r="N266">
        <v>0.12770000000000001</v>
      </c>
      <c r="O266">
        <v>8.0199999999999994E-2</v>
      </c>
      <c r="P266">
        <v>0.14729999999999999</v>
      </c>
      <c r="Q266" t="s">
        <v>76</v>
      </c>
      <c r="R266">
        <v>2022</v>
      </c>
      <c r="S266" t="s">
        <v>25</v>
      </c>
    </row>
    <row r="267" spans="1:19" x14ac:dyDescent="0.3">
      <c r="A267" t="s">
        <v>340</v>
      </c>
      <c r="B267" s="1">
        <v>45499</v>
      </c>
      <c r="C267" t="s">
        <v>102</v>
      </c>
      <c r="D267" t="s">
        <v>103</v>
      </c>
      <c r="E267" t="s">
        <v>22</v>
      </c>
      <c r="F267" t="s">
        <v>23</v>
      </c>
      <c r="G267">
        <v>42625.64</v>
      </c>
      <c r="H267">
        <v>35755.82</v>
      </c>
      <c r="I267">
        <v>6869.82</v>
      </c>
      <c r="J267">
        <v>47370.73</v>
      </c>
      <c r="K267">
        <v>42394.94</v>
      </c>
      <c r="L267">
        <v>112165.62</v>
      </c>
      <c r="M267">
        <v>439</v>
      </c>
      <c r="N267">
        <v>6.9500000000000006E-2</v>
      </c>
      <c r="O267">
        <v>0.16120000000000001</v>
      </c>
      <c r="P267">
        <v>0.378</v>
      </c>
      <c r="Q267" t="s">
        <v>72</v>
      </c>
      <c r="R267">
        <v>2024</v>
      </c>
      <c r="S267" t="s">
        <v>40</v>
      </c>
    </row>
    <row r="268" spans="1:19" x14ac:dyDescent="0.3">
      <c r="A268" t="s">
        <v>341</v>
      </c>
      <c r="B268" s="1">
        <v>45430</v>
      </c>
      <c r="C268" t="s">
        <v>78</v>
      </c>
      <c r="D268" t="s">
        <v>79</v>
      </c>
      <c r="E268" t="s">
        <v>38</v>
      </c>
      <c r="F268" t="s">
        <v>23</v>
      </c>
      <c r="G268">
        <v>74731.960000000006</v>
      </c>
      <c r="H268">
        <v>55173.82</v>
      </c>
      <c r="I268">
        <v>19558.14</v>
      </c>
      <c r="J268">
        <v>16825.93</v>
      </c>
      <c r="K268">
        <v>43712.02</v>
      </c>
      <c r="L268">
        <v>69013.649999999994</v>
      </c>
      <c r="M268">
        <v>1141</v>
      </c>
      <c r="N268">
        <v>7.6600000000000001E-2</v>
      </c>
      <c r="O268">
        <v>0.26169999999999999</v>
      </c>
      <c r="P268">
        <v>0.63339999999999996</v>
      </c>
      <c r="Q268" t="s">
        <v>111</v>
      </c>
      <c r="R268">
        <v>2024</v>
      </c>
      <c r="S268" t="s">
        <v>82</v>
      </c>
    </row>
    <row r="269" spans="1:19" x14ac:dyDescent="0.3">
      <c r="A269" t="s">
        <v>342</v>
      </c>
      <c r="B269" s="1">
        <v>45586</v>
      </c>
      <c r="C269" t="s">
        <v>20</v>
      </c>
      <c r="D269" t="s">
        <v>21</v>
      </c>
      <c r="E269" t="s">
        <v>32</v>
      </c>
      <c r="F269" t="s">
        <v>33</v>
      </c>
      <c r="G269">
        <v>55739.43</v>
      </c>
      <c r="H269">
        <v>31293.09</v>
      </c>
      <c r="I269">
        <v>24446.34</v>
      </c>
      <c r="J269">
        <v>63549.01</v>
      </c>
      <c r="K269">
        <v>44956.58</v>
      </c>
      <c r="L269">
        <v>89516.75</v>
      </c>
      <c r="N269">
        <v>9.5600000000000004E-2</v>
      </c>
      <c r="O269">
        <v>0.43859999999999999</v>
      </c>
      <c r="P269">
        <v>0.50219999999999998</v>
      </c>
      <c r="Q269" t="s">
        <v>52</v>
      </c>
      <c r="R269">
        <v>2024</v>
      </c>
      <c r="S269" t="s">
        <v>40</v>
      </c>
    </row>
    <row r="270" spans="1:19" x14ac:dyDescent="0.3">
      <c r="A270" t="s">
        <v>343</v>
      </c>
      <c r="B270" s="1">
        <v>45524</v>
      </c>
      <c r="C270" t="s">
        <v>20</v>
      </c>
      <c r="D270" t="s">
        <v>21</v>
      </c>
      <c r="E270" t="s">
        <v>32</v>
      </c>
      <c r="F270" t="s">
        <v>33</v>
      </c>
      <c r="G270">
        <v>169297.42</v>
      </c>
      <c r="H270">
        <v>117370.14</v>
      </c>
      <c r="I270">
        <v>51927.28</v>
      </c>
      <c r="J270">
        <v>3069.38</v>
      </c>
      <c r="K270">
        <v>19548.98</v>
      </c>
      <c r="L270">
        <v>78042.740000000005</v>
      </c>
      <c r="M270">
        <v>1117</v>
      </c>
      <c r="N270">
        <v>0.1036</v>
      </c>
      <c r="O270">
        <v>0.30669999999999997</v>
      </c>
      <c r="P270">
        <v>0.2505</v>
      </c>
      <c r="Q270" t="s">
        <v>72</v>
      </c>
      <c r="R270">
        <v>2024</v>
      </c>
      <c r="S270" t="s">
        <v>25</v>
      </c>
    </row>
    <row r="271" spans="1:19" x14ac:dyDescent="0.3">
      <c r="A271" t="s">
        <v>344</v>
      </c>
      <c r="B271" s="1">
        <v>45289</v>
      </c>
      <c r="C271" t="s">
        <v>68</v>
      </c>
      <c r="D271" t="s">
        <v>69</v>
      </c>
      <c r="E271" t="s">
        <v>32</v>
      </c>
      <c r="F271" t="s">
        <v>33</v>
      </c>
      <c r="G271">
        <v>130450.49</v>
      </c>
      <c r="H271">
        <v>98122.15</v>
      </c>
      <c r="I271">
        <v>32328.34</v>
      </c>
      <c r="J271">
        <v>49150.559999999998</v>
      </c>
      <c r="K271">
        <v>115309.9</v>
      </c>
      <c r="L271">
        <v>110845.2</v>
      </c>
      <c r="M271">
        <v>806</v>
      </c>
      <c r="N271">
        <v>3.0200000000000001E-2</v>
      </c>
      <c r="O271">
        <v>0.24779999999999999</v>
      </c>
      <c r="P271">
        <v>1.0403</v>
      </c>
      <c r="Q271" t="s">
        <v>44</v>
      </c>
      <c r="R271">
        <v>2023</v>
      </c>
      <c r="S271" t="s">
        <v>82</v>
      </c>
    </row>
    <row r="272" spans="1:19" x14ac:dyDescent="0.3">
      <c r="A272" t="s">
        <v>345</v>
      </c>
      <c r="B272" s="1">
        <v>45452</v>
      </c>
      <c r="C272" t="s">
        <v>30</v>
      </c>
      <c r="D272" t="s">
        <v>31</v>
      </c>
      <c r="E272" t="s">
        <v>51</v>
      </c>
      <c r="F272" t="s">
        <v>23</v>
      </c>
      <c r="G272">
        <v>82591.05</v>
      </c>
      <c r="H272">
        <v>66117.97</v>
      </c>
      <c r="I272">
        <v>16473.080000000002</v>
      </c>
      <c r="J272">
        <v>38597.72</v>
      </c>
      <c r="K272">
        <v>8173.72</v>
      </c>
      <c r="L272">
        <v>166777.51999999999</v>
      </c>
      <c r="M272">
        <v>900</v>
      </c>
      <c r="N272">
        <v>0.1115</v>
      </c>
      <c r="O272">
        <v>0.19950000000000001</v>
      </c>
      <c r="P272">
        <v>4.9000000000000002E-2</v>
      </c>
      <c r="Q272" t="s">
        <v>111</v>
      </c>
      <c r="R272">
        <v>2024</v>
      </c>
      <c r="S272" t="s">
        <v>25</v>
      </c>
    </row>
    <row r="273" spans="1:19" x14ac:dyDescent="0.3">
      <c r="A273" t="s">
        <v>346</v>
      </c>
      <c r="B273" s="1">
        <v>44936</v>
      </c>
      <c r="C273" t="s">
        <v>102</v>
      </c>
      <c r="E273" t="s">
        <v>38</v>
      </c>
      <c r="F273" t="s">
        <v>23</v>
      </c>
      <c r="G273">
        <v>160775.39000000001</v>
      </c>
      <c r="H273">
        <v>142326.76999999999</v>
      </c>
      <c r="I273">
        <v>18448.62</v>
      </c>
      <c r="J273">
        <v>39453.39</v>
      </c>
      <c r="K273">
        <v>28446.99</v>
      </c>
      <c r="L273">
        <v>76509.06</v>
      </c>
      <c r="M273">
        <v>571</v>
      </c>
      <c r="N273">
        <v>-7.2599999999999998E-2</v>
      </c>
      <c r="O273">
        <v>0.1147</v>
      </c>
      <c r="P273">
        <v>0.37180000000000002</v>
      </c>
      <c r="Q273" t="s">
        <v>118</v>
      </c>
      <c r="R273">
        <v>2023</v>
      </c>
      <c r="S273" t="s">
        <v>40</v>
      </c>
    </row>
    <row r="274" spans="1:19" x14ac:dyDescent="0.3">
      <c r="A274" t="s">
        <v>347</v>
      </c>
      <c r="B274" s="1">
        <v>45463</v>
      </c>
      <c r="C274" t="s">
        <v>54</v>
      </c>
      <c r="D274" t="s">
        <v>55</v>
      </c>
      <c r="E274" t="s">
        <v>32</v>
      </c>
      <c r="F274" t="s">
        <v>33</v>
      </c>
      <c r="G274">
        <v>161383.13</v>
      </c>
      <c r="H274">
        <v>112915.76</v>
      </c>
      <c r="I274">
        <v>48467.37</v>
      </c>
      <c r="J274">
        <v>17891.68</v>
      </c>
      <c r="K274">
        <v>17524.560000000001</v>
      </c>
      <c r="L274">
        <v>34530.300000000003</v>
      </c>
      <c r="M274">
        <v>543</v>
      </c>
      <c r="N274">
        <v>0.1027</v>
      </c>
      <c r="O274">
        <v>0.30030000000000001</v>
      </c>
      <c r="P274">
        <v>0.50749999999999995</v>
      </c>
      <c r="Q274" t="s">
        <v>111</v>
      </c>
      <c r="R274">
        <v>2024</v>
      </c>
      <c r="S274" t="s">
        <v>40</v>
      </c>
    </row>
    <row r="275" spans="1:19" x14ac:dyDescent="0.3">
      <c r="A275" t="s">
        <v>348</v>
      </c>
      <c r="B275" s="1">
        <v>45013</v>
      </c>
      <c r="C275" t="s">
        <v>68</v>
      </c>
      <c r="D275" t="s">
        <v>69</v>
      </c>
      <c r="E275" t="s">
        <v>38</v>
      </c>
      <c r="F275" t="s">
        <v>23</v>
      </c>
      <c r="G275">
        <v>50850.92</v>
      </c>
      <c r="H275">
        <v>42662.32</v>
      </c>
      <c r="I275">
        <v>8188.6</v>
      </c>
      <c r="J275">
        <v>41691.040000000001</v>
      </c>
      <c r="K275">
        <v>39288.93</v>
      </c>
      <c r="L275">
        <v>204729.59</v>
      </c>
      <c r="M275">
        <v>886</v>
      </c>
      <c r="N275">
        <v>-0.01</v>
      </c>
      <c r="O275">
        <v>0.161</v>
      </c>
      <c r="P275">
        <v>0.19189999999999999</v>
      </c>
      <c r="Q275" t="s">
        <v>118</v>
      </c>
      <c r="R275">
        <v>2023</v>
      </c>
      <c r="S275" t="s">
        <v>25</v>
      </c>
    </row>
    <row r="276" spans="1:19" x14ac:dyDescent="0.3">
      <c r="A276" t="s">
        <v>349</v>
      </c>
      <c r="B276" s="1">
        <v>45079</v>
      </c>
      <c r="C276" t="s">
        <v>61</v>
      </c>
      <c r="D276" t="s">
        <v>74</v>
      </c>
      <c r="E276" t="s">
        <v>38</v>
      </c>
      <c r="F276" t="s">
        <v>23</v>
      </c>
      <c r="G276">
        <v>94118.57</v>
      </c>
      <c r="H276">
        <v>71109.72</v>
      </c>
      <c r="I276">
        <v>23008.85</v>
      </c>
      <c r="J276">
        <v>33762.6</v>
      </c>
      <c r="K276">
        <v>35344.629999999997</v>
      </c>
      <c r="L276">
        <v>56559.06</v>
      </c>
      <c r="N276">
        <v>-9.8299999999999998E-2</v>
      </c>
      <c r="O276">
        <v>0.2445</v>
      </c>
      <c r="P276">
        <v>0.62490000000000001</v>
      </c>
      <c r="Q276" t="s">
        <v>39</v>
      </c>
      <c r="R276">
        <v>2023</v>
      </c>
      <c r="S276" t="s">
        <v>82</v>
      </c>
    </row>
    <row r="277" spans="1:19" x14ac:dyDescent="0.3">
      <c r="A277" t="s">
        <v>350</v>
      </c>
      <c r="B277" s="1">
        <v>45339</v>
      </c>
      <c r="C277" t="s">
        <v>20</v>
      </c>
      <c r="D277" t="s">
        <v>21</v>
      </c>
      <c r="E277" t="s">
        <v>38</v>
      </c>
      <c r="F277" t="s">
        <v>23</v>
      </c>
      <c r="G277">
        <v>221608.57</v>
      </c>
      <c r="H277">
        <v>173599.11</v>
      </c>
      <c r="I277">
        <v>48009.46</v>
      </c>
      <c r="J277">
        <v>35720.15</v>
      </c>
      <c r="K277">
        <v>120258.43</v>
      </c>
      <c r="L277">
        <v>122137.35</v>
      </c>
      <c r="M277">
        <v>1021</v>
      </c>
      <c r="N277">
        <v>-7.0000000000000007E-2</v>
      </c>
      <c r="O277">
        <v>0.21659999999999999</v>
      </c>
      <c r="P277">
        <v>0.98460000000000003</v>
      </c>
      <c r="Q277" t="s">
        <v>80</v>
      </c>
      <c r="R277">
        <v>2024</v>
      </c>
      <c r="S277" t="s">
        <v>82</v>
      </c>
    </row>
    <row r="278" spans="1:19" x14ac:dyDescent="0.3">
      <c r="A278" t="s">
        <v>351</v>
      </c>
      <c r="B278" s="1">
        <v>44791</v>
      </c>
      <c r="C278" t="s">
        <v>54</v>
      </c>
      <c r="D278" t="s">
        <v>55</v>
      </c>
      <c r="E278" t="s">
        <v>38</v>
      </c>
      <c r="F278" t="s">
        <v>23</v>
      </c>
      <c r="G278">
        <v>67791.39</v>
      </c>
      <c r="H278">
        <v>54737.83</v>
      </c>
      <c r="I278">
        <v>13053.56</v>
      </c>
      <c r="J278">
        <v>19807.95</v>
      </c>
      <c r="K278">
        <v>13243.16</v>
      </c>
      <c r="L278">
        <v>75724.7</v>
      </c>
      <c r="M278">
        <v>2254</v>
      </c>
      <c r="N278">
        <v>6.7799999999999999E-2</v>
      </c>
      <c r="O278">
        <v>0.19259999999999999</v>
      </c>
      <c r="P278">
        <v>0.1749</v>
      </c>
      <c r="Q278" t="s">
        <v>76</v>
      </c>
      <c r="R278">
        <v>2022</v>
      </c>
      <c r="S278" t="s">
        <v>25</v>
      </c>
    </row>
    <row r="279" spans="1:19" x14ac:dyDescent="0.3">
      <c r="A279" t="s">
        <v>352</v>
      </c>
      <c r="B279" s="1">
        <v>45868</v>
      </c>
      <c r="C279" t="s">
        <v>85</v>
      </c>
      <c r="D279" t="s">
        <v>86</v>
      </c>
      <c r="E279" t="s">
        <v>51</v>
      </c>
      <c r="F279" t="s">
        <v>23</v>
      </c>
      <c r="G279">
        <v>158489.31</v>
      </c>
      <c r="H279">
        <v>122940.59</v>
      </c>
      <c r="I279">
        <v>35548.720000000001</v>
      </c>
      <c r="J279">
        <v>66807.66</v>
      </c>
      <c r="K279">
        <v>10959.52</v>
      </c>
      <c r="L279">
        <v>96895.39</v>
      </c>
      <c r="M279">
        <v>1419</v>
      </c>
      <c r="N279">
        <v>3.04E-2</v>
      </c>
      <c r="O279">
        <v>0.2243</v>
      </c>
      <c r="P279">
        <v>0.11310000000000001</v>
      </c>
      <c r="Q279" t="s">
        <v>24</v>
      </c>
      <c r="R279">
        <v>2025</v>
      </c>
      <c r="S279" t="s">
        <v>25</v>
      </c>
    </row>
    <row r="280" spans="1:19" x14ac:dyDescent="0.3">
      <c r="A280" t="s">
        <v>353</v>
      </c>
      <c r="B280" s="1">
        <v>44827</v>
      </c>
      <c r="C280" t="s">
        <v>48</v>
      </c>
      <c r="D280" t="s">
        <v>49</v>
      </c>
      <c r="E280" t="s">
        <v>38</v>
      </c>
      <c r="F280" t="s">
        <v>23</v>
      </c>
      <c r="G280">
        <v>31495.02</v>
      </c>
      <c r="H280">
        <v>28265.24</v>
      </c>
      <c r="I280">
        <v>3229.78</v>
      </c>
      <c r="J280">
        <v>46861.74</v>
      </c>
      <c r="K280">
        <v>8470.85</v>
      </c>
      <c r="L280">
        <v>221900.02</v>
      </c>
      <c r="M280">
        <v>957</v>
      </c>
      <c r="N280">
        <v>-2.76E-2</v>
      </c>
      <c r="O280">
        <v>0.10249999999999999</v>
      </c>
      <c r="P280">
        <v>3.8199999999999998E-2</v>
      </c>
      <c r="Q280" t="s">
        <v>76</v>
      </c>
      <c r="R280">
        <v>2022</v>
      </c>
      <c r="S280" t="s">
        <v>25</v>
      </c>
    </row>
    <row r="281" spans="1:19" x14ac:dyDescent="0.3">
      <c r="A281" t="s">
        <v>354</v>
      </c>
      <c r="B281" s="1">
        <v>45722</v>
      </c>
      <c r="C281" t="s">
        <v>42</v>
      </c>
      <c r="D281" t="s">
        <v>43</v>
      </c>
      <c r="E281" t="s">
        <v>51</v>
      </c>
      <c r="F281" t="s">
        <v>23</v>
      </c>
      <c r="G281">
        <v>106068.18</v>
      </c>
      <c r="H281">
        <v>73997.73</v>
      </c>
      <c r="I281">
        <v>32070.45</v>
      </c>
      <c r="J281">
        <v>31459.81</v>
      </c>
      <c r="K281">
        <v>19765.5</v>
      </c>
      <c r="L281">
        <v>113530.76</v>
      </c>
      <c r="M281">
        <v>608</v>
      </c>
      <c r="N281">
        <v>-5.9999999999999995E-4</v>
      </c>
      <c r="O281">
        <v>0.3024</v>
      </c>
      <c r="P281">
        <v>0.1741</v>
      </c>
      <c r="Q281" t="s">
        <v>106</v>
      </c>
      <c r="R281">
        <v>2025</v>
      </c>
      <c r="S281" t="s">
        <v>25</v>
      </c>
    </row>
    <row r="282" spans="1:19" x14ac:dyDescent="0.3">
      <c r="A282" t="s">
        <v>355</v>
      </c>
      <c r="B282" s="1">
        <v>45994</v>
      </c>
      <c r="C282" t="s">
        <v>54</v>
      </c>
      <c r="D282" t="s">
        <v>55</v>
      </c>
      <c r="E282" t="s">
        <v>38</v>
      </c>
      <c r="F282" t="s">
        <v>23</v>
      </c>
      <c r="H282">
        <v>18306</v>
      </c>
      <c r="J282">
        <v>24165.85</v>
      </c>
      <c r="K282">
        <v>109061.49</v>
      </c>
      <c r="L282">
        <v>192901.84</v>
      </c>
      <c r="M282">
        <v>501</v>
      </c>
      <c r="N282">
        <v>6.1699999999999998E-2</v>
      </c>
      <c r="P282">
        <v>0.56540000000000001</v>
      </c>
      <c r="Q282" t="s">
        <v>66</v>
      </c>
      <c r="R282">
        <v>2025</v>
      </c>
      <c r="S282" t="s">
        <v>40</v>
      </c>
    </row>
    <row r="283" spans="1:19" x14ac:dyDescent="0.3">
      <c r="A283" t="s">
        <v>356</v>
      </c>
      <c r="B283" s="1">
        <v>44600</v>
      </c>
      <c r="C283" t="s">
        <v>42</v>
      </c>
      <c r="D283" t="s">
        <v>43</v>
      </c>
      <c r="E283" t="s">
        <v>38</v>
      </c>
      <c r="F283" t="s">
        <v>23</v>
      </c>
      <c r="G283">
        <v>88543.19</v>
      </c>
      <c r="H283">
        <v>72900.05</v>
      </c>
      <c r="I283">
        <v>15643.14</v>
      </c>
      <c r="J283">
        <v>27886.959999999999</v>
      </c>
      <c r="K283">
        <v>15384.51</v>
      </c>
      <c r="L283">
        <v>59053.87</v>
      </c>
      <c r="N283">
        <v>-1.26E-2</v>
      </c>
      <c r="O283">
        <v>0.1767</v>
      </c>
      <c r="P283">
        <v>0.26050000000000001</v>
      </c>
      <c r="Q283" t="s">
        <v>90</v>
      </c>
      <c r="R283">
        <v>2022</v>
      </c>
      <c r="S283" t="s">
        <v>25</v>
      </c>
    </row>
    <row r="284" spans="1:19" x14ac:dyDescent="0.3">
      <c r="A284" t="s">
        <v>357</v>
      </c>
      <c r="B284" s="1">
        <v>44899</v>
      </c>
      <c r="C284" t="s">
        <v>61</v>
      </c>
      <c r="D284" t="s">
        <v>74</v>
      </c>
      <c r="E284" t="s">
        <v>32</v>
      </c>
      <c r="F284" t="s">
        <v>33</v>
      </c>
      <c r="G284">
        <v>27978.86</v>
      </c>
      <c r="H284">
        <v>24549.68</v>
      </c>
      <c r="I284">
        <v>3429.18</v>
      </c>
      <c r="J284">
        <v>14883.53</v>
      </c>
      <c r="K284">
        <v>24167.47</v>
      </c>
      <c r="L284">
        <v>24726.29</v>
      </c>
      <c r="M284">
        <v>1356</v>
      </c>
      <c r="N284">
        <v>-4.2000000000000003E-2</v>
      </c>
      <c r="O284">
        <v>0.1226</v>
      </c>
      <c r="P284">
        <v>0.97740000000000005</v>
      </c>
      <c r="Q284" t="s">
        <v>46</v>
      </c>
      <c r="R284">
        <v>2022</v>
      </c>
      <c r="S284" t="s">
        <v>82</v>
      </c>
    </row>
    <row r="285" spans="1:19" x14ac:dyDescent="0.3">
      <c r="A285" t="s">
        <v>358</v>
      </c>
      <c r="B285" s="1">
        <v>45394</v>
      </c>
      <c r="C285" t="s">
        <v>30</v>
      </c>
      <c r="D285" t="s">
        <v>31</v>
      </c>
      <c r="E285" t="s">
        <v>22</v>
      </c>
      <c r="F285" t="s">
        <v>23</v>
      </c>
      <c r="G285">
        <v>138056.63</v>
      </c>
      <c r="H285">
        <v>97768.03</v>
      </c>
      <c r="I285">
        <v>40288.6</v>
      </c>
      <c r="J285">
        <v>19399.62</v>
      </c>
      <c r="K285">
        <v>43395.98</v>
      </c>
      <c r="L285">
        <v>57985.37</v>
      </c>
      <c r="M285">
        <v>1318</v>
      </c>
      <c r="N285">
        <v>-1.9199999999999998E-2</v>
      </c>
      <c r="O285">
        <v>0.2918</v>
      </c>
      <c r="P285">
        <v>0.74839999999999995</v>
      </c>
      <c r="Q285" t="s">
        <v>111</v>
      </c>
      <c r="R285">
        <v>2024</v>
      </c>
      <c r="S285" t="s">
        <v>82</v>
      </c>
    </row>
    <row r="286" spans="1:19" x14ac:dyDescent="0.3">
      <c r="A286" t="s">
        <v>359</v>
      </c>
      <c r="B286" s="3">
        <v>45210</v>
      </c>
      <c r="C286" t="s">
        <v>48</v>
      </c>
      <c r="D286" t="s">
        <v>49</v>
      </c>
      <c r="E286" t="s">
        <v>22</v>
      </c>
      <c r="F286" t="s">
        <v>23</v>
      </c>
      <c r="G286">
        <v>140023.32999999999</v>
      </c>
      <c r="H286">
        <v>110064.37</v>
      </c>
      <c r="I286">
        <v>29958.959999999999</v>
      </c>
      <c r="J286">
        <v>27834.91</v>
      </c>
      <c r="K286">
        <v>26856.6</v>
      </c>
      <c r="L286">
        <v>183279.44</v>
      </c>
      <c r="M286">
        <v>534</v>
      </c>
      <c r="N286">
        <v>1.8499999999999999E-2</v>
      </c>
      <c r="O286">
        <v>0.214</v>
      </c>
      <c r="P286">
        <v>0.14649999999999999</v>
      </c>
      <c r="Q286" t="s">
        <v>44</v>
      </c>
      <c r="R286">
        <v>2023</v>
      </c>
      <c r="S286" t="s">
        <v>25</v>
      </c>
    </row>
    <row r="287" spans="1:19" x14ac:dyDescent="0.3">
      <c r="A287" t="s">
        <v>360</v>
      </c>
      <c r="B287" s="1">
        <v>44624</v>
      </c>
      <c r="C287" t="s">
        <v>36</v>
      </c>
      <c r="D287" t="s">
        <v>37</v>
      </c>
      <c r="E287" t="s">
        <v>32</v>
      </c>
      <c r="F287" t="s">
        <v>33</v>
      </c>
      <c r="G287">
        <v>53563.16</v>
      </c>
      <c r="H287">
        <v>29894.02</v>
      </c>
      <c r="I287">
        <v>23669.14</v>
      </c>
      <c r="J287">
        <v>9495.25</v>
      </c>
      <c r="K287">
        <v>27455.200000000001</v>
      </c>
      <c r="L287">
        <v>23684.57</v>
      </c>
      <c r="M287">
        <v>892</v>
      </c>
      <c r="N287">
        <v>-4.1700000000000001E-2</v>
      </c>
      <c r="O287">
        <v>0.44190000000000002</v>
      </c>
      <c r="P287">
        <v>1.1592</v>
      </c>
      <c r="Q287" t="s">
        <v>90</v>
      </c>
      <c r="R287">
        <v>2022</v>
      </c>
      <c r="S287" t="s">
        <v>82</v>
      </c>
    </row>
    <row r="288" spans="1:19" x14ac:dyDescent="0.3">
      <c r="A288" t="s">
        <v>361</v>
      </c>
      <c r="B288" s="1">
        <v>45714</v>
      </c>
      <c r="C288" t="s">
        <v>42</v>
      </c>
      <c r="D288" t="s">
        <v>43</v>
      </c>
      <c r="E288" t="s">
        <v>38</v>
      </c>
      <c r="F288" t="s">
        <v>23</v>
      </c>
      <c r="G288">
        <v>53075.47</v>
      </c>
      <c r="H288">
        <v>42057.760000000002</v>
      </c>
      <c r="I288">
        <v>11017.71</v>
      </c>
      <c r="J288">
        <v>90268.37</v>
      </c>
      <c r="K288">
        <v>15376.71</v>
      </c>
      <c r="L288">
        <v>131655.76</v>
      </c>
      <c r="M288">
        <v>1146</v>
      </c>
      <c r="N288">
        <v>-6.7900000000000002E-2</v>
      </c>
      <c r="O288">
        <v>0.20760000000000001</v>
      </c>
      <c r="P288">
        <v>0.1168</v>
      </c>
      <c r="Q288" t="s">
        <v>106</v>
      </c>
      <c r="R288">
        <v>2025</v>
      </c>
      <c r="S288" t="s">
        <v>25</v>
      </c>
    </row>
    <row r="289" spans="1:19" x14ac:dyDescent="0.3">
      <c r="A289" t="s">
        <v>362</v>
      </c>
      <c r="B289" s="1">
        <v>44864</v>
      </c>
      <c r="C289" t="s">
        <v>20</v>
      </c>
      <c r="D289" t="s">
        <v>21</v>
      </c>
      <c r="E289" t="s">
        <v>22</v>
      </c>
      <c r="F289" t="s">
        <v>23</v>
      </c>
      <c r="G289">
        <v>46567.93</v>
      </c>
      <c r="H289">
        <v>30595.1</v>
      </c>
      <c r="I289">
        <v>15972.83</v>
      </c>
      <c r="J289">
        <v>41397.910000000003</v>
      </c>
      <c r="K289">
        <v>11292.34</v>
      </c>
      <c r="L289">
        <v>73637.23</v>
      </c>
      <c r="M289">
        <v>3384</v>
      </c>
      <c r="N289">
        <v>0.10340000000000001</v>
      </c>
      <c r="O289">
        <v>0.34300000000000003</v>
      </c>
      <c r="P289">
        <v>0.15340000000000001</v>
      </c>
      <c r="Q289" t="s">
        <v>46</v>
      </c>
      <c r="R289">
        <v>2022</v>
      </c>
      <c r="S289" t="s">
        <v>25</v>
      </c>
    </row>
    <row r="290" spans="1:19" x14ac:dyDescent="0.3">
      <c r="A290" t="s">
        <v>363</v>
      </c>
      <c r="B290" s="1">
        <v>44613</v>
      </c>
      <c r="C290" t="s">
        <v>27</v>
      </c>
      <c r="D290" t="s">
        <v>28</v>
      </c>
      <c r="E290" t="s">
        <v>22</v>
      </c>
      <c r="F290" t="s">
        <v>23</v>
      </c>
      <c r="G290">
        <v>78585.58</v>
      </c>
      <c r="H290">
        <v>49504.38</v>
      </c>
      <c r="I290">
        <v>29081.200000000001</v>
      </c>
      <c r="J290">
        <v>35881.96</v>
      </c>
      <c r="K290">
        <v>42155.55</v>
      </c>
      <c r="L290">
        <v>130237.1</v>
      </c>
      <c r="M290">
        <v>481</v>
      </c>
      <c r="N290">
        <v>0.1187</v>
      </c>
      <c r="O290">
        <v>0.37009999999999998</v>
      </c>
      <c r="P290">
        <v>0.32369999999999999</v>
      </c>
      <c r="Q290" t="s">
        <v>90</v>
      </c>
      <c r="R290">
        <v>2022</v>
      </c>
      <c r="S290" t="s">
        <v>40</v>
      </c>
    </row>
    <row r="291" spans="1:19" x14ac:dyDescent="0.3">
      <c r="A291" t="s">
        <v>364</v>
      </c>
      <c r="B291" s="1">
        <v>44658</v>
      </c>
      <c r="C291" t="s">
        <v>61</v>
      </c>
      <c r="D291" t="s">
        <v>74</v>
      </c>
      <c r="E291" t="s">
        <v>51</v>
      </c>
      <c r="F291" t="s">
        <v>23</v>
      </c>
      <c r="G291">
        <v>110705.95</v>
      </c>
      <c r="H291">
        <v>64068.53</v>
      </c>
      <c r="I291">
        <v>46637.42</v>
      </c>
      <c r="J291">
        <v>26884.23</v>
      </c>
      <c r="K291">
        <v>18402.5</v>
      </c>
      <c r="L291">
        <v>156825.63</v>
      </c>
      <c r="M291">
        <v>1722</v>
      </c>
      <c r="N291">
        <v>1.7999999999999999E-2</v>
      </c>
      <c r="O291">
        <v>0.42130000000000001</v>
      </c>
      <c r="P291">
        <v>0.1173</v>
      </c>
      <c r="Q291" t="s">
        <v>58</v>
      </c>
      <c r="R291">
        <v>2022</v>
      </c>
      <c r="S291" t="s">
        <v>25</v>
      </c>
    </row>
    <row r="292" spans="1:19" x14ac:dyDescent="0.3">
      <c r="A292" t="s">
        <v>365</v>
      </c>
      <c r="B292" s="1">
        <v>45032</v>
      </c>
      <c r="C292" t="s">
        <v>20</v>
      </c>
      <c r="D292" t="s">
        <v>21</v>
      </c>
      <c r="E292" t="s">
        <v>22</v>
      </c>
      <c r="F292" t="s">
        <v>23</v>
      </c>
      <c r="G292">
        <v>15731.5</v>
      </c>
      <c r="H292">
        <v>8729.4599999999991</v>
      </c>
      <c r="I292">
        <v>7002.04</v>
      </c>
      <c r="J292">
        <v>15699.36</v>
      </c>
      <c r="K292">
        <v>20054.66</v>
      </c>
      <c r="L292">
        <v>30805.69</v>
      </c>
      <c r="M292">
        <v>1840</v>
      </c>
      <c r="N292">
        <v>-3.7900000000000003E-2</v>
      </c>
      <c r="O292">
        <v>0.4451</v>
      </c>
      <c r="P292">
        <v>0.65100000000000002</v>
      </c>
      <c r="Q292" t="s">
        <v>39</v>
      </c>
      <c r="R292">
        <v>2023</v>
      </c>
      <c r="S292" t="s">
        <v>82</v>
      </c>
    </row>
    <row r="293" spans="1:19" x14ac:dyDescent="0.3">
      <c r="A293" t="s">
        <v>366</v>
      </c>
      <c r="B293" s="1">
        <v>45630</v>
      </c>
      <c r="C293" t="s">
        <v>42</v>
      </c>
      <c r="D293" t="s">
        <v>43</v>
      </c>
      <c r="E293" t="s">
        <v>38</v>
      </c>
      <c r="F293" t="s">
        <v>23</v>
      </c>
      <c r="G293">
        <v>137899.56</v>
      </c>
      <c r="H293">
        <v>102118.12</v>
      </c>
      <c r="I293">
        <v>35781.440000000002</v>
      </c>
      <c r="J293">
        <v>62499.77</v>
      </c>
      <c r="K293">
        <v>21486.59</v>
      </c>
      <c r="L293">
        <v>144849.01</v>
      </c>
      <c r="M293">
        <v>632</v>
      </c>
      <c r="N293">
        <v>-1.1599999999999999E-2</v>
      </c>
      <c r="O293">
        <v>0.25950000000000001</v>
      </c>
      <c r="P293">
        <v>0.14829999999999999</v>
      </c>
      <c r="Q293" t="s">
        <v>52</v>
      </c>
      <c r="R293">
        <v>2024</v>
      </c>
      <c r="S293" t="s">
        <v>25</v>
      </c>
    </row>
    <row r="294" spans="1:19" x14ac:dyDescent="0.3">
      <c r="A294" t="s">
        <v>367</v>
      </c>
      <c r="B294" s="1">
        <v>45819</v>
      </c>
      <c r="C294" t="s">
        <v>42</v>
      </c>
      <c r="D294" t="s">
        <v>43</v>
      </c>
      <c r="E294" t="s">
        <v>38</v>
      </c>
      <c r="F294" t="s">
        <v>23</v>
      </c>
      <c r="G294">
        <v>29101.48</v>
      </c>
      <c r="H294">
        <v>16627.45</v>
      </c>
      <c r="I294">
        <v>12474.03</v>
      </c>
      <c r="J294">
        <v>50006.16</v>
      </c>
      <c r="K294">
        <v>8936.56</v>
      </c>
      <c r="L294">
        <v>89205.67</v>
      </c>
      <c r="M294">
        <v>1421</v>
      </c>
      <c r="N294">
        <v>0.1666</v>
      </c>
      <c r="O294">
        <v>0.42859999999999998</v>
      </c>
      <c r="P294">
        <v>0.1002</v>
      </c>
      <c r="Q294" t="s">
        <v>34</v>
      </c>
      <c r="R294">
        <v>2025</v>
      </c>
      <c r="S294" t="s">
        <v>25</v>
      </c>
    </row>
    <row r="295" spans="1:19" x14ac:dyDescent="0.3">
      <c r="A295" t="s">
        <v>368</v>
      </c>
      <c r="B295" s="1">
        <v>44580</v>
      </c>
      <c r="C295" t="s">
        <v>48</v>
      </c>
      <c r="D295" t="s">
        <v>49</v>
      </c>
      <c r="E295" t="s">
        <v>32</v>
      </c>
      <c r="F295" t="s">
        <v>33</v>
      </c>
      <c r="G295">
        <v>42171.8</v>
      </c>
      <c r="H295">
        <v>34953.25</v>
      </c>
      <c r="I295">
        <v>7218.55</v>
      </c>
      <c r="K295">
        <v>16410.650000000001</v>
      </c>
      <c r="L295">
        <v>136525.22</v>
      </c>
      <c r="M295">
        <v>2456</v>
      </c>
      <c r="N295">
        <v>0.1138</v>
      </c>
      <c r="O295">
        <v>0.17119999999999999</v>
      </c>
      <c r="P295">
        <v>0.1202</v>
      </c>
      <c r="Q295" t="s">
        <v>90</v>
      </c>
      <c r="R295">
        <v>2022</v>
      </c>
      <c r="S295" t="s">
        <v>25</v>
      </c>
    </row>
    <row r="296" spans="1:19" x14ac:dyDescent="0.3">
      <c r="A296" t="s">
        <v>369</v>
      </c>
      <c r="B296" s="1">
        <v>45902</v>
      </c>
      <c r="C296" t="s">
        <v>48</v>
      </c>
      <c r="D296" t="s">
        <v>49</v>
      </c>
      <c r="E296" t="s">
        <v>32</v>
      </c>
      <c r="F296" t="s">
        <v>33</v>
      </c>
      <c r="G296">
        <v>40864.82</v>
      </c>
      <c r="H296">
        <v>32939.800000000003</v>
      </c>
      <c r="I296">
        <v>7925.02</v>
      </c>
      <c r="K296">
        <v>18429.7</v>
      </c>
      <c r="L296">
        <v>47543.67</v>
      </c>
      <c r="M296">
        <v>846</v>
      </c>
      <c r="N296">
        <v>2.3300000000000001E-2</v>
      </c>
      <c r="O296">
        <v>0.19389999999999999</v>
      </c>
      <c r="P296">
        <v>0.3876</v>
      </c>
      <c r="Q296" t="s">
        <v>24</v>
      </c>
      <c r="R296">
        <v>2025</v>
      </c>
      <c r="S296" t="s">
        <v>40</v>
      </c>
    </row>
    <row r="297" spans="1:19" x14ac:dyDescent="0.3">
      <c r="A297" t="s">
        <v>370</v>
      </c>
      <c r="B297" s="1">
        <v>44754</v>
      </c>
      <c r="C297" t="s">
        <v>48</v>
      </c>
      <c r="D297" t="s">
        <v>49</v>
      </c>
      <c r="E297" t="s">
        <v>51</v>
      </c>
      <c r="F297" t="s">
        <v>23</v>
      </c>
      <c r="G297">
        <v>70990.039999999994</v>
      </c>
      <c r="H297">
        <v>53771.47</v>
      </c>
      <c r="I297">
        <v>17218.57</v>
      </c>
      <c r="J297">
        <v>19235.36</v>
      </c>
      <c r="K297">
        <v>86798.25</v>
      </c>
      <c r="L297">
        <v>145690.65</v>
      </c>
      <c r="M297">
        <v>1018</v>
      </c>
      <c r="N297">
        <v>0.1419</v>
      </c>
      <c r="O297">
        <v>0.24249999999999999</v>
      </c>
      <c r="P297">
        <v>0.5958</v>
      </c>
      <c r="Q297" t="s">
        <v>76</v>
      </c>
      <c r="R297">
        <v>2022</v>
      </c>
      <c r="S297" t="s">
        <v>40</v>
      </c>
    </row>
    <row r="298" spans="1:19" x14ac:dyDescent="0.3">
      <c r="A298" t="s">
        <v>371</v>
      </c>
      <c r="B298" s="1">
        <v>44897</v>
      </c>
      <c r="C298" t="s">
        <v>48</v>
      </c>
      <c r="D298" t="s">
        <v>49</v>
      </c>
      <c r="E298" t="s">
        <v>32</v>
      </c>
      <c r="F298" t="s">
        <v>33</v>
      </c>
      <c r="G298">
        <v>58424.72</v>
      </c>
      <c r="H298">
        <v>38305.480000000003</v>
      </c>
      <c r="I298">
        <v>20119.240000000002</v>
      </c>
      <c r="J298">
        <v>27107.64</v>
      </c>
      <c r="K298">
        <v>62028.73</v>
      </c>
      <c r="L298">
        <v>649560.18999999994</v>
      </c>
      <c r="N298">
        <v>0.1011</v>
      </c>
      <c r="O298">
        <v>0.34439999999999998</v>
      </c>
      <c r="P298">
        <v>9.5500000000000002E-2</v>
      </c>
      <c r="Q298" t="s">
        <v>46</v>
      </c>
      <c r="R298">
        <v>2022</v>
      </c>
      <c r="S298" t="s">
        <v>25</v>
      </c>
    </row>
    <row r="299" spans="1:19" x14ac:dyDescent="0.3">
      <c r="A299" t="s">
        <v>372</v>
      </c>
      <c r="B299" s="1">
        <v>45503</v>
      </c>
      <c r="C299" t="s">
        <v>30</v>
      </c>
      <c r="D299" t="s">
        <v>31</v>
      </c>
      <c r="E299" t="s">
        <v>38</v>
      </c>
      <c r="F299" t="s">
        <v>23</v>
      </c>
      <c r="G299">
        <v>163461.82999999999</v>
      </c>
      <c r="H299">
        <v>144444.09</v>
      </c>
      <c r="I299">
        <v>19017.740000000002</v>
      </c>
      <c r="J299">
        <v>23858.33</v>
      </c>
      <c r="K299">
        <v>21578.19</v>
      </c>
      <c r="L299">
        <v>145097.70000000001</v>
      </c>
      <c r="M299">
        <v>1122</v>
      </c>
      <c r="N299">
        <v>1.3299999999999999E-2</v>
      </c>
      <c r="O299">
        <v>0.1163</v>
      </c>
      <c r="P299">
        <v>0.1487</v>
      </c>
      <c r="Q299" t="s">
        <v>72</v>
      </c>
      <c r="R299">
        <v>2024</v>
      </c>
      <c r="S299" t="s">
        <v>25</v>
      </c>
    </row>
    <row r="300" spans="1:19" x14ac:dyDescent="0.3">
      <c r="A300" t="s">
        <v>373</v>
      </c>
      <c r="B300" s="1">
        <v>45634</v>
      </c>
      <c r="C300" t="s">
        <v>36</v>
      </c>
      <c r="D300" t="s">
        <v>37</v>
      </c>
      <c r="E300" t="s">
        <v>32</v>
      </c>
      <c r="F300" t="s">
        <v>33</v>
      </c>
      <c r="G300">
        <v>64468.56</v>
      </c>
      <c r="H300">
        <v>54631.39</v>
      </c>
      <c r="I300">
        <v>9837.17</v>
      </c>
      <c r="K300">
        <v>5995.46</v>
      </c>
      <c r="L300">
        <v>115954.33</v>
      </c>
      <c r="M300">
        <v>674</v>
      </c>
      <c r="N300">
        <v>-7.9200000000000007E-2</v>
      </c>
      <c r="O300">
        <v>0.15260000000000001</v>
      </c>
      <c r="P300">
        <v>5.1700000000000003E-2</v>
      </c>
      <c r="Q300" t="s">
        <v>52</v>
      </c>
      <c r="R300">
        <v>2024</v>
      </c>
      <c r="S300" t="s">
        <v>25</v>
      </c>
    </row>
    <row r="301" spans="1:19" x14ac:dyDescent="0.3">
      <c r="A301" t="s">
        <v>374</v>
      </c>
      <c r="B301" s="1">
        <v>45135</v>
      </c>
      <c r="C301" t="s">
        <v>102</v>
      </c>
      <c r="D301" t="s">
        <v>103</v>
      </c>
      <c r="E301" t="s">
        <v>38</v>
      </c>
      <c r="F301" t="s">
        <v>23</v>
      </c>
      <c r="G301">
        <v>28443.72</v>
      </c>
      <c r="H301">
        <v>16120.99</v>
      </c>
      <c r="I301">
        <v>12322.73</v>
      </c>
      <c r="J301">
        <v>12357.14</v>
      </c>
      <c r="K301">
        <v>42836.51</v>
      </c>
      <c r="L301">
        <v>63766.37</v>
      </c>
      <c r="M301">
        <v>1479</v>
      </c>
      <c r="N301">
        <v>-2.0299999999999999E-2</v>
      </c>
      <c r="O301">
        <v>0.43319999999999997</v>
      </c>
      <c r="P301">
        <v>0.67179999999999995</v>
      </c>
      <c r="Q301" t="s">
        <v>56</v>
      </c>
      <c r="R301">
        <v>2023</v>
      </c>
      <c r="S301" t="s">
        <v>82</v>
      </c>
    </row>
    <row r="302" spans="1:19" x14ac:dyDescent="0.3">
      <c r="A302" t="s">
        <v>375</v>
      </c>
      <c r="B302" s="1">
        <v>45232</v>
      </c>
      <c r="C302" t="s">
        <v>48</v>
      </c>
      <c r="D302" t="s">
        <v>49</v>
      </c>
      <c r="E302" t="s">
        <v>32</v>
      </c>
      <c r="F302" t="s">
        <v>33</v>
      </c>
      <c r="G302">
        <v>107927.65</v>
      </c>
      <c r="H302">
        <v>81260.350000000006</v>
      </c>
      <c r="I302">
        <v>26667.3</v>
      </c>
      <c r="J302">
        <v>52461.68</v>
      </c>
      <c r="K302">
        <v>82230.17</v>
      </c>
      <c r="L302">
        <v>134176.12</v>
      </c>
      <c r="M302">
        <v>1258</v>
      </c>
      <c r="N302">
        <v>5.6800000000000003E-2</v>
      </c>
      <c r="O302">
        <v>0.24709999999999999</v>
      </c>
      <c r="P302">
        <v>0.6129</v>
      </c>
      <c r="Q302" t="s">
        <v>44</v>
      </c>
      <c r="R302">
        <v>2023</v>
      </c>
      <c r="S302" t="s">
        <v>82</v>
      </c>
    </row>
    <row r="303" spans="1:19" x14ac:dyDescent="0.3">
      <c r="A303" t="s">
        <v>376</v>
      </c>
      <c r="B303" s="1">
        <v>45940</v>
      </c>
      <c r="C303" t="s">
        <v>61</v>
      </c>
      <c r="D303" t="s">
        <v>74</v>
      </c>
      <c r="E303" t="s">
        <v>22</v>
      </c>
      <c r="F303" t="s">
        <v>23</v>
      </c>
      <c r="G303">
        <v>147010.71</v>
      </c>
      <c r="H303">
        <v>121229.98</v>
      </c>
      <c r="I303">
        <v>25780.73</v>
      </c>
      <c r="J303">
        <v>95638.47</v>
      </c>
      <c r="K303">
        <v>18874.46</v>
      </c>
      <c r="L303">
        <v>137427.13</v>
      </c>
      <c r="M303">
        <v>1026</v>
      </c>
      <c r="N303">
        <v>4.4699999999999997E-2</v>
      </c>
      <c r="O303">
        <v>0.1754</v>
      </c>
      <c r="P303">
        <v>0.13730000000000001</v>
      </c>
      <c r="Q303" t="s">
        <v>66</v>
      </c>
      <c r="R303">
        <v>2025</v>
      </c>
      <c r="S303" t="s">
        <v>25</v>
      </c>
    </row>
    <row r="304" spans="1:19" x14ac:dyDescent="0.3">
      <c r="A304" t="s">
        <v>377</v>
      </c>
      <c r="B304" s="1">
        <v>45552</v>
      </c>
      <c r="C304" t="s">
        <v>48</v>
      </c>
      <c r="D304" t="s">
        <v>49</v>
      </c>
      <c r="E304" t="s">
        <v>38</v>
      </c>
      <c r="F304" t="s">
        <v>23</v>
      </c>
      <c r="G304">
        <v>220791.1</v>
      </c>
      <c r="H304">
        <v>194070.37</v>
      </c>
      <c r="I304">
        <v>26720.73</v>
      </c>
      <c r="J304">
        <v>69569.41</v>
      </c>
      <c r="K304">
        <v>119575.12</v>
      </c>
      <c r="L304">
        <v>207216.34</v>
      </c>
      <c r="M304">
        <v>861</v>
      </c>
      <c r="N304">
        <v>-8.1299999999999997E-2</v>
      </c>
      <c r="O304">
        <v>0.121</v>
      </c>
      <c r="P304">
        <v>0.57709999999999995</v>
      </c>
      <c r="Q304" t="s">
        <v>72</v>
      </c>
      <c r="R304">
        <v>2024</v>
      </c>
      <c r="S304" t="s">
        <v>40</v>
      </c>
    </row>
    <row r="305" spans="1:19" x14ac:dyDescent="0.3">
      <c r="A305" t="s">
        <v>378</v>
      </c>
      <c r="B305" s="1">
        <v>45177</v>
      </c>
      <c r="C305" t="s">
        <v>54</v>
      </c>
      <c r="D305" t="s">
        <v>55</v>
      </c>
      <c r="E305" t="s">
        <v>38</v>
      </c>
      <c r="F305" t="s">
        <v>23</v>
      </c>
      <c r="G305">
        <v>36016.720000000001</v>
      </c>
      <c r="H305">
        <v>22673.16</v>
      </c>
      <c r="I305">
        <v>13343.56</v>
      </c>
      <c r="J305">
        <v>18971</v>
      </c>
      <c r="K305">
        <v>53131.12</v>
      </c>
      <c r="L305">
        <v>72204.509999999995</v>
      </c>
      <c r="M305">
        <v>484</v>
      </c>
      <c r="N305">
        <v>1.23E-2</v>
      </c>
      <c r="O305">
        <v>0.3705</v>
      </c>
      <c r="P305">
        <v>0.73580000000000001</v>
      </c>
      <c r="Q305" t="s">
        <v>56</v>
      </c>
      <c r="R305">
        <v>2023</v>
      </c>
      <c r="S305" t="s">
        <v>82</v>
      </c>
    </row>
    <row r="306" spans="1:19" x14ac:dyDescent="0.3">
      <c r="A306" t="s">
        <v>379</v>
      </c>
      <c r="B306" s="1">
        <v>45763</v>
      </c>
      <c r="C306" t="s">
        <v>48</v>
      </c>
      <c r="D306" t="s">
        <v>49</v>
      </c>
      <c r="E306" t="s">
        <v>32</v>
      </c>
      <c r="F306" t="s">
        <v>33</v>
      </c>
      <c r="G306">
        <v>155022.46</v>
      </c>
      <c r="H306">
        <v>123090.78</v>
      </c>
      <c r="I306">
        <v>31931.68</v>
      </c>
      <c r="J306">
        <v>24473.42</v>
      </c>
      <c r="K306">
        <v>15894.56</v>
      </c>
      <c r="L306">
        <v>138125.13</v>
      </c>
      <c r="M306">
        <v>549</v>
      </c>
      <c r="N306">
        <v>7.6799999999999993E-2</v>
      </c>
      <c r="O306">
        <v>0.20599999999999999</v>
      </c>
      <c r="P306">
        <v>0.11509999999999999</v>
      </c>
      <c r="Q306" t="s">
        <v>34</v>
      </c>
      <c r="R306">
        <v>2025</v>
      </c>
      <c r="S306" t="s">
        <v>25</v>
      </c>
    </row>
    <row r="307" spans="1:19" x14ac:dyDescent="0.3">
      <c r="A307" t="s">
        <v>380</v>
      </c>
      <c r="B307" s="1">
        <v>44622</v>
      </c>
      <c r="C307" t="s">
        <v>85</v>
      </c>
      <c r="D307" t="s">
        <v>86</v>
      </c>
      <c r="E307" t="s">
        <v>22</v>
      </c>
      <c r="F307" t="s">
        <v>23</v>
      </c>
      <c r="G307">
        <v>34059.47</v>
      </c>
      <c r="H307">
        <v>21138.77</v>
      </c>
      <c r="I307">
        <v>12920.7</v>
      </c>
      <c r="J307">
        <v>17561.27</v>
      </c>
      <c r="K307">
        <v>11960.29</v>
      </c>
      <c r="L307">
        <v>118866.14</v>
      </c>
      <c r="M307">
        <v>451</v>
      </c>
      <c r="N307">
        <v>5.6300000000000003E-2</v>
      </c>
      <c r="O307">
        <v>0.37940000000000002</v>
      </c>
      <c r="P307">
        <v>0.10059999999999999</v>
      </c>
      <c r="Q307" t="s">
        <v>90</v>
      </c>
      <c r="R307">
        <v>2022</v>
      </c>
      <c r="S307" t="s">
        <v>25</v>
      </c>
    </row>
    <row r="308" spans="1:19" x14ac:dyDescent="0.3">
      <c r="A308" t="s">
        <v>381</v>
      </c>
      <c r="B308" s="1">
        <v>45792</v>
      </c>
      <c r="C308" t="s">
        <v>20</v>
      </c>
      <c r="D308" t="s">
        <v>21</v>
      </c>
      <c r="E308" t="s">
        <v>22</v>
      </c>
      <c r="F308" t="s">
        <v>23</v>
      </c>
      <c r="G308">
        <v>116216.31</v>
      </c>
      <c r="H308">
        <v>71991.039999999994</v>
      </c>
      <c r="I308">
        <v>44225.27</v>
      </c>
      <c r="J308">
        <v>55920.29</v>
      </c>
      <c r="K308">
        <v>33135.279999999999</v>
      </c>
      <c r="L308">
        <v>95889.65</v>
      </c>
      <c r="M308">
        <v>570</v>
      </c>
      <c r="N308">
        <v>-0.13719999999999999</v>
      </c>
      <c r="O308">
        <v>0.3805</v>
      </c>
      <c r="P308">
        <v>0.34560000000000002</v>
      </c>
      <c r="Q308" t="s">
        <v>34</v>
      </c>
      <c r="R308">
        <v>2025</v>
      </c>
      <c r="S308" t="s">
        <v>40</v>
      </c>
    </row>
    <row r="309" spans="1:19" x14ac:dyDescent="0.3">
      <c r="A309" t="s">
        <v>382</v>
      </c>
      <c r="B309" s="1">
        <v>45095</v>
      </c>
      <c r="C309" t="s">
        <v>48</v>
      </c>
      <c r="D309" t="s">
        <v>275</v>
      </c>
      <c r="E309" t="s">
        <v>32</v>
      </c>
      <c r="F309" t="s">
        <v>33</v>
      </c>
      <c r="G309">
        <v>91791.28</v>
      </c>
      <c r="H309">
        <v>51809.05</v>
      </c>
      <c r="I309">
        <v>39982.230000000003</v>
      </c>
      <c r="J309">
        <v>10988.87</v>
      </c>
      <c r="K309">
        <v>10013.86</v>
      </c>
      <c r="L309">
        <v>154404.03</v>
      </c>
      <c r="M309">
        <v>1214</v>
      </c>
      <c r="N309">
        <v>-1.1900000000000001E-2</v>
      </c>
      <c r="O309">
        <v>0.43559999999999999</v>
      </c>
      <c r="P309">
        <v>6.4899999999999999E-2</v>
      </c>
      <c r="Q309" t="s">
        <v>39</v>
      </c>
      <c r="R309">
        <v>2023</v>
      </c>
      <c r="S309" t="s">
        <v>25</v>
      </c>
    </row>
    <row r="310" spans="1:19" x14ac:dyDescent="0.3">
      <c r="A310" t="s">
        <v>383</v>
      </c>
      <c r="B310" s="1">
        <v>45843</v>
      </c>
      <c r="C310" t="s">
        <v>102</v>
      </c>
      <c r="D310" t="s">
        <v>103</v>
      </c>
      <c r="E310" t="s">
        <v>22</v>
      </c>
      <c r="F310" t="s">
        <v>23</v>
      </c>
      <c r="G310">
        <v>118600.95</v>
      </c>
      <c r="H310">
        <v>96248.23</v>
      </c>
      <c r="I310">
        <v>22352.720000000001</v>
      </c>
      <c r="J310">
        <v>49660.44</v>
      </c>
      <c r="K310">
        <v>43563.41</v>
      </c>
      <c r="L310">
        <v>180455.78</v>
      </c>
      <c r="M310">
        <v>892</v>
      </c>
      <c r="N310">
        <v>-4.3E-3</v>
      </c>
      <c r="O310">
        <v>0.1885</v>
      </c>
      <c r="P310">
        <v>0.2414</v>
      </c>
      <c r="Q310" t="s">
        <v>24</v>
      </c>
      <c r="R310">
        <v>2025</v>
      </c>
      <c r="S310" t="s">
        <v>25</v>
      </c>
    </row>
    <row r="311" spans="1:19" x14ac:dyDescent="0.3">
      <c r="A311" t="s">
        <v>384</v>
      </c>
      <c r="B311" s="1">
        <v>45020</v>
      </c>
      <c r="C311" t="s">
        <v>48</v>
      </c>
      <c r="D311" t="s">
        <v>49</v>
      </c>
      <c r="E311" t="s">
        <v>51</v>
      </c>
      <c r="F311" t="s">
        <v>23</v>
      </c>
      <c r="G311">
        <v>161073.82999999999</v>
      </c>
      <c r="H311">
        <v>122333.45</v>
      </c>
      <c r="I311">
        <v>38740.379999999997</v>
      </c>
      <c r="J311">
        <v>21627.09</v>
      </c>
      <c r="K311">
        <v>63921.65</v>
      </c>
      <c r="L311">
        <v>44005.13</v>
      </c>
      <c r="M311">
        <v>1187</v>
      </c>
      <c r="N311">
        <v>0.10970000000000001</v>
      </c>
      <c r="O311">
        <v>0.24049999999999999</v>
      </c>
      <c r="P311">
        <v>1.4525999999999999</v>
      </c>
      <c r="Q311" t="s">
        <v>39</v>
      </c>
      <c r="R311">
        <v>2023</v>
      </c>
      <c r="S311" t="s">
        <v>82</v>
      </c>
    </row>
    <row r="312" spans="1:19" x14ac:dyDescent="0.3">
      <c r="A312" t="s">
        <v>385</v>
      </c>
      <c r="B312" s="1">
        <v>44768</v>
      </c>
      <c r="C312" t="s">
        <v>42</v>
      </c>
      <c r="D312" t="s">
        <v>227</v>
      </c>
      <c r="E312" t="s">
        <v>144</v>
      </c>
      <c r="F312" t="s">
        <v>23</v>
      </c>
      <c r="G312">
        <v>64022.879999999997</v>
      </c>
      <c r="H312">
        <v>57442.17</v>
      </c>
      <c r="I312">
        <v>6580.71</v>
      </c>
      <c r="J312">
        <v>32970.53</v>
      </c>
      <c r="K312">
        <v>6626.98</v>
      </c>
      <c r="L312">
        <v>52011</v>
      </c>
      <c r="M312">
        <v>665</v>
      </c>
      <c r="N312">
        <v>-2.7000000000000001E-3</v>
      </c>
      <c r="O312">
        <v>0.1028</v>
      </c>
      <c r="P312">
        <v>0.12740000000000001</v>
      </c>
      <c r="Q312" t="s">
        <v>76</v>
      </c>
      <c r="R312">
        <v>2022</v>
      </c>
      <c r="S312" t="s">
        <v>25</v>
      </c>
    </row>
    <row r="313" spans="1:19" x14ac:dyDescent="0.3">
      <c r="A313" t="s">
        <v>386</v>
      </c>
      <c r="B313" s="1">
        <v>44635</v>
      </c>
      <c r="C313" t="s">
        <v>30</v>
      </c>
      <c r="D313" t="s">
        <v>31</v>
      </c>
      <c r="E313" t="s">
        <v>32</v>
      </c>
      <c r="F313" t="s">
        <v>33</v>
      </c>
      <c r="G313">
        <v>85130.08</v>
      </c>
      <c r="H313">
        <v>64759.24</v>
      </c>
      <c r="I313">
        <v>20370.84</v>
      </c>
      <c r="J313">
        <v>15515.85</v>
      </c>
      <c r="K313">
        <v>20920.3</v>
      </c>
      <c r="L313">
        <v>138365.48000000001</v>
      </c>
      <c r="M313">
        <v>1678</v>
      </c>
      <c r="N313">
        <v>-0.10299999999999999</v>
      </c>
      <c r="O313">
        <v>0.23930000000000001</v>
      </c>
      <c r="P313">
        <v>0.1512</v>
      </c>
      <c r="Q313" t="s">
        <v>90</v>
      </c>
      <c r="R313">
        <v>2022</v>
      </c>
      <c r="S313" t="s">
        <v>25</v>
      </c>
    </row>
    <row r="314" spans="1:19" x14ac:dyDescent="0.3">
      <c r="A314" t="s">
        <v>387</v>
      </c>
      <c r="B314" s="1">
        <v>45341</v>
      </c>
      <c r="C314" t="s">
        <v>54</v>
      </c>
      <c r="D314" t="s">
        <v>55</v>
      </c>
      <c r="E314" t="s">
        <v>65</v>
      </c>
      <c r="F314" t="s">
        <v>33</v>
      </c>
      <c r="G314">
        <v>153515.39000000001</v>
      </c>
      <c r="H314">
        <v>110628.06</v>
      </c>
      <c r="I314">
        <v>42887.33</v>
      </c>
      <c r="K314">
        <v>27043.67</v>
      </c>
      <c r="L314">
        <v>134824.82</v>
      </c>
      <c r="M314">
        <v>1369</v>
      </c>
      <c r="N314">
        <v>-1.66E-2</v>
      </c>
      <c r="O314">
        <v>0.27939999999999998</v>
      </c>
      <c r="P314">
        <v>0.2006</v>
      </c>
      <c r="Q314" t="s">
        <v>80</v>
      </c>
      <c r="R314">
        <v>2024</v>
      </c>
      <c r="S314" t="s">
        <v>25</v>
      </c>
    </row>
    <row r="315" spans="1:19" x14ac:dyDescent="0.3">
      <c r="A315" t="s">
        <v>388</v>
      </c>
      <c r="B315" s="1">
        <v>44838</v>
      </c>
      <c r="C315" t="s">
        <v>102</v>
      </c>
      <c r="D315" t="s">
        <v>103</v>
      </c>
      <c r="E315" t="s">
        <v>51</v>
      </c>
      <c r="F315" t="s">
        <v>23</v>
      </c>
      <c r="G315">
        <v>52176.87</v>
      </c>
      <c r="H315">
        <v>41134.94</v>
      </c>
      <c r="I315">
        <v>11041.93</v>
      </c>
      <c r="J315">
        <v>36585.550000000003</v>
      </c>
      <c r="K315">
        <v>97412.66</v>
      </c>
      <c r="L315">
        <v>114723.12</v>
      </c>
      <c r="M315">
        <v>765</v>
      </c>
      <c r="N315">
        <v>0.10589999999999999</v>
      </c>
      <c r="O315">
        <v>0.21160000000000001</v>
      </c>
      <c r="P315">
        <v>0.84909999999999997</v>
      </c>
      <c r="Q315" t="s">
        <v>46</v>
      </c>
      <c r="R315">
        <v>2022</v>
      </c>
      <c r="S315" t="s">
        <v>82</v>
      </c>
    </row>
    <row r="316" spans="1:19" x14ac:dyDescent="0.3">
      <c r="A316" t="s">
        <v>389</v>
      </c>
      <c r="B316" s="1">
        <v>45504</v>
      </c>
      <c r="C316" t="s">
        <v>102</v>
      </c>
      <c r="D316" t="s">
        <v>103</v>
      </c>
      <c r="E316" t="s">
        <v>22</v>
      </c>
      <c r="F316" t="s">
        <v>23</v>
      </c>
      <c r="G316">
        <v>110668.2</v>
      </c>
      <c r="H316">
        <v>63349.11</v>
      </c>
      <c r="I316">
        <v>47319.09</v>
      </c>
      <c r="J316">
        <v>31356.67</v>
      </c>
      <c r="K316">
        <v>23310.99</v>
      </c>
      <c r="L316">
        <v>54489.06</v>
      </c>
      <c r="M316">
        <v>2116</v>
      </c>
      <c r="N316">
        <v>-2.47E-2</v>
      </c>
      <c r="O316">
        <v>0.42759999999999998</v>
      </c>
      <c r="P316">
        <v>0.42780000000000001</v>
      </c>
      <c r="Q316" t="s">
        <v>72</v>
      </c>
      <c r="R316">
        <v>2024</v>
      </c>
      <c r="S316" t="s">
        <v>40</v>
      </c>
    </row>
    <row r="317" spans="1:19" x14ac:dyDescent="0.3">
      <c r="A317" t="s">
        <v>390</v>
      </c>
      <c r="B317" s="1">
        <v>45769</v>
      </c>
      <c r="C317" t="s">
        <v>85</v>
      </c>
      <c r="D317" t="s">
        <v>86</v>
      </c>
      <c r="E317" t="s">
        <v>32</v>
      </c>
      <c r="F317" t="s">
        <v>33</v>
      </c>
      <c r="G317">
        <v>157899.20000000001</v>
      </c>
      <c r="H317">
        <v>124385.68</v>
      </c>
      <c r="I317">
        <v>33513.519999999997</v>
      </c>
      <c r="J317">
        <v>40531.800000000003</v>
      </c>
      <c r="K317">
        <v>30858.560000000001</v>
      </c>
      <c r="L317">
        <v>88328.59</v>
      </c>
      <c r="M317">
        <v>979</v>
      </c>
      <c r="N317">
        <v>-5.2699999999999997E-2</v>
      </c>
      <c r="O317">
        <v>0.2122</v>
      </c>
      <c r="P317">
        <v>0.34939999999999999</v>
      </c>
      <c r="Q317" t="s">
        <v>34</v>
      </c>
      <c r="R317">
        <v>2025</v>
      </c>
      <c r="S317" t="s">
        <v>40</v>
      </c>
    </row>
    <row r="318" spans="1:19" x14ac:dyDescent="0.3">
      <c r="A318" t="s">
        <v>391</v>
      </c>
      <c r="B318" s="1">
        <v>44857</v>
      </c>
      <c r="C318" t="s">
        <v>42</v>
      </c>
      <c r="D318" t="s">
        <v>43</v>
      </c>
      <c r="E318" t="s">
        <v>38</v>
      </c>
      <c r="F318" t="s">
        <v>23</v>
      </c>
      <c r="G318">
        <v>81373.66</v>
      </c>
      <c r="H318">
        <v>63311.67</v>
      </c>
      <c r="I318">
        <v>18061.990000000002</v>
      </c>
      <c r="J318">
        <v>30500.76</v>
      </c>
      <c r="K318">
        <v>51434.5</v>
      </c>
      <c r="L318">
        <v>57178.75</v>
      </c>
      <c r="M318">
        <v>914</v>
      </c>
      <c r="N318">
        <v>0.20219999999999999</v>
      </c>
      <c r="O318">
        <v>0.222</v>
      </c>
      <c r="P318">
        <v>0.89949999999999997</v>
      </c>
      <c r="Q318" t="s">
        <v>46</v>
      </c>
      <c r="R318">
        <v>2022</v>
      </c>
      <c r="S318" t="s">
        <v>82</v>
      </c>
    </row>
    <row r="319" spans="1:19" x14ac:dyDescent="0.3">
      <c r="A319" t="s">
        <v>392</v>
      </c>
      <c r="B319" s="1">
        <v>45505</v>
      </c>
      <c r="C319" t="s">
        <v>54</v>
      </c>
      <c r="D319" t="s">
        <v>55</v>
      </c>
      <c r="E319" t="s">
        <v>22</v>
      </c>
      <c r="F319" t="s">
        <v>23</v>
      </c>
      <c r="G319">
        <v>160867.07</v>
      </c>
      <c r="H319">
        <v>141128.01</v>
      </c>
      <c r="I319">
        <v>19739.060000000001</v>
      </c>
      <c r="J319">
        <v>23100.17</v>
      </c>
      <c r="K319">
        <v>21955.11</v>
      </c>
      <c r="L319">
        <v>70270.61</v>
      </c>
      <c r="M319">
        <v>1223</v>
      </c>
      <c r="N319">
        <v>-6.6600000000000006E-2</v>
      </c>
      <c r="O319">
        <v>0.1227</v>
      </c>
      <c r="P319">
        <v>0.31240000000000001</v>
      </c>
      <c r="Q319" t="s">
        <v>72</v>
      </c>
      <c r="R319">
        <v>2024</v>
      </c>
      <c r="S319" t="s">
        <v>40</v>
      </c>
    </row>
    <row r="320" spans="1:19" x14ac:dyDescent="0.3">
      <c r="A320" t="s">
        <v>393</v>
      </c>
      <c r="B320" s="1">
        <v>45792</v>
      </c>
      <c r="C320" t="s">
        <v>20</v>
      </c>
      <c r="D320" t="s">
        <v>21</v>
      </c>
      <c r="E320" t="s">
        <v>22</v>
      </c>
      <c r="F320" t="s">
        <v>23</v>
      </c>
      <c r="G320">
        <v>52277.47</v>
      </c>
      <c r="H320">
        <v>47618.34</v>
      </c>
      <c r="I320">
        <v>4659.13</v>
      </c>
      <c r="J320">
        <v>28637.53</v>
      </c>
      <c r="K320">
        <v>35399.519999999997</v>
      </c>
      <c r="L320">
        <v>104095.99</v>
      </c>
      <c r="M320">
        <v>665</v>
      </c>
      <c r="N320">
        <v>-3.3E-3</v>
      </c>
      <c r="O320">
        <v>8.9099999999999999E-2</v>
      </c>
      <c r="P320">
        <v>0.34010000000000001</v>
      </c>
      <c r="Q320" t="s">
        <v>34</v>
      </c>
      <c r="R320">
        <v>2025</v>
      </c>
      <c r="S320" t="s">
        <v>40</v>
      </c>
    </row>
    <row r="321" spans="1:19" x14ac:dyDescent="0.3">
      <c r="A321" t="s">
        <v>394</v>
      </c>
      <c r="B321" s="1">
        <v>45324</v>
      </c>
      <c r="C321" t="s">
        <v>36</v>
      </c>
      <c r="D321" t="s">
        <v>37</v>
      </c>
      <c r="E321" t="s">
        <v>38</v>
      </c>
      <c r="F321" t="s">
        <v>23</v>
      </c>
      <c r="G321">
        <v>23755.43</v>
      </c>
      <c r="H321">
        <v>13953.03</v>
      </c>
      <c r="I321">
        <v>9802.4</v>
      </c>
      <c r="J321">
        <v>27955.32</v>
      </c>
      <c r="K321">
        <v>21917.84</v>
      </c>
      <c r="L321">
        <v>77910.27</v>
      </c>
      <c r="M321">
        <v>873</v>
      </c>
      <c r="N321">
        <v>4.5999999999999999E-2</v>
      </c>
      <c r="O321">
        <v>0.41260000000000002</v>
      </c>
      <c r="P321">
        <v>0.28129999999999999</v>
      </c>
      <c r="Q321" t="s">
        <v>80</v>
      </c>
      <c r="R321">
        <v>2024</v>
      </c>
      <c r="S321" t="s">
        <v>25</v>
      </c>
    </row>
    <row r="322" spans="1:19" x14ac:dyDescent="0.3">
      <c r="A322" t="s">
        <v>395</v>
      </c>
      <c r="B322" s="1">
        <v>44671</v>
      </c>
      <c r="C322" t="s">
        <v>102</v>
      </c>
      <c r="D322" t="s">
        <v>103</v>
      </c>
      <c r="E322" t="s">
        <v>38</v>
      </c>
      <c r="F322" t="s">
        <v>23</v>
      </c>
      <c r="G322">
        <v>32309.13</v>
      </c>
      <c r="H322">
        <v>18015.330000000002</v>
      </c>
      <c r="I322">
        <v>14293.8</v>
      </c>
      <c r="J322">
        <v>49505.72</v>
      </c>
      <c r="K322">
        <v>18789</v>
      </c>
      <c r="L322">
        <v>185154.7</v>
      </c>
      <c r="M322">
        <v>488</v>
      </c>
      <c r="N322">
        <v>-6.5199999999999994E-2</v>
      </c>
      <c r="O322">
        <v>0.44240000000000002</v>
      </c>
      <c r="P322">
        <v>0.10150000000000001</v>
      </c>
      <c r="Q322" t="s">
        <v>58</v>
      </c>
      <c r="R322">
        <v>2022</v>
      </c>
      <c r="S322" t="s">
        <v>25</v>
      </c>
    </row>
    <row r="323" spans="1:19" x14ac:dyDescent="0.3">
      <c r="A323" t="s">
        <v>396</v>
      </c>
      <c r="B323" s="1">
        <v>45671</v>
      </c>
      <c r="C323" t="s">
        <v>42</v>
      </c>
      <c r="D323" t="s">
        <v>43</v>
      </c>
      <c r="E323" t="s">
        <v>38</v>
      </c>
      <c r="F323" t="s">
        <v>23</v>
      </c>
      <c r="G323">
        <v>83244.990000000005</v>
      </c>
      <c r="H323">
        <v>48140.38</v>
      </c>
      <c r="I323">
        <v>35104.61</v>
      </c>
      <c r="J323">
        <v>40163.379999999997</v>
      </c>
      <c r="K323">
        <v>53149.04</v>
      </c>
      <c r="L323">
        <v>224667.77</v>
      </c>
      <c r="M323">
        <v>867</v>
      </c>
      <c r="N323">
        <v>-8.1299999999999997E-2</v>
      </c>
      <c r="O323">
        <v>0.42170000000000002</v>
      </c>
      <c r="P323">
        <v>0.2366</v>
      </c>
      <c r="Q323" t="s">
        <v>106</v>
      </c>
      <c r="R323">
        <v>2025</v>
      </c>
      <c r="S323" t="s">
        <v>25</v>
      </c>
    </row>
    <row r="324" spans="1:19" x14ac:dyDescent="0.3">
      <c r="A324" t="s">
        <v>397</v>
      </c>
      <c r="B324" s="1">
        <v>44799</v>
      </c>
      <c r="C324" t="s">
        <v>61</v>
      </c>
      <c r="D324" t="s">
        <v>74</v>
      </c>
      <c r="E324" t="s">
        <v>32</v>
      </c>
      <c r="F324" t="s">
        <v>33</v>
      </c>
      <c r="G324">
        <v>78880.149999999994</v>
      </c>
      <c r="H324">
        <v>56276.74</v>
      </c>
      <c r="I324">
        <v>22603.41</v>
      </c>
      <c r="J324">
        <v>30615.84</v>
      </c>
      <c r="K324">
        <v>26040.16</v>
      </c>
      <c r="L324">
        <v>99620.13</v>
      </c>
      <c r="M324">
        <v>573</v>
      </c>
      <c r="N324">
        <v>8.3699999999999997E-2</v>
      </c>
      <c r="O324">
        <v>0.28660000000000002</v>
      </c>
      <c r="P324">
        <v>0.26140000000000002</v>
      </c>
      <c r="Q324" t="s">
        <v>76</v>
      </c>
      <c r="R324">
        <v>2022</v>
      </c>
      <c r="S324" t="s">
        <v>25</v>
      </c>
    </row>
    <row r="325" spans="1:19" x14ac:dyDescent="0.3">
      <c r="A325" t="s">
        <v>398</v>
      </c>
      <c r="B325" s="1">
        <v>45674</v>
      </c>
      <c r="C325" t="s">
        <v>68</v>
      </c>
      <c r="D325" t="s">
        <v>69</v>
      </c>
      <c r="E325" t="s">
        <v>32</v>
      </c>
      <c r="F325" t="s">
        <v>33</v>
      </c>
      <c r="G325">
        <v>240665.21</v>
      </c>
      <c r="H325">
        <v>201559.1</v>
      </c>
      <c r="I325">
        <v>39106.11</v>
      </c>
      <c r="J325">
        <v>58099.15</v>
      </c>
      <c r="K325">
        <v>19316.27</v>
      </c>
      <c r="L325">
        <v>167679.97</v>
      </c>
      <c r="M325">
        <v>1557</v>
      </c>
      <c r="N325">
        <v>2.0299999999999999E-2</v>
      </c>
      <c r="O325">
        <v>0.16250000000000001</v>
      </c>
      <c r="P325">
        <v>0.1152</v>
      </c>
      <c r="Q325" t="s">
        <v>106</v>
      </c>
      <c r="R325">
        <v>2025</v>
      </c>
      <c r="S325" t="s">
        <v>25</v>
      </c>
    </row>
    <row r="326" spans="1:19" x14ac:dyDescent="0.3">
      <c r="A326" t="s">
        <v>399</v>
      </c>
      <c r="B326" s="1">
        <v>44601</v>
      </c>
      <c r="C326" t="s">
        <v>48</v>
      </c>
      <c r="D326" t="s">
        <v>49</v>
      </c>
      <c r="E326" t="s">
        <v>22</v>
      </c>
      <c r="F326" t="s">
        <v>23</v>
      </c>
      <c r="G326">
        <v>33865.97</v>
      </c>
      <c r="H326">
        <v>24758.57</v>
      </c>
      <c r="I326">
        <v>9107.4</v>
      </c>
      <c r="J326">
        <v>23165.77</v>
      </c>
      <c r="K326">
        <v>25798.62</v>
      </c>
      <c r="L326">
        <v>238098.23</v>
      </c>
      <c r="M326">
        <v>1573</v>
      </c>
      <c r="N326">
        <v>5.3E-3</v>
      </c>
      <c r="O326">
        <v>0.26889999999999997</v>
      </c>
      <c r="P326">
        <v>0.1084</v>
      </c>
      <c r="Q326" t="s">
        <v>90</v>
      </c>
      <c r="R326">
        <v>2022</v>
      </c>
      <c r="S326" t="s">
        <v>25</v>
      </c>
    </row>
    <row r="327" spans="1:19" x14ac:dyDescent="0.3">
      <c r="A327" t="s">
        <v>400</v>
      </c>
      <c r="B327" s="1">
        <v>44609</v>
      </c>
      <c r="C327" t="s">
        <v>20</v>
      </c>
      <c r="D327" t="s">
        <v>21</v>
      </c>
      <c r="E327" t="s">
        <v>38</v>
      </c>
      <c r="F327" t="s">
        <v>23</v>
      </c>
      <c r="G327">
        <v>24160.720000000001</v>
      </c>
      <c r="H327">
        <v>17346.82</v>
      </c>
      <c r="I327">
        <v>6813.9</v>
      </c>
      <c r="J327">
        <v>17203.599999999999</v>
      </c>
      <c r="K327">
        <v>18155.900000000001</v>
      </c>
      <c r="L327">
        <v>94755.97</v>
      </c>
      <c r="M327">
        <v>1010</v>
      </c>
      <c r="N327">
        <v>-8.4099999999999994E-2</v>
      </c>
      <c r="O327">
        <v>0.28199999999999997</v>
      </c>
      <c r="P327">
        <v>0.19159999999999999</v>
      </c>
      <c r="Q327" t="s">
        <v>90</v>
      </c>
      <c r="R327">
        <v>2022</v>
      </c>
      <c r="S327" t="s">
        <v>25</v>
      </c>
    </row>
    <row r="328" spans="1:19" x14ac:dyDescent="0.3">
      <c r="A328" t="s">
        <v>401</v>
      </c>
      <c r="B328" s="1">
        <v>44831</v>
      </c>
      <c r="C328" t="s">
        <v>78</v>
      </c>
      <c r="D328" t="s">
        <v>79</v>
      </c>
      <c r="E328" t="s">
        <v>32</v>
      </c>
      <c r="F328" t="s">
        <v>33</v>
      </c>
      <c r="G328">
        <v>32806.28</v>
      </c>
      <c r="H328">
        <v>24751.85</v>
      </c>
      <c r="I328">
        <v>8054.43</v>
      </c>
      <c r="J328">
        <v>52182.7</v>
      </c>
      <c r="K328">
        <v>87688.63</v>
      </c>
      <c r="L328">
        <v>77121.14</v>
      </c>
      <c r="M328">
        <v>989</v>
      </c>
      <c r="N328">
        <v>-7.2300000000000003E-2</v>
      </c>
      <c r="O328">
        <v>0.2455</v>
      </c>
      <c r="P328">
        <v>1.137</v>
      </c>
      <c r="Q328" t="s">
        <v>76</v>
      </c>
      <c r="R328">
        <v>2022</v>
      </c>
      <c r="S328" t="s">
        <v>82</v>
      </c>
    </row>
    <row r="329" spans="1:19" x14ac:dyDescent="0.3">
      <c r="A329" t="s">
        <v>402</v>
      </c>
      <c r="B329" s="1">
        <v>45997</v>
      </c>
      <c r="C329" t="s">
        <v>36</v>
      </c>
      <c r="D329" t="s">
        <v>37</v>
      </c>
      <c r="E329" t="s">
        <v>38</v>
      </c>
      <c r="F329" t="s">
        <v>23</v>
      </c>
      <c r="G329">
        <v>13725.03</v>
      </c>
      <c r="H329">
        <v>12135.41</v>
      </c>
      <c r="I329">
        <v>1589.62</v>
      </c>
      <c r="J329">
        <v>27499.86</v>
      </c>
      <c r="K329">
        <v>81261.460000000006</v>
      </c>
      <c r="L329">
        <v>271461.3</v>
      </c>
      <c r="M329">
        <v>357</v>
      </c>
      <c r="N329">
        <v>7.9899999999999999E-2</v>
      </c>
      <c r="O329">
        <v>0.1158</v>
      </c>
      <c r="P329">
        <v>0.29930000000000001</v>
      </c>
      <c r="Q329" t="s">
        <v>66</v>
      </c>
      <c r="R329">
        <v>2025</v>
      </c>
      <c r="S329" t="s">
        <v>25</v>
      </c>
    </row>
    <row r="330" spans="1:19" x14ac:dyDescent="0.3">
      <c r="A330" t="s">
        <v>403</v>
      </c>
      <c r="B330" s="1">
        <v>45467</v>
      </c>
      <c r="C330" t="s">
        <v>85</v>
      </c>
      <c r="D330" t="s">
        <v>86</v>
      </c>
      <c r="E330" t="s">
        <v>32</v>
      </c>
      <c r="F330" t="s">
        <v>33</v>
      </c>
      <c r="G330">
        <v>45860.19</v>
      </c>
      <c r="H330">
        <v>34670.78</v>
      </c>
      <c r="I330">
        <v>11189.41</v>
      </c>
      <c r="J330">
        <v>27962.87</v>
      </c>
      <c r="K330">
        <v>37095.410000000003</v>
      </c>
      <c r="L330">
        <v>113033.46</v>
      </c>
      <c r="M330">
        <v>1134</v>
      </c>
      <c r="N330">
        <v>-6.3299999999999995E-2</v>
      </c>
      <c r="O330">
        <v>0.24399999999999999</v>
      </c>
      <c r="P330">
        <v>0.32819999999999999</v>
      </c>
      <c r="Q330" t="s">
        <v>111</v>
      </c>
      <c r="R330">
        <v>2024</v>
      </c>
      <c r="S330" t="s">
        <v>40</v>
      </c>
    </row>
    <row r="331" spans="1:19" x14ac:dyDescent="0.3">
      <c r="A331" t="s">
        <v>404</v>
      </c>
      <c r="B331" s="1">
        <v>45286</v>
      </c>
      <c r="C331" t="s">
        <v>78</v>
      </c>
      <c r="D331" t="s">
        <v>79</v>
      </c>
      <c r="E331" t="s">
        <v>38</v>
      </c>
      <c r="F331" t="s">
        <v>23</v>
      </c>
      <c r="G331">
        <v>57848.27</v>
      </c>
      <c r="H331">
        <v>37451.06</v>
      </c>
      <c r="I331">
        <v>20397.21</v>
      </c>
      <c r="J331">
        <v>47917.85</v>
      </c>
      <c r="K331">
        <v>41268.46</v>
      </c>
      <c r="L331">
        <v>198420.41</v>
      </c>
      <c r="M331">
        <v>673</v>
      </c>
      <c r="N331">
        <v>4.4400000000000002E-2</v>
      </c>
      <c r="O331">
        <v>0.35260000000000002</v>
      </c>
      <c r="P331">
        <v>0.20799999999999999</v>
      </c>
      <c r="Q331" t="s">
        <v>44</v>
      </c>
      <c r="R331">
        <v>2023</v>
      </c>
      <c r="S331" t="s">
        <v>25</v>
      </c>
    </row>
    <row r="332" spans="1:19" x14ac:dyDescent="0.3">
      <c r="A332" t="s">
        <v>405</v>
      </c>
      <c r="B332" s="1">
        <v>45858</v>
      </c>
      <c r="C332" t="s">
        <v>48</v>
      </c>
      <c r="D332" t="s">
        <v>49</v>
      </c>
      <c r="E332" t="s">
        <v>32</v>
      </c>
      <c r="F332" t="s">
        <v>33</v>
      </c>
      <c r="G332">
        <v>38183.57</v>
      </c>
      <c r="H332">
        <v>34401.339999999997</v>
      </c>
      <c r="I332">
        <v>3782.23</v>
      </c>
      <c r="J332">
        <v>18987.47</v>
      </c>
      <c r="K332">
        <v>30141.97</v>
      </c>
      <c r="L332">
        <v>111123.92</v>
      </c>
      <c r="M332">
        <v>1253</v>
      </c>
      <c r="N332">
        <v>8.4900000000000003E-2</v>
      </c>
      <c r="O332">
        <v>9.9099999999999994E-2</v>
      </c>
      <c r="P332">
        <v>0.2712</v>
      </c>
      <c r="Q332" t="s">
        <v>24</v>
      </c>
      <c r="R332">
        <v>2025</v>
      </c>
      <c r="S332" t="s">
        <v>25</v>
      </c>
    </row>
    <row r="333" spans="1:19" x14ac:dyDescent="0.3">
      <c r="A333" t="s">
        <v>406</v>
      </c>
      <c r="B333" s="1">
        <v>45283</v>
      </c>
      <c r="C333" t="s">
        <v>20</v>
      </c>
      <c r="D333" t="s">
        <v>21</v>
      </c>
      <c r="E333" t="s">
        <v>32</v>
      </c>
      <c r="F333" t="s">
        <v>33</v>
      </c>
      <c r="G333">
        <v>249388.78</v>
      </c>
      <c r="H333">
        <v>223455.76</v>
      </c>
      <c r="I333">
        <v>25933.02</v>
      </c>
      <c r="J333">
        <v>35726.629999999997</v>
      </c>
      <c r="K333">
        <v>86614.37</v>
      </c>
      <c r="L333">
        <v>66855.31</v>
      </c>
      <c r="M333">
        <v>2231</v>
      </c>
      <c r="N333">
        <v>-1.12E-2</v>
      </c>
      <c r="O333">
        <v>0.104</v>
      </c>
      <c r="P333">
        <v>1.2955000000000001</v>
      </c>
      <c r="Q333" t="s">
        <v>44</v>
      </c>
      <c r="R333">
        <v>2023</v>
      </c>
      <c r="S333" t="s">
        <v>82</v>
      </c>
    </row>
    <row r="334" spans="1:19" x14ac:dyDescent="0.3">
      <c r="A334" t="s">
        <v>407</v>
      </c>
      <c r="B334" s="1">
        <v>45410</v>
      </c>
      <c r="C334" t="s">
        <v>27</v>
      </c>
      <c r="D334" t="s">
        <v>28</v>
      </c>
      <c r="E334" t="s">
        <v>144</v>
      </c>
      <c r="F334" t="s">
        <v>23</v>
      </c>
      <c r="G334">
        <v>350295.24</v>
      </c>
      <c r="H334">
        <v>310685.3</v>
      </c>
      <c r="I334">
        <v>39609.94</v>
      </c>
      <c r="J334">
        <v>38370.5</v>
      </c>
      <c r="K334">
        <v>40401.21</v>
      </c>
      <c r="L334">
        <v>1176251.45</v>
      </c>
      <c r="M334">
        <v>351</v>
      </c>
      <c r="N334">
        <v>0.1394</v>
      </c>
      <c r="O334">
        <v>0.11310000000000001</v>
      </c>
      <c r="P334">
        <v>3.4299999999999997E-2</v>
      </c>
      <c r="Q334" t="s">
        <v>111</v>
      </c>
      <c r="R334">
        <v>2024</v>
      </c>
      <c r="S334" t="s">
        <v>25</v>
      </c>
    </row>
    <row r="335" spans="1:19" x14ac:dyDescent="0.3">
      <c r="A335" t="s">
        <v>408</v>
      </c>
      <c r="B335" s="1">
        <v>45629</v>
      </c>
      <c r="C335" t="s">
        <v>85</v>
      </c>
      <c r="D335" t="s">
        <v>86</v>
      </c>
      <c r="E335" t="s">
        <v>51</v>
      </c>
      <c r="F335" t="s">
        <v>23</v>
      </c>
      <c r="G335">
        <v>70998.710000000006</v>
      </c>
      <c r="H335">
        <v>45287.74</v>
      </c>
      <c r="I335">
        <v>25710.97</v>
      </c>
      <c r="J335">
        <v>24416.99</v>
      </c>
      <c r="K335">
        <v>32838.04</v>
      </c>
      <c r="L335">
        <v>55051.43</v>
      </c>
      <c r="M335">
        <v>622</v>
      </c>
      <c r="N335">
        <v>-3.1E-2</v>
      </c>
      <c r="O335">
        <v>0.36209999999999998</v>
      </c>
      <c r="P335">
        <v>0.59650000000000003</v>
      </c>
      <c r="Q335" t="s">
        <v>52</v>
      </c>
      <c r="R335">
        <v>2024</v>
      </c>
      <c r="S335" t="s">
        <v>40</v>
      </c>
    </row>
    <row r="336" spans="1:19" x14ac:dyDescent="0.3">
      <c r="A336" t="s">
        <v>409</v>
      </c>
      <c r="B336" s="1">
        <v>45627</v>
      </c>
      <c r="C336" t="s">
        <v>48</v>
      </c>
      <c r="D336" t="s">
        <v>49</v>
      </c>
      <c r="E336" t="s">
        <v>22</v>
      </c>
      <c r="F336" t="s">
        <v>23</v>
      </c>
      <c r="G336">
        <v>185150.83</v>
      </c>
      <c r="H336">
        <v>110429.5</v>
      </c>
      <c r="I336">
        <v>74721.33</v>
      </c>
      <c r="J336">
        <v>21365.54</v>
      </c>
      <c r="K336">
        <v>14991.44</v>
      </c>
      <c r="L336">
        <v>127074.13</v>
      </c>
      <c r="M336">
        <v>1222</v>
      </c>
      <c r="N336">
        <v>0.14860000000000001</v>
      </c>
      <c r="O336">
        <v>0.40360000000000001</v>
      </c>
      <c r="P336">
        <v>0.11799999999999999</v>
      </c>
      <c r="Q336" t="s">
        <v>52</v>
      </c>
      <c r="R336">
        <v>2024</v>
      </c>
      <c r="S336" t="s">
        <v>25</v>
      </c>
    </row>
    <row r="337" spans="1:19" x14ac:dyDescent="0.3">
      <c r="A337" t="s">
        <v>410</v>
      </c>
      <c r="B337" s="1">
        <v>44903</v>
      </c>
      <c r="C337" t="s">
        <v>20</v>
      </c>
      <c r="D337" t="s">
        <v>21</v>
      </c>
      <c r="E337" t="s">
        <v>51</v>
      </c>
      <c r="F337" t="s">
        <v>23</v>
      </c>
      <c r="G337">
        <v>77943.839999999997</v>
      </c>
      <c r="H337">
        <v>65226.55</v>
      </c>
      <c r="I337">
        <v>12717.29</v>
      </c>
      <c r="J337">
        <v>81398.350000000006</v>
      </c>
      <c r="K337">
        <v>15333.84</v>
      </c>
      <c r="L337">
        <v>105655.82</v>
      </c>
      <c r="M337">
        <v>1127</v>
      </c>
      <c r="N337">
        <v>2.47E-2</v>
      </c>
      <c r="O337">
        <v>0.16320000000000001</v>
      </c>
      <c r="P337">
        <v>0.14510000000000001</v>
      </c>
      <c r="Q337" t="s">
        <v>46</v>
      </c>
      <c r="R337">
        <v>2022</v>
      </c>
      <c r="S337" t="s">
        <v>25</v>
      </c>
    </row>
    <row r="338" spans="1:19" x14ac:dyDescent="0.3">
      <c r="A338" t="s">
        <v>411</v>
      </c>
      <c r="B338" s="1">
        <v>45591</v>
      </c>
      <c r="C338" t="s">
        <v>36</v>
      </c>
      <c r="D338" t="s">
        <v>37</v>
      </c>
      <c r="E338" t="s">
        <v>32</v>
      </c>
      <c r="F338" t="s">
        <v>33</v>
      </c>
      <c r="G338">
        <v>34133.370000000003</v>
      </c>
      <c r="H338">
        <v>29484.42</v>
      </c>
      <c r="I338">
        <v>4648.95</v>
      </c>
      <c r="J338">
        <v>73336.63</v>
      </c>
      <c r="K338">
        <v>13208.39</v>
      </c>
      <c r="L338">
        <v>195911.26</v>
      </c>
      <c r="M338">
        <v>1331</v>
      </c>
      <c r="N338">
        <v>0.1205</v>
      </c>
      <c r="O338">
        <v>0.13619999999999999</v>
      </c>
      <c r="P338">
        <v>6.7400000000000002E-2</v>
      </c>
      <c r="Q338" t="s">
        <v>52</v>
      </c>
      <c r="R338">
        <v>2024</v>
      </c>
      <c r="S338" t="s">
        <v>25</v>
      </c>
    </row>
    <row r="339" spans="1:19" x14ac:dyDescent="0.3">
      <c r="A339" t="s">
        <v>412</v>
      </c>
      <c r="B339" s="1">
        <v>45940</v>
      </c>
      <c r="C339" t="s">
        <v>30</v>
      </c>
      <c r="D339" t="s">
        <v>31</v>
      </c>
      <c r="E339" t="s">
        <v>38</v>
      </c>
      <c r="F339" t="s">
        <v>23</v>
      </c>
      <c r="G339">
        <v>55352.38</v>
      </c>
      <c r="H339">
        <v>47842.6</v>
      </c>
      <c r="I339">
        <v>7509.78</v>
      </c>
      <c r="J339">
        <v>18502.71</v>
      </c>
      <c r="K339">
        <v>34996.67</v>
      </c>
      <c r="L339">
        <v>79638.460000000006</v>
      </c>
      <c r="M339">
        <v>867</v>
      </c>
      <c r="N339">
        <v>6.2600000000000003E-2</v>
      </c>
      <c r="O339">
        <v>0.13569999999999999</v>
      </c>
      <c r="P339">
        <v>0.43940000000000001</v>
      </c>
      <c r="Q339" t="s">
        <v>66</v>
      </c>
      <c r="R339">
        <v>2025</v>
      </c>
      <c r="S339" t="s">
        <v>40</v>
      </c>
    </row>
    <row r="340" spans="1:19" x14ac:dyDescent="0.3">
      <c r="A340" t="s">
        <v>413</v>
      </c>
      <c r="B340" s="1">
        <v>44698</v>
      </c>
      <c r="C340" t="s">
        <v>85</v>
      </c>
      <c r="D340" t="s">
        <v>86</v>
      </c>
      <c r="E340" t="s">
        <v>38</v>
      </c>
      <c r="F340" t="s">
        <v>23</v>
      </c>
      <c r="G340">
        <v>122815.91</v>
      </c>
      <c r="H340">
        <v>79952.11</v>
      </c>
      <c r="I340">
        <v>42863.8</v>
      </c>
      <c r="J340">
        <v>16467.64</v>
      </c>
      <c r="K340">
        <v>16066.48</v>
      </c>
      <c r="L340">
        <v>29878.11</v>
      </c>
      <c r="M340">
        <v>1011</v>
      </c>
      <c r="N340">
        <v>6.4399999999999999E-2</v>
      </c>
      <c r="O340">
        <v>0.34899999999999998</v>
      </c>
      <c r="P340">
        <v>0.53769999999999996</v>
      </c>
      <c r="Q340" t="s">
        <v>58</v>
      </c>
      <c r="R340">
        <v>2022</v>
      </c>
      <c r="S340" t="s">
        <v>40</v>
      </c>
    </row>
    <row r="341" spans="1:19" x14ac:dyDescent="0.3">
      <c r="A341" t="s">
        <v>414</v>
      </c>
      <c r="B341" s="1">
        <v>44713</v>
      </c>
      <c r="C341" t="s">
        <v>102</v>
      </c>
      <c r="D341" t="s">
        <v>103</v>
      </c>
      <c r="E341" t="s">
        <v>32</v>
      </c>
      <c r="F341" t="s">
        <v>33</v>
      </c>
      <c r="G341">
        <v>105657.28</v>
      </c>
      <c r="H341">
        <v>60285.3</v>
      </c>
      <c r="I341">
        <v>45371.98</v>
      </c>
      <c r="J341">
        <v>53600.28</v>
      </c>
      <c r="K341">
        <v>12592.63</v>
      </c>
      <c r="L341">
        <v>275620.2</v>
      </c>
      <c r="M341">
        <v>1365</v>
      </c>
      <c r="N341">
        <v>-7.7000000000000002E-3</v>
      </c>
      <c r="O341">
        <v>0.4294</v>
      </c>
      <c r="P341">
        <v>4.5699999999999998E-2</v>
      </c>
      <c r="Q341" t="s">
        <v>58</v>
      </c>
      <c r="R341">
        <v>2022</v>
      </c>
      <c r="S341" t="s">
        <v>25</v>
      </c>
    </row>
    <row r="342" spans="1:19" x14ac:dyDescent="0.3">
      <c r="A342" t="s">
        <v>415</v>
      </c>
      <c r="B342" s="1">
        <v>45717</v>
      </c>
      <c r="C342" t="s">
        <v>42</v>
      </c>
      <c r="D342" t="s">
        <v>43</v>
      </c>
      <c r="E342" t="s">
        <v>22</v>
      </c>
      <c r="F342" t="s">
        <v>23</v>
      </c>
      <c r="G342">
        <v>152993.85999999999</v>
      </c>
      <c r="H342">
        <v>99523.16</v>
      </c>
      <c r="I342">
        <v>53470.7</v>
      </c>
      <c r="J342">
        <v>15147.56</v>
      </c>
      <c r="K342">
        <v>18000.95</v>
      </c>
      <c r="L342">
        <v>56522.62</v>
      </c>
      <c r="M342">
        <v>616</v>
      </c>
      <c r="N342">
        <v>-0.13139999999999999</v>
      </c>
      <c r="O342">
        <v>0.34949999999999998</v>
      </c>
      <c r="P342">
        <v>0.31850000000000001</v>
      </c>
      <c r="Q342" t="s">
        <v>106</v>
      </c>
      <c r="R342">
        <v>2025</v>
      </c>
      <c r="S342" t="s">
        <v>40</v>
      </c>
    </row>
    <row r="343" spans="1:19" x14ac:dyDescent="0.3">
      <c r="A343" t="s">
        <v>416</v>
      </c>
      <c r="B343" s="1">
        <v>45007</v>
      </c>
      <c r="C343" t="s">
        <v>48</v>
      </c>
      <c r="D343" t="s">
        <v>49</v>
      </c>
      <c r="E343" t="s">
        <v>22</v>
      </c>
      <c r="F343" t="s">
        <v>23</v>
      </c>
      <c r="G343">
        <v>37435.47</v>
      </c>
      <c r="H343">
        <v>30038.1</v>
      </c>
      <c r="I343">
        <v>7397.37</v>
      </c>
      <c r="J343">
        <v>31993.93</v>
      </c>
      <c r="K343">
        <v>50041.79</v>
      </c>
      <c r="L343">
        <v>199545.44</v>
      </c>
      <c r="M343">
        <v>398</v>
      </c>
      <c r="N343">
        <v>0.113</v>
      </c>
      <c r="O343">
        <v>0.1976</v>
      </c>
      <c r="P343">
        <v>0.25080000000000002</v>
      </c>
      <c r="Q343" t="s">
        <v>118</v>
      </c>
      <c r="R343">
        <v>2023</v>
      </c>
      <c r="S343" t="s">
        <v>25</v>
      </c>
    </row>
    <row r="344" spans="1:19" x14ac:dyDescent="0.3">
      <c r="A344" t="s">
        <v>417</v>
      </c>
      <c r="B344" s="1">
        <v>45697</v>
      </c>
      <c r="C344" t="s">
        <v>85</v>
      </c>
      <c r="D344" t="s">
        <v>86</v>
      </c>
      <c r="E344" t="s">
        <v>51</v>
      </c>
      <c r="F344" t="s">
        <v>23</v>
      </c>
      <c r="G344">
        <v>40414.67</v>
      </c>
      <c r="H344">
        <v>35282.699999999997</v>
      </c>
      <c r="I344">
        <v>5131.97</v>
      </c>
      <c r="J344">
        <v>37493.67</v>
      </c>
      <c r="K344">
        <v>122654.89</v>
      </c>
      <c r="L344">
        <v>108097.4</v>
      </c>
      <c r="M344">
        <v>1680</v>
      </c>
      <c r="N344">
        <v>-0.14369999999999999</v>
      </c>
      <c r="O344">
        <v>0.127</v>
      </c>
      <c r="P344">
        <v>1.1347</v>
      </c>
      <c r="Q344" t="s">
        <v>106</v>
      </c>
      <c r="R344">
        <v>2025</v>
      </c>
      <c r="S344" t="s">
        <v>82</v>
      </c>
    </row>
    <row r="345" spans="1:19" x14ac:dyDescent="0.3">
      <c r="A345" t="s">
        <v>418</v>
      </c>
      <c r="B345" s="1">
        <v>45064</v>
      </c>
      <c r="C345" t="s">
        <v>42</v>
      </c>
      <c r="D345" t="s">
        <v>43</v>
      </c>
      <c r="E345" t="s">
        <v>38</v>
      </c>
      <c r="F345" t="s">
        <v>23</v>
      </c>
      <c r="G345">
        <v>124145.58</v>
      </c>
      <c r="H345">
        <v>72815.45</v>
      </c>
      <c r="I345">
        <v>51330.13</v>
      </c>
      <c r="J345">
        <v>19913.2</v>
      </c>
      <c r="K345">
        <v>22760.91</v>
      </c>
      <c r="L345">
        <v>56947.62</v>
      </c>
      <c r="M345">
        <v>971</v>
      </c>
      <c r="N345">
        <v>-5.2699999999999997E-2</v>
      </c>
      <c r="O345">
        <v>0.41349999999999998</v>
      </c>
      <c r="P345">
        <v>0.3997</v>
      </c>
      <c r="Q345" t="s">
        <v>39</v>
      </c>
      <c r="R345">
        <v>2023</v>
      </c>
      <c r="S345" t="s">
        <v>40</v>
      </c>
    </row>
    <row r="346" spans="1:19" x14ac:dyDescent="0.3">
      <c r="A346" t="s">
        <v>419</v>
      </c>
      <c r="B346" s="1">
        <v>45313</v>
      </c>
      <c r="C346" t="s">
        <v>27</v>
      </c>
      <c r="D346" t="s">
        <v>28</v>
      </c>
      <c r="E346" t="s">
        <v>38</v>
      </c>
      <c r="F346" t="s">
        <v>23</v>
      </c>
      <c r="G346">
        <v>115021.59</v>
      </c>
      <c r="H346">
        <v>89517.77</v>
      </c>
      <c r="I346">
        <v>25503.82</v>
      </c>
      <c r="J346">
        <v>65667.009999999995</v>
      </c>
      <c r="K346">
        <v>20111.18</v>
      </c>
      <c r="L346">
        <v>151316.01999999999</v>
      </c>
      <c r="M346">
        <v>1024</v>
      </c>
      <c r="N346">
        <v>3.8300000000000001E-2</v>
      </c>
      <c r="O346">
        <v>0.22170000000000001</v>
      </c>
      <c r="P346">
        <v>0.13289999999999999</v>
      </c>
      <c r="Q346" t="s">
        <v>80</v>
      </c>
      <c r="R346">
        <v>2024</v>
      </c>
      <c r="S346" t="s">
        <v>25</v>
      </c>
    </row>
    <row r="347" spans="1:19" x14ac:dyDescent="0.3">
      <c r="A347" t="s">
        <v>420</v>
      </c>
      <c r="B347" s="1">
        <v>45454</v>
      </c>
      <c r="C347" t="s">
        <v>102</v>
      </c>
      <c r="D347" t="s">
        <v>103</v>
      </c>
      <c r="E347" t="s">
        <v>38</v>
      </c>
      <c r="F347" t="s">
        <v>23</v>
      </c>
      <c r="G347">
        <v>21161.21</v>
      </c>
      <c r="H347">
        <v>12032.88</v>
      </c>
      <c r="I347">
        <v>9128.33</v>
      </c>
      <c r="J347">
        <v>17992.86</v>
      </c>
      <c r="K347">
        <v>29839.86</v>
      </c>
      <c r="L347">
        <v>65744.789999999994</v>
      </c>
      <c r="M347">
        <v>452</v>
      </c>
      <c r="N347">
        <v>-7.4999999999999997E-3</v>
      </c>
      <c r="O347">
        <v>0.43140000000000001</v>
      </c>
      <c r="P347">
        <v>0.45390000000000003</v>
      </c>
      <c r="Q347" t="s">
        <v>111</v>
      </c>
      <c r="R347">
        <v>2024</v>
      </c>
      <c r="S347" t="s">
        <v>40</v>
      </c>
    </row>
    <row r="348" spans="1:19" x14ac:dyDescent="0.3">
      <c r="A348" t="s">
        <v>421</v>
      </c>
      <c r="B348" s="1">
        <v>45776</v>
      </c>
      <c r="C348" t="s">
        <v>48</v>
      </c>
      <c r="D348" t="s">
        <v>49</v>
      </c>
      <c r="E348" t="s">
        <v>38</v>
      </c>
      <c r="F348" t="s">
        <v>23</v>
      </c>
      <c r="H348">
        <v>91805.29</v>
      </c>
      <c r="J348">
        <v>40705.17</v>
      </c>
      <c r="K348">
        <v>18202</v>
      </c>
      <c r="L348">
        <v>122755.53</v>
      </c>
      <c r="M348">
        <v>931</v>
      </c>
      <c r="N348">
        <v>-3.73E-2</v>
      </c>
      <c r="P348">
        <v>0.14829999999999999</v>
      </c>
      <c r="Q348" t="s">
        <v>34</v>
      </c>
      <c r="R348">
        <v>2025</v>
      </c>
      <c r="S348" t="s">
        <v>25</v>
      </c>
    </row>
    <row r="349" spans="1:19" x14ac:dyDescent="0.3">
      <c r="A349" t="s">
        <v>422</v>
      </c>
      <c r="B349" s="1">
        <v>45057</v>
      </c>
      <c r="C349" t="s">
        <v>48</v>
      </c>
      <c r="D349" t="s">
        <v>49</v>
      </c>
      <c r="E349" t="s">
        <v>22</v>
      </c>
      <c r="F349" t="s">
        <v>23</v>
      </c>
      <c r="G349">
        <v>163077.56</v>
      </c>
      <c r="H349">
        <v>103041.91</v>
      </c>
      <c r="I349">
        <v>60035.65</v>
      </c>
      <c r="J349">
        <v>31405.32</v>
      </c>
      <c r="K349">
        <v>70277.67</v>
      </c>
      <c r="L349">
        <v>73708.990000000005</v>
      </c>
      <c r="M349">
        <v>746</v>
      </c>
      <c r="N349">
        <v>9.6500000000000002E-2</v>
      </c>
      <c r="O349">
        <v>0.36809999999999998</v>
      </c>
      <c r="P349">
        <v>0.95340000000000003</v>
      </c>
      <c r="Q349" t="s">
        <v>39</v>
      </c>
      <c r="R349">
        <v>2023</v>
      </c>
      <c r="S349" t="s">
        <v>82</v>
      </c>
    </row>
    <row r="350" spans="1:19" x14ac:dyDescent="0.3">
      <c r="A350" t="s">
        <v>423</v>
      </c>
      <c r="B350" s="1">
        <v>45577</v>
      </c>
      <c r="C350" t="s">
        <v>48</v>
      </c>
      <c r="D350" t="s">
        <v>49</v>
      </c>
      <c r="E350" t="s">
        <v>38</v>
      </c>
      <c r="F350" t="s">
        <v>23</v>
      </c>
      <c r="J350">
        <v>45001.59</v>
      </c>
      <c r="K350">
        <v>26331.85</v>
      </c>
      <c r="L350">
        <v>85727.55</v>
      </c>
      <c r="M350">
        <v>535</v>
      </c>
      <c r="N350">
        <v>-1.34E-2</v>
      </c>
      <c r="P350">
        <v>0.30719999999999997</v>
      </c>
      <c r="Q350" t="s">
        <v>52</v>
      </c>
      <c r="R350">
        <v>2024</v>
      </c>
      <c r="S350" t="s">
        <v>40</v>
      </c>
    </row>
    <row r="351" spans="1:19" x14ac:dyDescent="0.3">
      <c r="A351" t="s">
        <v>424</v>
      </c>
      <c r="B351" s="1">
        <v>45346</v>
      </c>
      <c r="C351" t="s">
        <v>68</v>
      </c>
      <c r="D351" t="s">
        <v>69</v>
      </c>
      <c r="E351" t="s">
        <v>51</v>
      </c>
      <c r="F351" t="s">
        <v>23</v>
      </c>
      <c r="G351">
        <v>45785.85</v>
      </c>
      <c r="H351">
        <v>33860.980000000003</v>
      </c>
      <c r="I351">
        <v>11924.87</v>
      </c>
      <c r="J351">
        <v>19271.88</v>
      </c>
      <c r="K351">
        <v>61420.22</v>
      </c>
      <c r="L351">
        <v>183555.97</v>
      </c>
      <c r="M351">
        <v>1251</v>
      </c>
      <c r="N351">
        <v>-7.1900000000000006E-2</v>
      </c>
      <c r="O351">
        <v>0.26040000000000002</v>
      </c>
      <c r="P351">
        <v>0.33460000000000001</v>
      </c>
      <c r="Q351" t="s">
        <v>80</v>
      </c>
      <c r="R351">
        <v>2024</v>
      </c>
      <c r="S351" t="s">
        <v>40</v>
      </c>
    </row>
    <row r="352" spans="1:19" x14ac:dyDescent="0.3">
      <c r="A352" t="s">
        <v>425</v>
      </c>
      <c r="B352" s="1">
        <v>45902</v>
      </c>
      <c r="C352" t="s">
        <v>61</v>
      </c>
      <c r="D352" t="s">
        <v>74</v>
      </c>
      <c r="E352" t="s">
        <v>22</v>
      </c>
      <c r="F352" t="s">
        <v>23</v>
      </c>
      <c r="G352">
        <v>132337.96</v>
      </c>
      <c r="H352">
        <v>119903.05</v>
      </c>
      <c r="I352">
        <v>12434.91</v>
      </c>
      <c r="J352">
        <v>29765.19</v>
      </c>
      <c r="K352">
        <v>96455.67</v>
      </c>
      <c r="L352">
        <v>75583.820000000007</v>
      </c>
      <c r="M352">
        <v>2565</v>
      </c>
      <c r="N352">
        <v>0.15659999999999999</v>
      </c>
      <c r="O352">
        <v>9.4E-2</v>
      </c>
      <c r="P352">
        <v>1.2761</v>
      </c>
      <c r="Q352" t="s">
        <v>24</v>
      </c>
      <c r="R352">
        <v>2025</v>
      </c>
      <c r="S352" t="s">
        <v>82</v>
      </c>
    </row>
    <row r="353" spans="1:19" x14ac:dyDescent="0.3">
      <c r="A353" t="s">
        <v>426</v>
      </c>
      <c r="B353" s="1">
        <v>45369</v>
      </c>
      <c r="C353" t="s">
        <v>27</v>
      </c>
      <c r="D353" t="s">
        <v>28</v>
      </c>
      <c r="E353" t="s">
        <v>38</v>
      </c>
      <c r="F353" t="s">
        <v>23</v>
      </c>
      <c r="G353">
        <v>89890.240000000005</v>
      </c>
      <c r="H353">
        <v>50833.7</v>
      </c>
      <c r="I353">
        <v>39056.54</v>
      </c>
      <c r="J353">
        <v>26029.81</v>
      </c>
      <c r="K353">
        <v>10302.19</v>
      </c>
      <c r="L353">
        <v>74118.8</v>
      </c>
      <c r="M353">
        <v>961</v>
      </c>
      <c r="N353">
        <v>8.6400000000000005E-2</v>
      </c>
      <c r="O353">
        <v>0.4345</v>
      </c>
      <c r="P353">
        <v>0.13900000000000001</v>
      </c>
      <c r="Q353" t="s">
        <v>80</v>
      </c>
      <c r="R353">
        <v>2024</v>
      </c>
      <c r="S353" t="s">
        <v>25</v>
      </c>
    </row>
    <row r="354" spans="1:19" x14ac:dyDescent="0.3">
      <c r="A354" t="s">
        <v>427</v>
      </c>
      <c r="B354" s="1">
        <v>44732</v>
      </c>
      <c r="C354" t="s">
        <v>85</v>
      </c>
      <c r="D354" t="s">
        <v>86</v>
      </c>
      <c r="E354" t="s">
        <v>38</v>
      </c>
      <c r="F354" t="s">
        <v>23</v>
      </c>
      <c r="G354">
        <v>41356.93</v>
      </c>
      <c r="J354">
        <v>15057.8</v>
      </c>
      <c r="K354">
        <v>25842.45</v>
      </c>
      <c r="L354">
        <v>52131.28</v>
      </c>
      <c r="M354">
        <v>453</v>
      </c>
      <c r="N354">
        <v>-6.4699999999999994E-2</v>
      </c>
      <c r="P354">
        <v>0.49569999999999997</v>
      </c>
      <c r="Q354" t="s">
        <v>58</v>
      </c>
      <c r="R354">
        <v>2022</v>
      </c>
      <c r="S354" t="s">
        <v>40</v>
      </c>
    </row>
    <row r="355" spans="1:19" x14ac:dyDescent="0.3">
      <c r="A355" t="s">
        <v>428</v>
      </c>
      <c r="B355" s="1">
        <v>45815</v>
      </c>
      <c r="C355" t="s">
        <v>30</v>
      </c>
      <c r="D355" t="s">
        <v>31</v>
      </c>
      <c r="E355" t="s">
        <v>38</v>
      </c>
      <c r="F355" t="s">
        <v>23</v>
      </c>
      <c r="G355">
        <v>266573.64</v>
      </c>
      <c r="H355">
        <v>188875.27</v>
      </c>
      <c r="I355">
        <v>77698.37</v>
      </c>
      <c r="J355">
        <v>42009.87</v>
      </c>
      <c r="K355">
        <v>50017.31</v>
      </c>
      <c r="L355">
        <v>132661.57</v>
      </c>
      <c r="M355">
        <v>997</v>
      </c>
      <c r="N355">
        <v>-8.6E-3</v>
      </c>
      <c r="O355">
        <v>0.29149999999999998</v>
      </c>
      <c r="P355">
        <v>0.377</v>
      </c>
      <c r="Q355" t="s">
        <v>34</v>
      </c>
      <c r="R355">
        <v>2025</v>
      </c>
      <c r="S355" t="s">
        <v>40</v>
      </c>
    </row>
    <row r="356" spans="1:19" x14ac:dyDescent="0.3">
      <c r="A356" t="s">
        <v>429</v>
      </c>
      <c r="B356" s="1">
        <v>45055</v>
      </c>
      <c r="C356" t="s">
        <v>85</v>
      </c>
      <c r="D356" t="s">
        <v>86</v>
      </c>
      <c r="E356" t="s">
        <v>51</v>
      </c>
      <c r="F356" t="s">
        <v>23</v>
      </c>
      <c r="G356">
        <v>86272.65</v>
      </c>
      <c r="H356">
        <v>63425.63</v>
      </c>
      <c r="I356">
        <v>22847.02</v>
      </c>
      <c r="J356">
        <v>25324.77</v>
      </c>
      <c r="K356">
        <v>7675.85</v>
      </c>
      <c r="L356">
        <v>69201.210000000006</v>
      </c>
      <c r="M356">
        <v>413</v>
      </c>
      <c r="N356">
        <v>3.7199999999999997E-2</v>
      </c>
      <c r="O356">
        <v>0.26479999999999998</v>
      </c>
      <c r="P356">
        <v>0.1109</v>
      </c>
      <c r="Q356" t="s">
        <v>39</v>
      </c>
      <c r="R356">
        <v>2023</v>
      </c>
      <c r="S356" t="s">
        <v>25</v>
      </c>
    </row>
    <row r="357" spans="1:19" x14ac:dyDescent="0.3">
      <c r="A357" t="s">
        <v>430</v>
      </c>
      <c r="B357" s="1">
        <v>45185</v>
      </c>
      <c r="C357" t="s">
        <v>61</v>
      </c>
      <c r="D357" t="s">
        <v>74</v>
      </c>
      <c r="E357" t="s">
        <v>32</v>
      </c>
      <c r="F357" t="s">
        <v>33</v>
      </c>
      <c r="G357">
        <v>80783.63</v>
      </c>
      <c r="H357">
        <v>69194.460000000006</v>
      </c>
      <c r="I357">
        <v>11589.17</v>
      </c>
      <c r="J357">
        <v>65742.16</v>
      </c>
      <c r="K357">
        <v>59990</v>
      </c>
      <c r="L357">
        <v>200811.65</v>
      </c>
      <c r="M357">
        <v>542</v>
      </c>
      <c r="N357">
        <v>-4.5400000000000003E-2</v>
      </c>
      <c r="O357">
        <v>0.14349999999999999</v>
      </c>
      <c r="P357">
        <v>0.29870000000000002</v>
      </c>
      <c r="Q357" t="s">
        <v>56</v>
      </c>
      <c r="R357">
        <v>2023</v>
      </c>
      <c r="S357" t="s">
        <v>25</v>
      </c>
    </row>
    <row r="358" spans="1:19" x14ac:dyDescent="0.3">
      <c r="A358" t="s">
        <v>431</v>
      </c>
      <c r="B358" s="1">
        <v>45287</v>
      </c>
      <c r="C358" t="s">
        <v>30</v>
      </c>
      <c r="D358" t="s">
        <v>31</v>
      </c>
      <c r="E358" t="s">
        <v>38</v>
      </c>
      <c r="F358" t="s">
        <v>23</v>
      </c>
      <c r="G358">
        <v>62624.11</v>
      </c>
      <c r="H358">
        <v>37511.199999999997</v>
      </c>
      <c r="I358">
        <v>25112.91</v>
      </c>
      <c r="J358">
        <v>80869.77</v>
      </c>
      <c r="K358">
        <v>88484.99</v>
      </c>
      <c r="L358">
        <v>100775.2</v>
      </c>
      <c r="M358">
        <v>1751</v>
      </c>
      <c r="N358">
        <v>-8.0999999999999996E-3</v>
      </c>
      <c r="O358">
        <v>0.40100000000000002</v>
      </c>
      <c r="P358">
        <v>0.878</v>
      </c>
      <c r="Q358" t="s">
        <v>44</v>
      </c>
      <c r="R358">
        <v>2023</v>
      </c>
      <c r="S358" t="s">
        <v>82</v>
      </c>
    </row>
    <row r="359" spans="1:19" x14ac:dyDescent="0.3">
      <c r="A359" t="s">
        <v>432</v>
      </c>
      <c r="B359" s="1">
        <v>45160</v>
      </c>
      <c r="C359" t="s">
        <v>78</v>
      </c>
      <c r="D359" t="s">
        <v>79</v>
      </c>
      <c r="E359" t="s">
        <v>22</v>
      </c>
      <c r="F359" t="s">
        <v>23</v>
      </c>
      <c r="G359">
        <v>16001.85</v>
      </c>
      <c r="H359">
        <v>10603.82</v>
      </c>
      <c r="I359">
        <v>5398.03</v>
      </c>
      <c r="J359">
        <v>12623.15</v>
      </c>
      <c r="K359">
        <v>22989.26</v>
      </c>
      <c r="L359">
        <v>134635.82999999999</v>
      </c>
      <c r="M359">
        <v>1317</v>
      </c>
      <c r="N359">
        <v>9.4999999999999998E-3</v>
      </c>
      <c r="O359">
        <v>0.33729999999999999</v>
      </c>
      <c r="P359">
        <v>0.17080000000000001</v>
      </c>
      <c r="Q359" t="s">
        <v>56</v>
      </c>
      <c r="R359">
        <v>2023</v>
      </c>
      <c r="S359" t="s">
        <v>25</v>
      </c>
    </row>
    <row r="360" spans="1:19" x14ac:dyDescent="0.3">
      <c r="A360" t="s">
        <v>433</v>
      </c>
      <c r="B360" s="1">
        <v>45822</v>
      </c>
      <c r="C360" t="s">
        <v>78</v>
      </c>
      <c r="D360" t="s">
        <v>79</v>
      </c>
      <c r="E360" t="s">
        <v>38</v>
      </c>
      <c r="F360" t="s">
        <v>23</v>
      </c>
      <c r="G360">
        <v>23466.17</v>
      </c>
      <c r="H360">
        <v>19828.16</v>
      </c>
      <c r="I360">
        <v>3638.01</v>
      </c>
      <c r="J360">
        <v>131499.28</v>
      </c>
      <c r="K360">
        <v>57198.16</v>
      </c>
      <c r="L360">
        <v>269189.51</v>
      </c>
      <c r="M360">
        <v>1461</v>
      </c>
      <c r="N360">
        <v>-3.2500000000000001E-2</v>
      </c>
      <c r="O360">
        <v>0.155</v>
      </c>
      <c r="P360">
        <v>0.21249999999999999</v>
      </c>
      <c r="Q360" t="s">
        <v>34</v>
      </c>
      <c r="R360">
        <v>2025</v>
      </c>
      <c r="S360" t="s">
        <v>25</v>
      </c>
    </row>
    <row r="361" spans="1:19" x14ac:dyDescent="0.3">
      <c r="A361" t="s">
        <v>434</v>
      </c>
      <c r="B361" s="1">
        <v>44677</v>
      </c>
      <c r="C361" t="s">
        <v>78</v>
      </c>
      <c r="D361" t="s">
        <v>79</v>
      </c>
      <c r="E361" t="s">
        <v>22</v>
      </c>
      <c r="F361" t="s">
        <v>23</v>
      </c>
      <c r="G361">
        <v>50187.43</v>
      </c>
      <c r="H361">
        <v>31966.78</v>
      </c>
      <c r="I361">
        <v>18220.650000000001</v>
      </c>
      <c r="J361">
        <v>28071.74</v>
      </c>
      <c r="K361">
        <v>11352.24</v>
      </c>
      <c r="L361">
        <v>58673.02</v>
      </c>
      <c r="M361">
        <v>579</v>
      </c>
      <c r="N361">
        <v>-6.2300000000000001E-2</v>
      </c>
      <c r="O361">
        <v>0.36309999999999998</v>
      </c>
      <c r="P361">
        <v>0.19350000000000001</v>
      </c>
      <c r="Q361" t="s">
        <v>58</v>
      </c>
      <c r="R361">
        <v>2022</v>
      </c>
      <c r="S361" t="s">
        <v>25</v>
      </c>
    </row>
    <row r="362" spans="1:19" x14ac:dyDescent="0.3">
      <c r="A362" t="s">
        <v>435</v>
      </c>
      <c r="B362" s="1">
        <v>44615</v>
      </c>
      <c r="C362" t="s">
        <v>78</v>
      </c>
      <c r="D362" t="s">
        <v>79</v>
      </c>
      <c r="E362" t="s">
        <v>32</v>
      </c>
      <c r="F362" t="s">
        <v>33</v>
      </c>
      <c r="G362">
        <v>56825.27</v>
      </c>
      <c r="H362">
        <v>31457.57</v>
      </c>
      <c r="I362">
        <v>25367.7</v>
      </c>
      <c r="J362">
        <v>12428.04</v>
      </c>
      <c r="K362">
        <v>38067.199999999997</v>
      </c>
      <c r="L362">
        <v>111531.03</v>
      </c>
      <c r="M362">
        <v>547</v>
      </c>
      <c r="N362">
        <v>-5.0900000000000001E-2</v>
      </c>
      <c r="O362">
        <v>0.44640000000000002</v>
      </c>
      <c r="P362">
        <v>0.34129999999999999</v>
      </c>
      <c r="Q362" t="s">
        <v>90</v>
      </c>
      <c r="R362">
        <v>2022</v>
      </c>
      <c r="S362" t="s">
        <v>40</v>
      </c>
    </row>
    <row r="363" spans="1:19" x14ac:dyDescent="0.3">
      <c r="A363" t="s">
        <v>436</v>
      </c>
      <c r="B363" s="1">
        <v>45918</v>
      </c>
      <c r="C363" t="s">
        <v>61</v>
      </c>
      <c r="D363" t="s">
        <v>74</v>
      </c>
      <c r="E363" t="s">
        <v>32</v>
      </c>
      <c r="F363" t="s">
        <v>33</v>
      </c>
      <c r="G363">
        <v>67631.16</v>
      </c>
      <c r="H363">
        <v>38745.74</v>
      </c>
      <c r="I363">
        <v>28885.42</v>
      </c>
      <c r="J363">
        <v>33232.730000000003</v>
      </c>
      <c r="K363">
        <v>187834.3</v>
      </c>
      <c r="L363">
        <v>192006.38</v>
      </c>
      <c r="M363">
        <v>697</v>
      </c>
      <c r="N363">
        <v>3.8699999999999998E-2</v>
      </c>
      <c r="O363">
        <v>0.42709999999999998</v>
      </c>
      <c r="P363">
        <v>0.97829999999999995</v>
      </c>
      <c r="Q363" t="s">
        <v>24</v>
      </c>
      <c r="R363">
        <v>2025</v>
      </c>
      <c r="S363" t="s">
        <v>82</v>
      </c>
    </row>
    <row r="364" spans="1:19" x14ac:dyDescent="0.3">
      <c r="A364" t="s">
        <v>437</v>
      </c>
      <c r="B364" s="1">
        <v>45561</v>
      </c>
      <c r="C364" t="s">
        <v>20</v>
      </c>
      <c r="D364" t="s">
        <v>21</v>
      </c>
      <c r="E364" t="s">
        <v>32</v>
      </c>
      <c r="F364" t="s">
        <v>33</v>
      </c>
      <c r="G364">
        <v>64901.05</v>
      </c>
      <c r="H364">
        <v>39617.839999999997</v>
      </c>
      <c r="I364">
        <v>25283.21</v>
      </c>
      <c r="J364">
        <v>18318.48</v>
      </c>
      <c r="K364">
        <v>15367.44</v>
      </c>
      <c r="L364">
        <v>45205.98</v>
      </c>
      <c r="M364">
        <v>759</v>
      </c>
      <c r="N364">
        <v>-6.1999999999999998E-3</v>
      </c>
      <c r="O364">
        <v>0.3896</v>
      </c>
      <c r="P364">
        <v>0.33989999999999998</v>
      </c>
      <c r="Q364" t="s">
        <v>72</v>
      </c>
      <c r="R364">
        <v>2024</v>
      </c>
      <c r="S364" t="s">
        <v>40</v>
      </c>
    </row>
    <row r="365" spans="1:19" x14ac:dyDescent="0.3">
      <c r="A365" t="s">
        <v>438</v>
      </c>
      <c r="B365" s="1">
        <v>45357</v>
      </c>
      <c r="C365" t="s">
        <v>61</v>
      </c>
      <c r="D365" t="s">
        <v>74</v>
      </c>
      <c r="E365" t="s">
        <v>38</v>
      </c>
      <c r="F365" t="s">
        <v>23</v>
      </c>
      <c r="G365">
        <v>80190.52</v>
      </c>
      <c r="H365">
        <v>52629.91</v>
      </c>
      <c r="I365">
        <v>27560.61</v>
      </c>
      <c r="J365">
        <v>23092.34</v>
      </c>
      <c r="K365">
        <v>12763.05</v>
      </c>
      <c r="L365">
        <v>47036.61</v>
      </c>
      <c r="M365">
        <v>1311</v>
      </c>
      <c r="N365">
        <v>3.7699999999999997E-2</v>
      </c>
      <c r="O365">
        <v>0.34370000000000001</v>
      </c>
      <c r="P365">
        <v>0.27129999999999999</v>
      </c>
      <c r="Q365" t="s">
        <v>80</v>
      </c>
      <c r="R365">
        <v>2024</v>
      </c>
      <c r="S365" t="s">
        <v>25</v>
      </c>
    </row>
    <row r="366" spans="1:19" x14ac:dyDescent="0.3">
      <c r="A366" t="s">
        <v>439</v>
      </c>
      <c r="B366" s="1">
        <v>44789</v>
      </c>
      <c r="C366" t="s">
        <v>27</v>
      </c>
      <c r="D366" t="s">
        <v>28</v>
      </c>
      <c r="E366" t="s">
        <v>22</v>
      </c>
      <c r="F366" t="s">
        <v>23</v>
      </c>
      <c r="G366">
        <v>101327.93</v>
      </c>
      <c r="H366">
        <v>63837.88</v>
      </c>
      <c r="I366">
        <v>37490.050000000003</v>
      </c>
      <c r="J366">
        <v>119375.84</v>
      </c>
      <c r="K366">
        <v>15753.16</v>
      </c>
      <c r="L366">
        <v>148574.29999999999</v>
      </c>
      <c r="M366">
        <v>939</v>
      </c>
      <c r="N366">
        <v>7.4899999999999994E-2</v>
      </c>
      <c r="O366">
        <v>0.37</v>
      </c>
      <c r="P366">
        <v>0.106</v>
      </c>
      <c r="Q366" t="s">
        <v>76</v>
      </c>
      <c r="R366">
        <v>2022</v>
      </c>
      <c r="S366" t="s">
        <v>25</v>
      </c>
    </row>
    <row r="367" spans="1:19" x14ac:dyDescent="0.3">
      <c r="A367" t="s">
        <v>440</v>
      </c>
      <c r="B367" s="1">
        <v>45749</v>
      </c>
      <c r="C367" t="s">
        <v>78</v>
      </c>
      <c r="D367" t="s">
        <v>79</v>
      </c>
      <c r="E367" t="s">
        <v>38</v>
      </c>
      <c r="F367" t="s">
        <v>23</v>
      </c>
      <c r="G367">
        <v>38436.04</v>
      </c>
      <c r="H367">
        <v>23575.87</v>
      </c>
      <c r="I367">
        <v>14860.17</v>
      </c>
      <c r="J367">
        <v>27702.22</v>
      </c>
      <c r="K367">
        <v>34579.379999999997</v>
      </c>
      <c r="L367">
        <v>176154.36</v>
      </c>
      <c r="M367">
        <v>1459</v>
      </c>
      <c r="N367">
        <v>-3.3399999999999999E-2</v>
      </c>
      <c r="O367">
        <v>0.3866</v>
      </c>
      <c r="P367">
        <v>0.1963</v>
      </c>
      <c r="Q367" t="s">
        <v>34</v>
      </c>
      <c r="R367">
        <v>2025</v>
      </c>
      <c r="S367" t="s">
        <v>25</v>
      </c>
    </row>
    <row r="368" spans="1:19" x14ac:dyDescent="0.3">
      <c r="A368" t="s">
        <v>441</v>
      </c>
      <c r="B368" s="1">
        <v>44782</v>
      </c>
      <c r="C368" t="s">
        <v>54</v>
      </c>
      <c r="D368" t="s">
        <v>55</v>
      </c>
      <c r="E368" t="s">
        <v>22</v>
      </c>
      <c r="F368" t="s">
        <v>23</v>
      </c>
      <c r="G368">
        <v>31540.17</v>
      </c>
      <c r="H368">
        <v>20987.07</v>
      </c>
      <c r="I368">
        <v>10553.1</v>
      </c>
      <c r="J368">
        <v>13851.03</v>
      </c>
      <c r="K368">
        <v>53634.44</v>
      </c>
      <c r="L368">
        <v>91145.77</v>
      </c>
      <c r="M368">
        <v>737</v>
      </c>
      <c r="N368">
        <v>3.6600000000000001E-2</v>
      </c>
      <c r="O368">
        <v>0.33460000000000001</v>
      </c>
      <c r="P368">
        <v>0.58840000000000003</v>
      </c>
      <c r="Q368" t="s">
        <v>76</v>
      </c>
      <c r="R368">
        <v>2022</v>
      </c>
      <c r="S368" t="s">
        <v>40</v>
      </c>
    </row>
    <row r="369" spans="1:19" x14ac:dyDescent="0.3">
      <c r="A369" t="s">
        <v>442</v>
      </c>
      <c r="B369" s="1">
        <v>45477</v>
      </c>
      <c r="C369" t="s">
        <v>42</v>
      </c>
      <c r="D369" t="s">
        <v>43</v>
      </c>
      <c r="E369" t="s">
        <v>38</v>
      </c>
      <c r="F369" t="s">
        <v>23</v>
      </c>
      <c r="G369">
        <v>99120.08</v>
      </c>
      <c r="H369">
        <v>57524.22</v>
      </c>
      <c r="I369">
        <v>41595.86</v>
      </c>
      <c r="J369">
        <v>141052.68</v>
      </c>
      <c r="K369">
        <v>25745.5</v>
      </c>
      <c r="L369">
        <v>183272.01</v>
      </c>
      <c r="M369">
        <v>563</v>
      </c>
      <c r="N369">
        <v>1.09E-2</v>
      </c>
      <c r="O369">
        <v>0.41970000000000002</v>
      </c>
      <c r="P369">
        <v>0.14050000000000001</v>
      </c>
      <c r="Q369" t="s">
        <v>72</v>
      </c>
      <c r="R369">
        <v>2024</v>
      </c>
      <c r="S369" t="s">
        <v>25</v>
      </c>
    </row>
    <row r="370" spans="1:19" x14ac:dyDescent="0.3">
      <c r="A370" t="s">
        <v>443</v>
      </c>
      <c r="B370" s="1">
        <v>44945</v>
      </c>
      <c r="C370" t="s">
        <v>61</v>
      </c>
      <c r="D370" t="s">
        <v>74</v>
      </c>
      <c r="E370" t="s">
        <v>22</v>
      </c>
      <c r="F370" t="s">
        <v>23</v>
      </c>
      <c r="G370">
        <v>75229.17</v>
      </c>
      <c r="H370">
        <v>59131.91</v>
      </c>
      <c r="I370">
        <v>16097.26</v>
      </c>
      <c r="J370">
        <v>101297.18</v>
      </c>
      <c r="K370">
        <v>6990.03</v>
      </c>
      <c r="L370">
        <v>114024.13</v>
      </c>
      <c r="M370">
        <v>1795</v>
      </c>
      <c r="N370">
        <v>9.2899999999999996E-2</v>
      </c>
      <c r="O370">
        <v>0.214</v>
      </c>
      <c r="P370">
        <v>6.13E-2</v>
      </c>
      <c r="Q370" t="s">
        <v>118</v>
      </c>
      <c r="R370">
        <v>2023</v>
      </c>
      <c r="S370" t="s">
        <v>25</v>
      </c>
    </row>
    <row r="371" spans="1:19" x14ac:dyDescent="0.3">
      <c r="A371" t="s">
        <v>444</v>
      </c>
      <c r="B371" s="1">
        <v>45692</v>
      </c>
      <c r="C371" t="s">
        <v>20</v>
      </c>
      <c r="D371" t="s">
        <v>21</v>
      </c>
      <c r="E371" t="s">
        <v>51</v>
      </c>
      <c r="F371" t="s">
        <v>23</v>
      </c>
      <c r="G371">
        <v>47672.56</v>
      </c>
      <c r="H371">
        <v>27975.8</v>
      </c>
      <c r="I371">
        <v>19696.759999999998</v>
      </c>
      <c r="J371">
        <v>24966.73</v>
      </c>
      <c r="K371">
        <v>41959.95</v>
      </c>
      <c r="L371">
        <v>395227.19</v>
      </c>
      <c r="M371">
        <v>822</v>
      </c>
      <c r="N371">
        <v>-0.1147</v>
      </c>
      <c r="O371">
        <v>0.41320000000000001</v>
      </c>
      <c r="P371">
        <v>0.1062</v>
      </c>
      <c r="Q371" t="s">
        <v>106</v>
      </c>
      <c r="R371">
        <v>2025</v>
      </c>
      <c r="S371" t="s">
        <v>25</v>
      </c>
    </row>
    <row r="372" spans="1:19" x14ac:dyDescent="0.3">
      <c r="A372" t="s">
        <v>445</v>
      </c>
      <c r="B372" s="1">
        <v>44882</v>
      </c>
      <c r="C372" t="s">
        <v>54</v>
      </c>
      <c r="D372" t="s">
        <v>55</v>
      </c>
      <c r="E372" t="s">
        <v>51</v>
      </c>
      <c r="F372" t="s">
        <v>23</v>
      </c>
      <c r="G372">
        <v>157185.89000000001</v>
      </c>
      <c r="H372">
        <v>132482.79999999999</v>
      </c>
      <c r="I372">
        <v>24703.09</v>
      </c>
      <c r="J372">
        <v>51336</v>
      </c>
      <c r="K372">
        <v>33754.6</v>
      </c>
      <c r="L372">
        <v>440833.76</v>
      </c>
      <c r="M372">
        <v>843</v>
      </c>
      <c r="N372">
        <v>-1.14E-2</v>
      </c>
      <c r="O372">
        <v>0.15720000000000001</v>
      </c>
      <c r="P372">
        <v>7.6600000000000001E-2</v>
      </c>
      <c r="Q372" t="s">
        <v>46</v>
      </c>
      <c r="R372">
        <v>2022</v>
      </c>
      <c r="S372" t="s">
        <v>25</v>
      </c>
    </row>
    <row r="373" spans="1:19" x14ac:dyDescent="0.3">
      <c r="A373" t="s">
        <v>446</v>
      </c>
      <c r="B373" s="1">
        <v>45054</v>
      </c>
      <c r="C373" t="s">
        <v>68</v>
      </c>
      <c r="D373" t="s">
        <v>69</v>
      </c>
      <c r="E373" t="s">
        <v>22</v>
      </c>
      <c r="F373" t="s">
        <v>23</v>
      </c>
      <c r="G373">
        <v>114049.41</v>
      </c>
      <c r="H373">
        <v>76391.81</v>
      </c>
      <c r="I373">
        <v>37657.599999999999</v>
      </c>
      <c r="J373">
        <v>31608.67</v>
      </c>
      <c r="K373">
        <v>72472.08</v>
      </c>
      <c r="L373">
        <v>191678.74</v>
      </c>
      <c r="M373">
        <v>1264</v>
      </c>
      <c r="N373">
        <v>-8.4500000000000006E-2</v>
      </c>
      <c r="O373">
        <v>0.33019999999999999</v>
      </c>
      <c r="P373">
        <v>0.37809999999999999</v>
      </c>
      <c r="Q373" t="s">
        <v>39</v>
      </c>
      <c r="R373">
        <v>2023</v>
      </c>
      <c r="S373" t="s">
        <v>40</v>
      </c>
    </row>
    <row r="374" spans="1:19" x14ac:dyDescent="0.3">
      <c r="A374" t="s">
        <v>447</v>
      </c>
      <c r="B374" s="1">
        <v>45315</v>
      </c>
      <c r="C374" t="s">
        <v>85</v>
      </c>
      <c r="D374" t="s">
        <v>86</v>
      </c>
      <c r="E374" t="s">
        <v>38</v>
      </c>
      <c r="F374" t="s">
        <v>23</v>
      </c>
      <c r="G374">
        <v>60717.69</v>
      </c>
      <c r="H374">
        <v>54262.07</v>
      </c>
      <c r="I374">
        <v>6455.62</v>
      </c>
      <c r="J374">
        <v>7477.05</v>
      </c>
      <c r="K374">
        <v>19257.82</v>
      </c>
      <c r="L374">
        <v>20580.669999999998</v>
      </c>
      <c r="M374">
        <v>554</v>
      </c>
      <c r="N374">
        <v>0.15340000000000001</v>
      </c>
      <c r="O374">
        <v>0.10630000000000001</v>
      </c>
      <c r="P374">
        <v>0.93569999999999998</v>
      </c>
      <c r="Q374" t="s">
        <v>80</v>
      </c>
      <c r="R374">
        <v>2024</v>
      </c>
      <c r="S374" t="s">
        <v>82</v>
      </c>
    </row>
    <row r="375" spans="1:19" x14ac:dyDescent="0.3">
      <c r="A375" t="s">
        <v>448</v>
      </c>
      <c r="B375" s="1">
        <v>45484</v>
      </c>
      <c r="C375" t="s">
        <v>36</v>
      </c>
      <c r="D375" t="s">
        <v>37</v>
      </c>
      <c r="E375" t="s">
        <v>22</v>
      </c>
      <c r="F375" t="s">
        <v>23</v>
      </c>
      <c r="G375">
        <v>156135.13</v>
      </c>
      <c r="H375">
        <v>108860.09</v>
      </c>
      <c r="I375">
        <v>47275.040000000001</v>
      </c>
      <c r="J375">
        <v>46942.34</v>
      </c>
      <c r="K375">
        <v>36619.86</v>
      </c>
      <c r="L375">
        <v>203510.14</v>
      </c>
      <c r="M375">
        <v>1239</v>
      </c>
      <c r="N375">
        <v>-0.14799999999999999</v>
      </c>
      <c r="O375">
        <v>0.30280000000000001</v>
      </c>
      <c r="P375">
        <v>0.1799</v>
      </c>
      <c r="Q375" t="s">
        <v>72</v>
      </c>
      <c r="R375">
        <v>2024</v>
      </c>
      <c r="S375" t="s">
        <v>25</v>
      </c>
    </row>
    <row r="376" spans="1:19" x14ac:dyDescent="0.3">
      <c r="A376" t="s">
        <v>449</v>
      </c>
      <c r="B376" s="1">
        <v>45235</v>
      </c>
      <c r="C376" t="s">
        <v>27</v>
      </c>
      <c r="D376" t="s">
        <v>28</v>
      </c>
      <c r="E376" t="s">
        <v>22</v>
      </c>
      <c r="F376" t="s">
        <v>23</v>
      </c>
      <c r="G376">
        <v>65360.86</v>
      </c>
      <c r="H376">
        <v>39413.519999999997</v>
      </c>
      <c r="I376">
        <v>25947.34</v>
      </c>
      <c r="J376">
        <v>56406.75</v>
      </c>
      <c r="K376">
        <v>12110.89</v>
      </c>
      <c r="L376">
        <v>186692.46</v>
      </c>
      <c r="M376">
        <v>2112</v>
      </c>
      <c r="N376">
        <v>2.8400000000000002E-2</v>
      </c>
      <c r="O376">
        <v>0.39700000000000002</v>
      </c>
      <c r="P376">
        <v>6.4899999999999999E-2</v>
      </c>
      <c r="Q376" t="s">
        <v>44</v>
      </c>
      <c r="R376">
        <v>2023</v>
      </c>
      <c r="S376" t="s">
        <v>25</v>
      </c>
    </row>
    <row r="377" spans="1:19" x14ac:dyDescent="0.3">
      <c r="A377" t="s">
        <v>450</v>
      </c>
      <c r="B377" s="1">
        <v>45681</v>
      </c>
      <c r="C377" t="s">
        <v>42</v>
      </c>
      <c r="D377" t="s">
        <v>43</v>
      </c>
      <c r="E377" t="s">
        <v>22</v>
      </c>
      <c r="F377" t="s">
        <v>23</v>
      </c>
      <c r="G377">
        <v>157700.37</v>
      </c>
      <c r="H377">
        <v>141929.09</v>
      </c>
      <c r="I377">
        <v>15771.28</v>
      </c>
      <c r="J377">
        <v>74049.52</v>
      </c>
      <c r="K377">
        <v>13295.03</v>
      </c>
      <c r="L377">
        <v>109145.24</v>
      </c>
      <c r="M377">
        <v>1531</v>
      </c>
      <c r="N377">
        <v>0.1177</v>
      </c>
      <c r="O377">
        <v>0.1</v>
      </c>
      <c r="P377">
        <v>0.12180000000000001</v>
      </c>
      <c r="Q377" t="s">
        <v>106</v>
      </c>
      <c r="R377">
        <v>2025</v>
      </c>
      <c r="S377" t="s">
        <v>25</v>
      </c>
    </row>
    <row r="378" spans="1:19" x14ac:dyDescent="0.3">
      <c r="A378" t="s">
        <v>451</v>
      </c>
      <c r="B378" s="1">
        <v>45271</v>
      </c>
      <c r="C378" t="s">
        <v>20</v>
      </c>
      <c r="D378" t="s">
        <v>21</v>
      </c>
      <c r="E378" t="s">
        <v>38</v>
      </c>
      <c r="F378" t="s">
        <v>23</v>
      </c>
      <c r="G378">
        <v>110314.16</v>
      </c>
      <c r="H378">
        <v>94846.720000000001</v>
      </c>
      <c r="I378">
        <v>15467.44</v>
      </c>
      <c r="J378">
        <v>40254.080000000002</v>
      </c>
      <c r="K378">
        <v>25166.9</v>
      </c>
      <c r="L378">
        <v>45735.62</v>
      </c>
      <c r="M378">
        <v>1220</v>
      </c>
      <c r="N378">
        <v>-1.3599999999999999E-2</v>
      </c>
      <c r="O378">
        <v>0.14019999999999999</v>
      </c>
      <c r="P378">
        <v>0.55030000000000001</v>
      </c>
      <c r="Q378" t="s">
        <v>44</v>
      </c>
      <c r="R378">
        <v>2023</v>
      </c>
      <c r="S378" t="s">
        <v>40</v>
      </c>
    </row>
    <row r="379" spans="1:19" x14ac:dyDescent="0.3">
      <c r="A379" t="s">
        <v>452</v>
      </c>
      <c r="B379" s="1">
        <v>44767</v>
      </c>
      <c r="C379" t="s">
        <v>20</v>
      </c>
      <c r="D379" t="s">
        <v>21</v>
      </c>
      <c r="E379" t="s">
        <v>22</v>
      </c>
      <c r="F379" t="s">
        <v>23</v>
      </c>
      <c r="G379">
        <v>40312.699999999997</v>
      </c>
      <c r="H379">
        <v>25967.75</v>
      </c>
      <c r="I379">
        <v>14344.95</v>
      </c>
      <c r="J379">
        <v>84864.4</v>
      </c>
      <c r="K379">
        <v>27443.54</v>
      </c>
      <c r="L379">
        <v>132658.56</v>
      </c>
      <c r="M379">
        <v>1180</v>
      </c>
      <c r="N379">
        <v>0.21740000000000001</v>
      </c>
      <c r="O379">
        <v>0.35580000000000001</v>
      </c>
      <c r="P379">
        <v>0.2069</v>
      </c>
      <c r="Q379" t="s">
        <v>76</v>
      </c>
      <c r="R379">
        <v>2022</v>
      </c>
      <c r="S379" t="s">
        <v>25</v>
      </c>
    </row>
    <row r="380" spans="1:19" x14ac:dyDescent="0.3">
      <c r="A380" t="s">
        <v>453</v>
      </c>
      <c r="B380" s="1">
        <v>45398</v>
      </c>
      <c r="C380" t="s">
        <v>85</v>
      </c>
      <c r="D380" t="s">
        <v>86</v>
      </c>
      <c r="E380" t="s">
        <v>22</v>
      </c>
      <c r="F380" t="s">
        <v>23</v>
      </c>
      <c r="G380">
        <v>29649.77</v>
      </c>
      <c r="H380">
        <v>17349.18</v>
      </c>
      <c r="I380">
        <v>12300.59</v>
      </c>
      <c r="J380">
        <v>21664.44</v>
      </c>
      <c r="K380">
        <v>16281.96</v>
      </c>
      <c r="L380">
        <v>69905.75</v>
      </c>
      <c r="M380">
        <v>1699</v>
      </c>
      <c r="N380">
        <v>-0.17660000000000001</v>
      </c>
      <c r="O380">
        <v>0.41489999999999999</v>
      </c>
      <c r="P380">
        <v>0.2329</v>
      </c>
      <c r="Q380" t="s">
        <v>111</v>
      </c>
      <c r="R380">
        <v>2024</v>
      </c>
      <c r="S380" t="s">
        <v>25</v>
      </c>
    </row>
    <row r="381" spans="1:19" x14ac:dyDescent="0.3">
      <c r="A381" t="s">
        <v>454</v>
      </c>
      <c r="B381" s="1">
        <v>44754</v>
      </c>
      <c r="C381" t="s">
        <v>61</v>
      </c>
      <c r="D381" t="s">
        <v>74</v>
      </c>
      <c r="E381" t="s">
        <v>38</v>
      </c>
      <c r="F381" t="s">
        <v>23</v>
      </c>
      <c r="G381">
        <v>61715.4</v>
      </c>
      <c r="H381">
        <v>41211.85</v>
      </c>
      <c r="I381">
        <v>20503.55</v>
      </c>
      <c r="J381">
        <v>8124.23</v>
      </c>
      <c r="K381">
        <v>67352.11</v>
      </c>
      <c r="L381">
        <v>66448.009999999995</v>
      </c>
      <c r="M381">
        <v>1893</v>
      </c>
      <c r="N381">
        <v>6.9000000000000006E-2</v>
      </c>
      <c r="O381">
        <v>0.3322</v>
      </c>
      <c r="P381">
        <v>1.0136000000000001</v>
      </c>
      <c r="Q381" t="s">
        <v>76</v>
      </c>
      <c r="R381">
        <v>2022</v>
      </c>
      <c r="S381" t="s">
        <v>82</v>
      </c>
    </row>
    <row r="382" spans="1:19" x14ac:dyDescent="0.3">
      <c r="A382" t="s">
        <v>455</v>
      </c>
      <c r="B382" s="1">
        <v>45270</v>
      </c>
      <c r="C382" t="s">
        <v>48</v>
      </c>
      <c r="D382" t="s">
        <v>49</v>
      </c>
      <c r="E382" t="s">
        <v>22</v>
      </c>
      <c r="F382" t="s">
        <v>23</v>
      </c>
      <c r="G382">
        <v>225445.12</v>
      </c>
      <c r="H382">
        <v>182436.11</v>
      </c>
      <c r="I382">
        <v>43009.01</v>
      </c>
      <c r="J382">
        <v>53745.61</v>
      </c>
      <c r="K382">
        <v>41175.760000000002</v>
      </c>
      <c r="L382">
        <v>132276.38</v>
      </c>
      <c r="M382">
        <v>1983</v>
      </c>
      <c r="N382">
        <v>0.01</v>
      </c>
      <c r="O382">
        <v>0.1908</v>
      </c>
      <c r="P382">
        <v>0.31130000000000002</v>
      </c>
      <c r="Q382" t="s">
        <v>44</v>
      </c>
      <c r="R382">
        <v>2023</v>
      </c>
      <c r="S382" t="s">
        <v>40</v>
      </c>
    </row>
    <row r="383" spans="1:19" x14ac:dyDescent="0.3">
      <c r="A383" t="s">
        <v>456</v>
      </c>
      <c r="B383" s="1">
        <v>44749</v>
      </c>
      <c r="C383" t="s">
        <v>54</v>
      </c>
      <c r="D383" t="s">
        <v>55</v>
      </c>
      <c r="E383" t="s">
        <v>38</v>
      </c>
      <c r="F383" t="s">
        <v>23</v>
      </c>
      <c r="G383">
        <v>44791.16</v>
      </c>
      <c r="H383">
        <v>32789.82</v>
      </c>
      <c r="I383">
        <v>12001.34</v>
      </c>
      <c r="J383">
        <v>68442.36</v>
      </c>
      <c r="K383">
        <v>16184.64</v>
      </c>
      <c r="L383">
        <v>169978.16</v>
      </c>
      <c r="M383">
        <v>1018</v>
      </c>
      <c r="N383">
        <v>-0.1027</v>
      </c>
      <c r="O383">
        <v>0.26790000000000003</v>
      </c>
      <c r="P383">
        <v>9.5200000000000007E-2</v>
      </c>
      <c r="Q383" t="s">
        <v>76</v>
      </c>
      <c r="R383">
        <v>2022</v>
      </c>
      <c r="S383" t="s">
        <v>25</v>
      </c>
    </row>
    <row r="384" spans="1:19" x14ac:dyDescent="0.3">
      <c r="A384" t="s">
        <v>457</v>
      </c>
      <c r="B384" s="1">
        <v>45611</v>
      </c>
      <c r="C384" t="s">
        <v>61</v>
      </c>
      <c r="D384" t="s">
        <v>74</v>
      </c>
      <c r="E384" t="s">
        <v>38</v>
      </c>
      <c r="F384" t="s">
        <v>23</v>
      </c>
      <c r="G384">
        <v>36787.480000000003</v>
      </c>
      <c r="H384">
        <v>30734.45</v>
      </c>
      <c r="I384">
        <v>6053.03</v>
      </c>
      <c r="J384">
        <v>16771.599999999999</v>
      </c>
      <c r="K384">
        <v>60759.839999999997</v>
      </c>
      <c r="L384">
        <v>101652.95</v>
      </c>
      <c r="N384">
        <v>4.3099999999999999E-2</v>
      </c>
      <c r="O384">
        <v>0.16450000000000001</v>
      </c>
      <c r="P384">
        <v>0.59770000000000001</v>
      </c>
      <c r="Q384" t="s">
        <v>52</v>
      </c>
      <c r="R384">
        <v>2024</v>
      </c>
      <c r="S384" t="s">
        <v>40</v>
      </c>
    </row>
    <row r="385" spans="1:19" x14ac:dyDescent="0.3">
      <c r="A385" t="s">
        <v>458</v>
      </c>
      <c r="B385" s="1">
        <v>45227</v>
      </c>
      <c r="C385" t="s">
        <v>20</v>
      </c>
      <c r="D385" t="s">
        <v>21</v>
      </c>
      <c r="E385" t="s">
        <v>38</v>
      </c>
      <c r="F385" t="s">
        <v>23</v>
      </c>
      <c r="G385">
        <v>93632.14</v>
      </c>
      <c r="H385">
        <v>69623.81</v>
      </c>
      <c r="I385">
        <v>24008.33</v>
      </c>
      <c r="J385">
        <v>28977.51</v>
      </c>
      <c r="K385">
        <v>15691.28</v>
      </c>
      <c r="L385">
        <v>48050.76</v>
      </c>
      <c r="M385">
        <v>1920</v>
      </c>
      <c r="N385">
        <v>9.1700000000000004E-2</v>
      </c>
      <c r="O385">
        <v>0.25640000000000002</v>
      </c>
      <c r="P385">
        <v>0.3266</v>
      </c>
      <c r="Q385" t="s">
        <v>44</v>
      </c>
      <c r="R385">
        <v>2023</v>
      </c>
      <c r="S385" t="s">
        <v>40</v>
      </c>
    </row>
    <row r="386" spans="1:19" x14ac:dyDescent="0.3">
      <c r="A386" t="s">
        <v>459</v>
      </c>
      <c r="B386" s="1">
        <v>45817</v>
      </c>
      <c r="C386" t="s">
        <v>36</v>
      </c>
      <c r="D386" t="s">
        <v>37</v>
      </c>
      <c r="E386" t="s">
        <v>22</v>
      </c>
      <c r="F386" t="s">
        <v>23</v>
      </c>
      <c r="G386">
        <v>35690.339999999997</v>
      </c>
      <c r="H386">
        <v>31430.52</v>
      </c>
      <c r="I386">
        <v>4259.82</v>
      </c>
      <c r="J386">
        <v>36132.300000000003</v>
      </c>
      <c r="K386">
        <v>15375.73</v>
      </c>
      <c r="L386">
        <v>179310.27</v>
      </c>
      <c r="M386">
        <v>916</v>
      </c>
      <c r="N386">
        <v>6.2300000000000001E-2</v>
      </c>
      <c r="O386">
        <v>0.11940000000000001</v>
      </c>
      <c r="P386">
        <v>8.5699999999999998E-2</v>
      </c>
      <c r="Q386" t="s">
        <v>34</v>
      </c>
      <c r="R386">
        <v>2025</v>
      </c>
      <c r="S386" t="s">
        <v>25</v>
      </c>
    </row>
    <row r="387" spans="1:19" x14ac:dyDescent="0.3">
      <c r="A387" t="s">
        <v>460</v>
      </c>
      <c r="B387" s="1">
        <v>45854</v>
      </c>
      <c r="C387" t="s">
        <v>27</v>
      </c>
      <c r="D387" t="s">
        <v>28</v>
      </c>
      <c r="E387" t="s">
        <v>38</v>
      </c>
      <c r="F387" t="s">
        <v>23</v>
      </c>
      <c r="G387">
        <v>120334.11</v>
      </c>
      <c r="H387">
        <v>80936.759999999995</v>
      </c>
      <c r="I387">
        <v>39397.35</v>
      </c>
      <c r="J387">
        <v>66655.289999999994</v>
      </c>
      <c r="K387">
        <v>12434.57</v>
      </c>
      <c r="L387">
        <v>269734.51</v>
      </c>
      <c r="M387">
        <v>789</v>
      </c>
      <c r="N387">
        <v>0.1293</v>
      </c>
      <c r="O387">
        <v>0.32740000000000002</v>
      </c>
      <c r="P387">
        <v>4.6100000000000002E-2</v>
      </c>
      <c r="Q387" t="s">
        <v>24</v>
      </c>
      <c r="R387">
        <v>2025</v>
      </c>
      <c r="S387" t="s">
        <v>25</v>
      </c>
    </row>
    <row r="388" spans="1:19" x14ac:dyDescent="0.3">
      <c r="A388" t="s">
        <v>461</v>
      </c>
      <c r="B388" s="1">
        <v>45800</v>
      </c>
      <c r="C388" t="s">
        <v>54</v>
      </c>
      <c r="D388" t="s">
        <v>55</v>
      </c>
      <c r="E388" t="s">
        <v>32</v>
      </c>
      <c r="F388" t="s">
        <v>33</v>
      </c>
      <c r="G388">
        <v>47799.47</v>
      </c>
      <c r="H388">
        <v>36542.720000000001</v>
      </c>
      <c r="I388">
        <v>11256.75</v>
      </c>
      <c r="J388">
        <v>68162.67</v>
      </c>
      <c r="K388">
        <v>63154.95</v>
      </c>
      <c r="L388">
        <v>108655.72</v>
      </c>
      <c r="M388">
        <v>624</v>
      </c>
      <c r="N388">
        <v>5.1999999999999998E-3</v>
      </c>
      <c r="O388">
        <v>0.23549999999999999</v>
      </c>
      <c r="P388">
        <v>0.58120000000000005</v>
      </c>
      <c r="Q388" t="s">
        <v>34</v>
      </c>
      <c r="R388">
        <v>2025</v>
      </c>
      <c r="S388" t="s">
        <v>40</v>
      </c>
    </row>
    <row r="389" spans="1:19" x14ac:dyDescent="0.3">
      <c r="A389" t="s">
        <v>462</v>
      </c>
      <c r="B389" s="1">
        <v>44834</v>
      </c>
      <c r="C389" t="s">
        <v>30</v>
      </c>
      <c r="D389" t="s">
        <v>31</v>
      </c>
      <c r="E389" t="s">
        <v>22</v>
      </c>
      <c r="F389" t="s">
        <v>23</v>
      </c>
      <c r="G389">
        <v>89344.56</v>
      </c>
      <c r="H389">
        <v>49145.68</v>
      </c>
      <c r="I389">
        <v>40198.879999999997</v>
      </c>
      <c r="J389">
        <v>32168.09</v>
      </c>
      <c r="K389">
        <v>90280.39</v>
      </c>
      <c r="L389">
        <v>214054.35</v>
      </c>
      <c r="M389">
        <v>324</v>
      </c>
      <c r="N389">
        <v>-6.0100000000000001E-2</v>
      </c>
      <c r="O389">
        <v>0.44990000000000002</v>
      </c>
      <c r="P389">
        <v>0.42180000000000001</v>
      </c>
      <c r="Q389" t="s">
        <v>76</v>
      </c>
      <c r="R389">
        <v>2022</v>
      </c>
      <c r="S389" t="s">
        <v>40</v>
      </c>
    </row>
    <row r="390" spans="1:19" x14ac:dyDescent="0.3">
      <c r="A390" t="s">
        <v>463</v>
      </c>
      <c r="B390" s="1">
        <v>45863</v>
      </c>
      <c r="C390" t="s">
        <v>20</v>
      </c>
      <c r="D390" t="s">
        <v>21</v>
      </c>
      <c r="E390" t="s">
        <v>32</v>
      </c>
      <c r="F390" t="s">
        <v>33</v>
      </c>
      <c r="G390">
        <v>60300.6</v>
      </c>
      <c r="H390">
        <v>37192.910000000003</v>
      </c>
      <c r="I390">
        <v>23107.69</v>
      </c>
      <c r="J390">
        <v>25577.43</v>
      </c>
      <c r="K390">
        <v>31113.96</v>
      </c>
      <c r="L390">
        <v>42191.71</v>
      </c>
      <c r="M390">
        <v>615</v>
      </c>
      <c r="N390">
        <v>-2.7799999999999998E-2</v>
      </c>
      <c r="O390">
        <v>0.38319999999999999</v>
      </c>
      <c r="P390">
        <v>0.73740000000000006</v>
      </c>
      <c r="Q390" t="s">
        <v>24</v>
      </c>
      <c r="R390">
        <v>2025</v>
      </c>
      <c r="S390" t="s">
        <v>82</v>
      </c>
    </row>
    <row r="391" spans="1:19" x14ac:dyDescent="0.3">
      <c r="A391" t="s">
        <v>464</v>
      </c>
      <c r="B391" s="1">
        <v>45474</v>
      </c>
      <c r="C391" t="s">
        <v>36</v>
      </c>
      <c r="D391" t="s">
        <v>37</v>
      </c>
      <c r="E391" t="s">
        <v>38</v>
      </c>
      <c r="F391" t="s">
        <v>23</v>
      </c>
      <c r="G391">
        <v>193962.94</v>
      </c>
      <c r="H391">
        <v>122103.38</v>
      </c>
      <c r="I391">
        <v>71859.56</v>
      </c>
      <c r="J391">
        <v>62058.66</v>
      </c>
      <c r="K391">
        <v>24414.68</v>
      </c>
      <c r="L391">
        <v>106164.06</v>
      </c>
      <c r="M391">
        <v>610</v>
      </c>
      <c r="N391">
        <v>-6.7100000000000007E-2</v>
      </c>
      <c r="O391">
        <v>0.3705</v>
      </c>
      <c r="P391">
        <v>0.23</v>
      </c>
      <c r="Q391" t="s">
        <v>72</v>
      </c>
      <c r="R391">
        <v>2024</v>
      </c>
      <c r="S391" t="s">
        <v>25</v>
      </c>
    </row>
    <row r="392" spans="1:19" x14ac:dyDescent="0.3">
      <c r="A392" t="s">
        <v>465</v>
      </c>
      <c r="B392" s="1">
        <v>45868</v>
      </c>
      <c r="C392" t="s">
        <v>42</v>
      </c>
      <c r="D392" t="s">
        <v>43</v>
      </c>
      <c r="E392" t="s">
        <v>38</v>
      </c>
      <c r="F392" t="s">
        <v>23</v>
      </c>
      <c r="G392">
        <v>35981.71</v>
      </c>
      <c r="H392">
        <v>22080.959999999999</v>
      </c>
      <c r="I392">
        <v>13900.75</v>
      </c>
      <c r="J392">
        <v>40195.33</v>
      </c>
      <c r="K392">
        <v>30504.68</v>
      </c>
      <c r="L392">
        <v>168805.28</v>
      </c>
      <c r="M392">
        <v>775</v>
      </c>
      <c r="N392">
        <v>0.08</v>
      </c>
      <c r="O392">
        <v>0.38629999999999998</v>
      </c>
      <c r="P392">
        <v>0.1807</v>
      </c>
      <c r="Q392" t="s">
        <v>24</v>
      </c>
      <c r="R392">
        <v>2025</v>
      </c>
      <c r="S392" t="s">
        <v>25</v>
      </c>
    </row>
    <row r="393" spans="1:19" x14ac:dyDescent="0.3">
      <c r="A393" t="s">
        <v>466</v>
      </c>
      <c r="B393" s="1">
        <v>44865</v>
      </c>
      <c r="C393" t="s">
        <v>27</v>
      </c>
      <c r="D393" t="s">
        <v>28</v>
      </c>
      <c r="E393" t="s">
        <v>38</v>
      </c>
      <c r="F393" t="s">
        <v>23</v>
      </c>
      <c r="G393">
        <v>59063.58</v>
      </c>
      <c r="H393">
        <v>43466.16</v>
      </c>
      <c r="I393">
        <v>15597.42</v>
      </c>
      <c r="J393">
        <v>8240.36</v>
      </c>
      <c r="K393">
        <v>16336.21</v>
      </c>
      <c r="L393">
        <v>36339.760000000002</v>
      </c>
      <c r="M393">
        <v>479</v>
      </c>
      <c r="N393">
        <v>-6.5799999999999997E-2</v>
      </c>
      <c r="O393">
        <v>0.2641</v>
      </c>
      <c r="P393">
        <v>0.44950000000000001</v>
      </c>
      <c r="Q393" t="s">
        <v>46</v>
      </c>
      <c r="R393">
        <v>2022</v>
      </c>
      <c r="S393" t="s">
        <v>40</v>
      </c>
    </row>
    <row r="394" spans="1:19" x14ac:dyDescent="0.3">
      <c r="A394" t="s">
        <v>467</v>
      </c>
      <c r="B394" s="1">
        <v>44944</v>
      </c>
      <c r="C394" t="s">
        <v>20</v>
      </c>
      <c r="D394" t="s">
        <v>21</v>
      </c>
      <c r="E394" t="s">
        <v>22</v>
      </c>
      <c r="F394" t="s">
        <v>23</v>
      </c>
      <c r="G394">
        <v>105211.21</v>
      </c>
      <c r="H394">
        <v>59434.400000000001</v>
      </c>
      <c r="I394">
        <v>45776.81</v>
      </c>
      <c r="J394">
        <v>18592.78</v>
      </c>
      <c r="K394">
        <v>38130.9</v>
      </c>
      <c r="L394">
        <v>27555.38</v>
      </c>
      <c r="M394">
        <v>1220</v>
      </c>
      <c r="N394">
        <v>1.95E-2</v>
      </c>
      <c r="O394">
        <v>0.43509999999999999</v>
      </c>
      <c r="P394">
        <v>1.3837999999999999</v>
      </c>
      <c r="Q394" t="s">
        <v>118</v>
      </c>
      <c r="R394">
        <v>2023</v>
      </c>
      <c r="S394" t="s">
        <v>82</v>
      </c>
    </row>
    <row r="395" spans="1:19" x14ac:dyDescent="0.3">
      <c r="A395" t="s">
        <v>468</v>
      </c>
      <c r="B395" s="1">
        <v>45814</v>
      </c>
      <c r="C395" t="s">
        <v>78</v>
      </c>
      <c r="D395" t="s">
        <v>79</v>
      </c>
      <c r="E395" t="s">
        <v>22</v>
      </c>
      <c r="F395" t="s">
        <v>23</v>
      </c>
      <c r="G395">
        <v>103108.45</v>
      </c>
      <c r="H395">
        <v>69751.16</v>
      </c>
      <c r="I395">
        <v>33357.29</v>
      </c>
      <c r="J395">
        <v>80577.5</v>
      </c>
      <c r="K395">
        <v>35897.11</v>
      </c>
      <c r="L395">
        <v>100413.63</v>
      </c>
      <c r="M395">
        <v>1533</v>
      </c>
      <c r="N395">
        <v>-0.11</v>
      </c>
      <c r="O395">
        <v>0.32350000000000001</v>
      </c>
      <c r="P395">
        <v>0.35749999999999998</v>
      </c>
      <c r="Q395" t="s">
        <v>34</v>
      </c>
      <c r="R395">
        <v>2025</v>
      </c>
      <c r="S395" t="s">
        <v>40</v>
      </c>
    </row>
    <row r="396" spans="1:19" x14ac:dyDescent="0.3">
      <c r="A396" t="s">
        <v>469</v>
      </c>
      <c r="B396" s="1">
        <v>44835</v>
      </c>
      <c r="C396" t="s">
        <v>20</v>
      </c>
      <c r="D396" t="s">
        <v>21</v>
      </c>
      <c r="E396" t="s">
        <v>32</v>
      </c>
      <c r="F396" t="s">
        <v>33</v>
      </c>
      <c r="G396">
        <v>126307.84</v>
      </c>
      <c r="H396">
        <v>87378.46</v>
      </c>
      <c r="I396">
        <v>38929.379999999997</v>
      </c>
      <c r="J396">
        <v>38004.57</v>
      </c>
      <c r="K396">
        <v>21274.74</v>
      </c>
      <c r="L396">
        <v>58194.42</v>
      </c>
      <c r="M396">
        <v>1039</v>
      </c>
      <c r="N396">
        <v>0.10059999999999999</v>
      </c>
      <c r="O396">
        <v>0.30819999999999997</v>
      </c>
      <c r="P396">
        <v>0.36559999999999998</v>
      </c>
      <c r="Q396" t="s">
        <v>46</v>
      </c>
      <c r="R396">
        <v>2022</v>
      </c>
      <c r="S396" t="s">
        <v>40</v>
      </c>
    </row>
    <row r="397" spans="1:19" x14ac:dyDescent="0.3">
      <c r="A397" t="s">
        <v>470</v>
      </c>
      <c r="B397" s="1">
        <v>44583</v>
      </c>
      <c r="C397" t="s">
        <v>48</v>
      </c>
      <c r="D397" t="s">
        <v>49</v>
      </c>
      <c r="E397" t="s">
        <v>32</v>
      </c>
      <c r="F397" t="s">
        <v>33</v>
      </c>
      <c r="G397">
        <v>15029.73</v>
      </c>
      <c r="H397">
        <v>8347.36</v>
      </c>
      <c r="I397">
        <v>6682.37</v>
      </c>
      <c r="J397">
        <v>11416.77</v>
      </c>
      <c r="K397">
        <v>42187.33</v>
      </c>
      <c r="L397">
        <v>56180.34</v>
      </c>
      <c r="M397">
        <v>785</v>
      </c>
      <c r="N397">
        <v>-7.8299999999999995E-2</v>
      </c>
      <c r="O397">
        <v>0.4446</v>
      </c>
      <c r="P397">
        <v>0.75090000000000001</v>
      </c>
      <c r="Q397" t="s">
        <v>90</v>
      </c>
      <c r="R397">
        <v>2022</v>
      </c>
      <c r="S397" t="s">
        <v>82</v>
      </c>
    </row>
    <row r="398" spans="1:19" x14ac:dyDescent="0.3">
      <c r="A398" t="s">
        <v>471</v>
      </c>
      <c r="B398" s="1">
        <v>44826</v>
      </c>
      <c r="C398" t="s">
        <v>30</v>
      </c>
      <c r="D398" t="s">
        <v>31</v>
      </c>
      <c r="E398" t="s">
        <v>22</v>
      </c>
      <c r="F398" t="s">
        <v>23</v>
      </c>
      <c r="G398">
        <v>101154.91</v>
      </c>
      <c r="H398">
        <v>66240.759999999995</v>
      </c>
      <c r="I398">
        <v>34914.15</v>
      </c>
      <c r="J398">
        <v>48748.12</v>
      </c>
      <c r="K398">
        <v>30506.25</v>
      </c>
      <c r="L398">
        <v>199616.11</v>
      </c>
      <c r="M398">
        <v>1710</v>
      </c>
      <c r="N398">
        <v>-9.8199999999999996E-2</v>
      </c>
      <c r="O398">
        <v>0.34520000000000001</v>
      </c>
      <c r="P398">
        <v>0.15279999999999999</v>
      </c>
      <c r="Q398" t="s">
        <v>76</v>
      </c>
      <c r="R398">
        <v>2022</v>
      </c>
      <c r="S398" t="s">
        <v>25</v>
      </c>
    </row>
    <row r="399" spans="1:19" x14ac:dyDescent="0.3">
      <c r="A399" t="s">
        <v>472</v>
      </c>
      <c r="B399" s="1">
        <v>45924</v>
      </c>
      <c r="C399" t="s">
        <v>54</v>
      </c>
      <c r="D399" t="s">
        <v>55</v>
      </c>
      <c r="E399" t="s">
        <v>38</v>
      </c>
      <c r="F399" t="s">
        <v>23</v>
      </c>
      <c r="G399">
        <v>41841</v>
      </c>
      <c r="H399">
        <v>32270.43</v>
      </c>
      <c r="I399">
        <v>9570.57</v>
      </c>
      <c r="J399">
        <v>58074.6</v>
      </c>
      <c r="K399">
        <v>61340.29</v>
      </c>
      <c r="L399">
        <v>104694.44</v>
      </c>
      <c r="M399">
        <v>618</v>
      </c>
      <c r="N399">
        <v>-3.6600000000000001E-2</v>
      </c>
      <c r="O399">
        <v>0.22869999999999999</v>
      </c>
      <c r="P399">
        <v>0.58589999999999998</v>
      </c>
      <c r="Q399" t="s">
        <v>24</v>
      </c>
      <c r="R399">
        <v>2025</v>
      </c>
      <c r="S399" t="s">
        <v>40</v>
      </c>
    </row>
    <row r="400" spans="1:19" x14ac:dyDescent="0.3">
      <c r="A400" t="s">
        <v>473</v>
      </c>
      <c r="B400" s="1">
        <v>45012</v>
      </c>
      <c r="C400" t="s">
        <v>42</v>
      </c>
      <c r="D400" t="s">
        <v>43</v>
      </c>
      <c r="E400" t="s">
        <v>38</v>
      </c>
      <c r="F400" t="s">
        <v>23</v>
      </c>
      <c r="G400">
        <v>79398.92</v>
      </c>
      <c r="H400">
        <v>60297.67</v>
      </c>
      <c r="I400">
        <v>19101.25</v>
      </c>
      <c r="J400">
        <v>19649.54</v>
      </c>
      <c r="K400">
        <v>30496.13</v>
      </c>
      <c r="L400">
        <v>148659.9</v>
      </c>
      <c r="M400">
        <v>971</v>
      </c>
      <c r="N400">
        <v>-9.0300000000000005E-2</v>
      </c>
      <c r="O400">
        <v>0.24060000000000001</v>
      </c>
      <c r="P400">
        <v>0.2051</v>
      </c>
      <c r="Q400" t="s">
        <v>118</v>
      </c>
      <c r="R400">
        <v>2023</v>
      </c>
      <c r="S400" t="s">
        <v>25</v>
      </c>
    </row>
    <row r="401" spans="1:19" x14ac:dyDescent="0.3">
      <c r="A401" t="s">
        <v>474</v>
      </c>
      <c r="B401" s="1">
        <v>44827</v>
      </c>
      <c r="C401" t="s">
        <v>27</v>
      </c>
      <c r="D401" t="s">
        <v>28</v>
      </c>
      <c r="E401" t="s">
        <v>32</v>
      </c>
      <c r="F401" t="s">
        <v>33</v>
      </c>
      <c r="G401">
        <v>54423.1</v>
      </c>
      <c r="H401">
        <v>33353.64</v>
      </c>
      <c r="I401">
        <v>21069.46</v>
      </c>
      <c r="J401">
        <v>28196.21</v>
      </c>
      <c r="K401">
        <v>7258.41</v>
      </c>
      <c r="L401">
        <v>93689.31</v>
      </c>
      <c r="M401">
        <v>1036</v>
      </c>
      <c r="N401">
        <v>1.9800000000000002E-2</v>
      </c>
      <c r="O401">
        <v>0.3871</v>
      </c>
      <c r="P401">
        <v>7.7499999999999999E-2</v>
      </c>
      <c r="Q401" t="s">
        <v>76</v>
      </c>
      <c r="R401">
        <v>2022</v>
      </c>
      <c r="S401" t="s">
        <v>25</v>
      </c>
    </row>
    <row r="402" spans="1:19" x14ac:dyDescent="0.3">
      <c r="A402" t="s">
        <v>475</v>
      </c>
      <c r="B402" s="1">
        <v>45219</v>
      </c>
      <c r="C402" t="s">
        <v>68</v>
      </c>
      <c r="D402" t="s">
        <v>69</v>
      </c>
      <c r="E402" t="s">
        <v>51</v>
      </c>
      <c r="F402" t="s">
        <v>23</v>
      </c>
      <c r="G402">
        <v>39127.35</v>
      </c>
      <c r="H402">
        <v>22322.31</v>
      </c>
      <c r="I402">
        <v>16805.04</v>
      </c>
      <c r="J402">
        <v>46709.98</v>
      </c>
      <c r="K402">
        <v>67375.14</v>
      </c>
      <c r="L402">
        <v>81379.240000000005</v>
      </c>
      <c r="M402">
        <v>2001</v>
      </c>
      <c r="N402">
        <v>-6.54E-2</v>
      </c>
      <c r="O402">
        <v>0.42949999999999999</v>
      </c>
      <c r="P402">
        <v>0.82789999999999997</v>
      </c>
      <c r="Q402" t="s">
        <v>44</v>
      </c>
      <c r="R402">
        <v>2023</v>
      </c>
      <c r="S402" t="s">
        <v>82</v>
      </c>
    </row>
    <row r="403" spans="1:19" x14ac:dyDescent="0.3">
      <c r="A403" t="s">
        <v>476</v>
      </c>
      <c r="B403" s="1">
        <v>45375</v>
      </c>
      <c r="C403" t="s">
        <v>36</v>
      </c>
      <c r="D403" t="s">
        <v>37</v>
      </c>
      <c r="E403" t="s">
        <v>38</v>
      </c>
      <c r="F403" t="s">
        <v>23</v>
      </c>
      <c r="G403">
        <v>75660.160000000003</v>
      </c>
      <c r="H403">
        <v>68576.009999999995</v>
      </c>
      <c r="I403">
        <v>7084.15</v>
      </c>
      <c r="J403">
        <v>46331.62</v>
      </c>
      <c r="K403">
        <v>26361.98</v>
      </c>
      <c r="L403">
        <v>74186.789999999994</v>
      </c>
      <c r="M403">
        <v>508</v>
      </c>
      <c r="N403">
        <v>4.8099999999999997E-2</v>
      </c>
      <c r="O403">
        <v>9.3600000000000003E-2</v>
      </c>
      <c r="P403">
        <v>0.3553</v>
      </c>
      <c r="Q403" t="s">
        <v>80</v>
      </c>
      <c r="R403">
        <v>2024</v>
      </c>
      <c r="S403" t="s">
        <v>40</v>
      </c>
    </row>
    <row r="404" spans="1:19" x14ac:dyDescent="0.3">
      <c r="A404" t="s">
        <v>477</v>
      </c>
      <c r="B404" s="1">
        <v>45955</v>
      </c>
      <c r="C404" t="s">
        <v>61</v>
      </c>
      <c r="D404" t="s">
        <v>74</v>
      </c>
      <c r="E404" t="s">
        <v>32</v>
      </c>
      <c r="F404" t="s">
        <v>33</v>
      </c>
      <c r="G404">
        <v>151002.75</v>
      </c>
      <c r="H404">
        <v>107470.03</v>
      </c>
      <c r="I404">
        <v>43532.72</v>
      </c>
      <c r="J404">
        <v>20623.41</v>
      </c>
      <c r="K404">
        <v>86956.61</v>
      </c>
      <c r="L404">
        <v>175876.57</v>
      </c>
      <c r="M404">
        <v>729</v>
      </c>
      <c r="N404">
        <v>7.8100000000000003E-2</v>
      </c>
      <c r="O404">
        <v>0.2883</v>
      </c>
      <c r="P404">
        <v>0.49440000000000001</v>
      </c>
      <c r="Q404" t="s">
        <v>66</v>
      </c>
      <c r="R404">
        <v>2025</v>
      </c>
      <c r="S404" t="s">
        <v>40</v>
      </c>
    </row>
    <row r="405" spans="1:19" x14ac:dyDescent="0.3">
      <c r="A405" t="s">
        <v>478</v>
      </c>
      <c r="B405" s="1">
        <v>44935</v>
      </c>
      <c r="C405" t="s">
        <v>61</v>
      </c>
      <c r="D405" t="s">
        <v>74</v>
      </c>
      <c r="E405" t="s">
        <v>22</v>
      </c>
      <c r="F405" t="s">
        <v>23</v>
      </c>
      <c r="G405">
        <v>69544.009999999995</v>
      </c>
      <c r="H405">
        <v>54478.38</v>
      </c>
      <c r="I405">
        <v>15065.63</v>
      </c>
      <c r="J405">
        <v>112520.7</v>
      </c>
      <c r="K405">
        <v>46226.96</v>
      </c>
      <c r="L405">
        <v>289425.25</v>
      </c>
      <c r="M405">
        <v>683</v>
      </c>
      <c r="N405">
        <v>7.1900000000000006E-2</v>
      </c>
      <c r="O405">
        <v>0.21659999999999999</v>
      </c>
      <c r="P405">
        <v>0.15970000000000001</v>
      </c>
      <c r="Q405" t="s">
        <v>118</v>
      </c>
      <c r="R405">
        <v>2023</v>
      </c>
      <c r="S405" t="s">
        <v>25</v>
      </c>
    </row>
    <row r="406" spans="1:19" x14ac:dyDescent="0.3">
      <c r="A406" t="s">
        <v>479</v>
      </c>
      <c r="B406" s="1">
        <v>45476</v>
      </c>
      <c r="C406" t="s">
        <v>36</v>
      </c>
      <c r="D406" t="s">
        <v>480</v>
      </c>
      <c r="E406" t="s">
        <v>32</v>
      </c>
      <c r="F406" t="s">
        <v>33</v>
      </c>
      <c r="G406">
        <v>44617.55</v>
      </c>
      <c r="H406">
        <v>27531.41</v>
      </c>
      <c r="I406">
        <v>17086.14</v>
      </c>
      <c r="J406">
        <v>33757.4</v>
      </c>
      <c r="K406">
        <v>17318.060000000001</v>
      </c>
      <c r="L406">
        <v>318191.78000000003</v>
      </c>
      <c r="M406">
        <v>1431</v>
      </c>
      <c r="N406">
        <v>0.12520000000000001</v>
      </c>
      <c r="O406">
        <v>0.38290000000000002</v>
      </c>
      <c r="P406">
        <v>5.4399999999999997E-2</v>
      </c>
      <c r="Q406" t="s">
        <v>72</v>
      </c>
      <c r="R406">
        <v>2024</v>
      </c>
      <c r="S406" t="s">
        <v>25</v>
      </c>
    </row>
    <row r="407" spans="1:19" x14ac:dyDescent="0.3">
      <c r="A407" t="s">
        <v>481</v>
      </c>
      <c r="B407" s="1">
        <v>45089</v>
      </c>
      <c r="C407" t="s">
        <v>36</v>
      </c>
      <c r="D407" t="s">
        <v>37</v>
      </c>
      <c r="E407" t="s">
        <v>51</v>
      </c>
      <c r="F407" t="s">
        <v>23</v>
      </c>
      <c r="G407">
        <v>168264.93</v>
      </c>
      <c r="H407">
        <v>154435.26999999999</v>
      </c>
      <c r="I407">
        <v>13829.66</v>
      </c>
      <c r="J407">
        <v>51183.19</v>
      </c>
      <c r="K407">
        <v>6741.06</v>
      </c>
      <c r="L407">
        <v>297028.26</v>
      </c>
      <c r="M407">
        <v>804</v>
      </c>
      <c r="N407">
        <v>-6.5100000000000005E-2</v>
      </c>
      <c r="O407">
        <v>8.2199999999999995E-2</v>
      </c>
      <c r="P407">
        <v>2.2700000000000001E-2</v>
      </c>
      <c r="Q407" t="s">
        <v>39</v>
      </c>
      <c r="R407">
        <v>2023</v>
      </c>
      <c r="S407" t="s">
        <v>25</v>
      </c>
    </row>
    <row r="408" spans="1:19" x14ac:dyDescent="0.3">
      <c r="A408" t="s">
        <v>482</v>
      </c>
      <c r="B408" s="1">
        <v>44625</v>
      </c>
      <c r="C408" t="s">
        <v>85</v>
      </c>
      <c r="D408" t="s">
        <v>86</v>
      </c>
      <c r="E408" t="s">
        <v>32</v>
      </c>
      <c r="F408" t="s">
        <v>33</v>
      </c>
      <c r="G408">
        <v>132960.64000000001</v>
      </c>
      <c r="H408">
        <v>102105.45</v>
      </c>
      <c r="I408">
        <v>30855.19</v>
      </c>
      <c r="J408">
        <v>68906.649999999994</v>
      </c>
      <c r="K408">
        <v>23333.599999999999</v>
      </c>
      <c r="L408">
        <v>157330.54999999999</v>
      </c>
      <c r="M408">
        <v>1254</v>
      </c>
      <c r="N408">
        <v>-8.1600000000000006E-2</v>
      </c>
      <c r="O408">
        <v>0.2321</v>
      </c>
      <c r="P408">
        <v>0.14829999999999999</v>
      </c>
      <c r="Q408" t="s">
        <v>90</v>
      </c>
      <c r="R408">
        <v>2022</v>
      </c>
      <c r="S408" t="s">
        <v>25</v>
      </c>
    </row>
    <row r="409" spans="1:19" x14ac:dyDescent="0.3">
      <c r="A409" t="s">
        <v>483</v>
      </c>
      <c r="B409" s="1">
        <v>45374</v>
      </c>
      <c r="C409" t="s">
        <v>20</v>
      </c>
      <c r="D409" t="s">
        <v>21</v>
      </c>
      <c r="E409" t="s">
        <v>32</v>
      </c>
      <c r="F409" t="s">
        <v>33</v>
      </c>
      <c r="G409">
        <v>51592.42</v>
      </c>
      <c r="H409">
        <v>37405.54</v>
      </c>
      <c r="I409">
        <v>14186.88</v>
      </c>
      <c r="J409">
        <v>54245.62</v>
      </c>
      <c r="K409">
        <v>27928.9</v>
      </c>
      <c r="L409">
        <v>109496.27</v>
      </c>
      <c r="M409">
        <v>1529</v>
      </c>
      <c r="N409">
        <v>-5.1499999999999997E-2</v>
      </c>
      <c r="O409">
        <v>0.27500000000000002</v>
      </c>
      <c r="P409">
        <v>0.25509999999999999</v>
      </c>
      <c r="Q409" t="s">
        <v>80</v>
      </c>
      <c r="R409">
        <v>2024</v>
      </c>
      <c r="S409" t="s">
        <v>25</v>
      </c>
    </row>
    <row r="410" spans="1:19" x14ac:dyDescent="0.3">
      <c r="A410" t="s">
        <v>484</v>
      </c>
      <c r="B410" s="1">
        <v>45675</v>
      </c>
      <c r="C410" t="s">
        <v>78</v>
      </c>
      <c r="D410" t="s">
        <v>79</v>
      </c>
      <c r="E410" t="s">
        <v>22</v>
      </c>
      <c r="F410" t="s">
        <v>23</v>
      </c>
      <c r="G410">
        <v>35819.25</v>
      </c>
      <c r="H410">
        <v>25539.1</v>
      </c>
      <c r="I410">
        <v>10280.15</v>
      </c>
      <c r="J410">
        <v>33772.71</v>
      </c>
      <c r="K410">
        <v>43108.67</v>
      </c>
      <c r="L410">
        <v>82988.899999999994</v>
      </c>
      <c r="M410">
        <v>966</v>
      </c>
      <c r="N410">
        <v>-1.77E-2</v>
      </c>
      <c r="O410">
        <v>0.28699999999999998</v>
      </c>
      <c r="P410">
        <v>0.51949999999999996</v>
      </c>
      <c r="Q410" t="s">
        <v>106</v>
      </c>
      <c r="R410">
        <v>2025</v>
      </c>
      <c r="S410" t="s">
        <v>40</v>
      </c>
    </row>
    <row r="411" spans="1:19" x14ac:dyDescent="0.3">
      <c r="A411" t="s">
        <v>485</v>
      </c>
      <c r="B411" s="1">
        <v>44858</v>
      </c>
      <c r="C411" t="s">
        <v>68</v>
      </c>
      <c r="D411" t="s">
        <v>275</v>
      </c>
      <c r="E411" t="s">
        <v>38</v>
      </c>
      <c r="F411" t="s">
        <v>23</v>
      </c>
      <c r="G411">
        <v>22113.63</v>
      </c>
      <c r="H411">
        <v>18173.09</v>
      </c>
      <c r="I411">
        <v>3940.54</v>
      </c>
      <c r="J411">
        <v>32125.439999999999</v>
      </c>
      <c r="K411">
        <v>28320.29</v>
      </c>
      <c r="L411">
        <v>77828.5</v>
      </c>
      <c r="M411">
        <v>601</v>
      </c>
      <c r="N411">
        <v>5.4000000000000003E-3</v>
      </c>
      <c r="O411">
        <v>0.1782</v>
      </c>
      <c r="P411">
        <v>0.3639</v>
      </c>
      <c r="Q411" t="s">
        <v>46</v>
      </c>
      <c r="R411">
        <v>2022</v>
      </c>
      <c r="S411" t="s">
        <v>40</v>
      </c>
    </row>
    <row r="412" spans="1:19" x14ac:dyDescent="0.3">
      <c r="A412" t="s">
        <v>486</v>
      </c>
      <c r="B412" s="1">
        <v>45454</v>
      </c>
      <c r="C412" t="s">
        <v>68</v>
      </c>
      <c r="D412" t="s">
        <v>69</v>
      </c>
      <c r="E412" t="s">
        <v>22</v>
      </c>
      <c r="F412" t="s">
        <v>23</v>
      </c>
      <c r="G412">
        <v>57769.04</v>
      </c>
      <c r="H412">
        <v>45497.279999999999</v>
      </c>
      <c r="I412">
        <v>12271.76</v>
      </c>
      <c r="J412">
        <v>22334.94</v>
      </c>
      <c r="K412">
        <v>25979.59</v>
      </c>
      <c r="L412">
        <v>37985.43</v>
      </c>
      <c r="M412">
        <v>994</v>
      </c>
      <c r="N412">
        <v>-6.3399999999999998E-2</v>
      </c>
      <c r="O412">
        <v>0.21240000000000001</v>
      </c>
      <c r="P412">
        <v>0.68389999999999995</v>
      </c>
      <c r="Q412" t="s">
        <v>111</v>
      </c>
      <c r="R412">
        <v>2024</v>
      </c>
      <c r="S412" t="s">
        <v>82</v>
      </c>
    </row>
    <row r="413" spans="1:19" x14ac:dyDescent="0.3">
      <c r="A413" t="s">
        <v>487</v>
      </c>
      <c r="B413" s="1">
        <v>45284</v>
      </c>
      <c r="C413" t="s">
        <v>68</v>
      </c>
      <c r="D413" t="s">
        <v>69</v>
      </c>
      <c r="E413" t="s">
        <v>22</v>
      </c>
      <c r="F413" t="s">
        <v>23</v>
      </c>
      <c r="G413">
        <v>26972.9</v>
      </c>
      <c r="H413">
        <v>17387.41</v>
      </c>
      <c r="I413">
        <v>9585.49</v>
      </c>
      <c r="J413">
        <v>59108.71</v>
      </c>
      <c r="K413">
        <v>12640.28</v>
      </c>
      <c r="L413">
        <v>100698.2</v>
      </c>
      <c r="M413">
        <v>1133</v>
      </c>
      <c r="N413">
        <v>-3.2599999999999997E-2</v>
      </c>
      <c r="O413">
        <v>0.35539999999999999</v>
      </c>
      <c r="P413">
        <v>0.1255</v>
      </c>
      <c r="Q413" t="s">
        <v>44</v>
      </c>
      <c r="R413">
        <v>2023</v>
      </c>
      <c r="S413" t="s">
        <v>25</v>
      </c>
    </row>
    <row r="414" spans="1:19" x14ac:dyDescent="0.3">
      <c r="A414" t="s">
        <v>488</v>
      </c>
      <c r="B414" s="1">
        <v>44606</v>
      </c>
      <c r="C414" t="s">
        <v>68</v>
      </c>
      <c r="D414" t="s">
        <v>69</v>
      </c>
      <c r="E414" t="s">
        <v>38</v>
      </c>
      <c r="F414" t="s">
        <v>23</v>
      </c>
      <c r="G414">
        <v>26598.75</v>
      </c>
      <c r="H414">
        <v>20686</v>
      </c>
      <c r="I414">
        <v>5912.75</v>
      </c>
      <c r="J414">
        <v>121045.59</v>
      </c>
      <c r="K414">
        <v>28481.3</v>
      </c>
      <c r="L414">
        <v>143739.9</v>
      </c>
      <c r="M414">
        <v>656</v>
      </c>
      <c r="N414">
        <v>-5.8900000000000001E-2</v>
      </c>
      <c r="O414">
        <v>0.2223</v>
      </c>
      <c r="P414">
        <v>0.1981</v>
      </c>
      <c r="Q414" t="s">
        <v>90</v>
      </c>
      <c r="R414">
        <v>2022</v>
      </c>
      <c r="S414" t="s">
        <v>25</v>
      </c>
    </row>
    <row r="415" spans="1:19" x14ac:dyDescent="0.3">
      <c r="A415" t="s">
        <v>489</v>
      </c>
      <c r="B415" s="1">
        <v>45040</v>
      </c>
      <c r="C415" t="s">
        <v>42</v>
      </c>
      <c r="D415" t="s">
        <v>43</v>
      </c>
      <c r="E415" t="s">
        <v>32</v>
      </c>
      <c r="F415" t="s">
        <v>33</v>
      </c>
      <c r="G415">
        <v>146451.06</v>
      </c>
      <c r="H415">
        <v>131091.06</v>
      </c>
      <c r="I415">
        <v>15360</v>
      </c>
      <c r="J415">
        <v>50155.56</v>
      </c>
      <c r="K415">
        <v>24689.08</v>
      </c>
      <c r="L415">
        <v>176853.9</v>
      </c>
      <c r="M415">
        <v>2114</v>
      </c>
      <c r="N415">
        <v>6.6600000000000006E-2</v>
      </c>
      <c r="O415">
        <v>0.10489999999999999</v>
      </c>
      <c r="P415">
        <v>0.1396</v>
      </c>
      <c r="Q415" t="s">
        <v>39</v>
      </c>
      <c r="R415">
        <v>2023</v>
      </c>
      <c r="S415" t="s">
        <v>25</v>
      </c>
    </row>
    <row r="416" spans="1:19" x14ac:dyDescent="0.3">
      <c r="A416" t="s">
        <v>490</v>
      </c>
      <c r="B416" s="1">
        <v>45333</v>
      </c>
      <c r="C416" t="s">
        <v>68</v>
      </c>
      <c r="D416" t="s">
        <v>69</v>
      </c>
      <c r="E416" t="s">
        <v>22</v>
      </c>
      <c r="F416" t="s">
        <v>23</v>
      </c>
      <c r="G416">
        <v>111543.87</v>
      </c>
      <c r="H416">
        <v>63380.54</v>
      </c>
      <c r="I416">
        <v>48163.33</v>
      </c>
      <c r="J416">
        <v>25470</v>
      </c>
      <c r="K416">
        <v>35204.03</v>
      </c>
      <c r="L416">
        <v>75953.039999999994</v>
      </c>
      <c r="M416">
        <v>619</v>
      </c>
      <c r="N416">
        <v>-4.3900000000000002E-2</v>
      </c>
      <c r="O416">
        <v>0.43180000000000002</v>
      </c>
      <c r="P416">
        <v>0.46350000000000002</v>
      </c>
      <c r="Q416" t="s">
        <v>80</v>
      </c>
      <c r="R416">
        <v>2024</v>
      </c>
      <c r="S416" t="s">
        <v>40</v>
      </c>
    </row>
    <row r="417" spans="1:19" x14ac:dyDescent="0.3">
      <c r="A417" t="s">
        <v>491</v>
      </c>
      <c r="B417" s="1">
        <v>44937</v>
      </c>
      <c r="C417" t="s">
        <v>61</v>
      </c>
      <c r="D417" t="s">
        <v>74</v>
      </c>
      <c r="E417" t="s">
        <v>22</v>
      </c>
      <c r="F417" t="s">
        <v>23</v>
      </c>
      <c r="G417">
        <v>22502.880000000001</v>
      </c>
      <c r="H417">
        <v>19967.669999999998</v>
      </c>
      <c r="I417">
        <v>2535.21</v>
      </c>
      <c r="J417">
        <v>15661.69</v>
      </c>
      <c r="K417">
        <v>27235.919999999998</v>
      </c>
      <c r="L417">
        <v>54466.52</v>
      </c>
      <c r="M417">
        <v>1111</v>
      </c>
      <c r="N417">
        <v>2.4899999999999999E-2</v>
      </c>
      <c r="O417">
        <v>0.11269999999999999</v>
      </c>
      <c r="P417">
        <v>0.5</v>
      </c>
      <c r="Q417" t="s">
        <v>118</v>
      </c>
      <c r="R417">
        <v>2023</v>
      </c>
      <c r="S417" t="s">
        <v>40</v>
      </c>
    </row>
    <row r="418" spans="1:19" x14ac:dyDescent="0.3">
      <c r="A418" t="s">
        <v>492</v>
      </c>
      <c r="B418" s="1">
        <v>45736</v>
      </c>
      <c r="C418" t="s">
        <v>20</v>
      </c>
      <c r="D418" t="s">
        <v>21</v>
      </c>
      <c r="E418" t="s">
        <v>51</v>
      </c>
      <c r="F418" t="s">
        <v>23</v>
      </c>
      <c r="G418">
        <v>26870.400000000001</v>
      </c>
      <c r="H418">
        <v>23590.240000000002</v>
      </c>
      <c r="I418">
        <v>3280.16</v>
      </c>
      <c r="J418">
        <v>12386.28</v>
      </c>
      <c r="K418">
        <v>23450</v>
      </c>
      <c r="L418">
        <v>65015.21</v>
      </c>
      <c r="M418">
        <v>749</v>
      </c>
      <c r="N418">
        <v>-1.6000000000000001E-3</v>
      </c>
      <c r="O418">
        <v>0.1221</v>
      </c>
      <c r="P418">
        <v>0.36070000000000002</v>
      </c>
      <c r="Q418" t="s">
        <v>106</v>
      </c>
      <c r="R418">
        <v>2025</v>
      </c>
      <c r="S418" t="s">
        <v>40</v>
      </c>
    </row>
    <row r="419" spans="1:19" x14ac:dyDescent="0.3">
      <c r="A419" t="s">
        <v>493</v>
      </c>
      <c r="B419" s="1">
        <v>45432</v>
      </c>
      <c r="C419" t="s">
        <v>68</v>
      </c>
      <c r="D419" t="s">
        <v>69</v>
      </c>
      <c r="E419" t="s">
        <v>51</v>
      </c>
      <c r="F419" t="s">
        <v>23</v>
      </c>
      <c r="G419">
        <v>180404.35</v>
      </c>
      <c r="H419">
        <v>123716.92</v>
      </c>
      <c r="I419">
        <v>56687.43</v>
      </c>
      <c r="J419">
        <v>57974.69</v>
      </c>
      <c r="K419">
        <v>19933.490000000002</v>
      </c>
      <c r="L419">
        <v>100678.1</v>
      </c>
      <c r="M419">
        <v>1430</v>
      </c>
      <c r="N419">
        <v>-9.6500000000000002E-2</v>
      </c>
      <c r="O419">
        <v>0.31419999999999998</v>
      </c>
      <c r="P419">
        <v>0.19800000000000001</v>
      </c>
      <c r="Q419" t="s">
        <v>111</v>
      </c>
      <c r="R419">
        <v>2024</v>
      </c>
      <c r="S419" t="s">
        <v>25</v>
      </c>
    </row>
    <row r="420" spans="1:19" x14ac:dyDescent="0.3">
      <c r="A420" t="s">
        <v>494</v>
      </c>
      <c r="B420" s="1">
        <v>45455</v>
      </c>
      <c r="C420" t="s">
        <v>85</v>
      </c>
      <c r="D420" t="s">
        <v>86</v>
      </c>
      <c r="E420" t="s">
        <v>32</v>
      </c>
      <c r="F420" t="s">
        <v>33</v>
      </c>
      <c r="G420">
        <v>107762.69</v>
      </c>
      <c r="H420">
        <v>95523.38</v>
      </c>
      <c r="I420">
        <v>12239.31</v>
      </c>
      <c r="J420">
        <v>21078.31</v>
      </c>
      <c r="K420">
        <v>78680.100000000006</v>
      </c>
      <c r="L420">
        <v>56690.17</v>
      </c>
      <c r="M420">
        <v>455</v>
      </c>
      <c r="N420">
        <v>-7.6799999999999993E-2</v>
      </c>
      <c r="O420">
        <v>0.11360000000000001</v>
      </c>
      <c r="P420">
        <v>1.3878999999999999</v>
      </c>
      <c r="Q420" t="s">
        <v>111</v>
      </c>
      <c r="R420">
        <v>2024</v>
      </c>
      <c r="S420" t="s">
        <v>82</v>
      </c>
    </row>
    <row r="421" spans="1:19" x14ac:dyDescent="0.3">
      <c r="A421" t="s">
        <v>495</v>
      </c>
      <c r="B421" s="1">
        <v>45575</v>
      </c>
      <c r="C421" t="s">
        <v>78</v>
      </c>
      <c r="D421" t="s">
        <v>79</v>
      </c>
      <c r="E421" t="s">
        <v>51</v>
      </c>
      <c r="F421" t="s">
        <v>23</v>
      </c>
      <c r="G421">
        <v>60487.65</v>
      </c>
      <c r="H421">
        <v>40361.519999999997</v>
      </c>
      <c r="I421">
        <v>20126.13</v>
      </c>
      <c r="J421">
        <v>23912.98</v>
      </c>
      <c r="K421">
        <v>33088.1</v>
      </c>
      <c r="L421">
        <v>94144.66</v>
      </c>
      <c r="M421">
        <v>1277</v>
      </c>
      <c r="N421">
        <v>-2.23E-2</v>
      </c>
      <c r="O421">
        <v>0.3327</v>
      </c>
      <c r="P421">
        <v>0.35149999999999998</v>
      </c>
      <c r="Q421" t="s">
        <v>52</v>
      </c>
      <c r="R421">
        <v>2024</v>
      </c>
      <c r="S421" t="s">
        <v>40</v>
      </c>
    </row>
    <row r="422" spans="1:19" x14ac:dyDescent="0.3">
      <c r="A422" t="s">
        <v>496</v>
      </c>
      <c r="B422" s="1">
        <v>45109</v>
      </c>
      <c r="C422" t="s">
        <v>54</v>
      </c>
      <c r="D422" t="s">
        <v>55</v>
      </c>
      <c r="E422" t="s">
        <v>22</v>
      </c>
      <c r="F422" t="s">
        <v>23</v>
      </c>
      <c r="G422">
        <v>97645.9</v>
      </c>
      <c r="H422">
        <v>87848.01</v>
      </c>
      <c r="I422">
        <v>9797.89</v>
      </c>
      <c r="J422">
        <v>18435.669999999998</v>
      </c>
      <c r="K422">
        <v>10856.11</v>
      </c>
      <c r="L422">
        <v>169027.85</v>
      </c>
      <c r="M422">
        <v>2438</v>
      </c>
      <c r="N422">
        <v>1.0699999999999999E-2</v>
      </c>
      <c r="O422">
        <v>0.1003</v>
      </c>
      <c r="P422">
        <v>6.4199999999999993E-2</v>
      </c>
      <c r="Q422" t="s">
        <v>56</v>
      </c>
      <c r="R422">
        <v>2023</v>
      </c>
      <c r="S422" t="s">
        <v>25</v>
      </c>
    </row>
    <row r="423" spans="1:19" x14ac:dyDescent="0.3">
      <c r="A423" t="s">
        <v>497</v>
      </c>
      <c r="B423" s="1">
        <v>45455</v>
      </c>
      <c r="C423" t="s">
        <v>61</v>
      </c>
      <c r="D423" t="s">
        <v>74</v>
      </c>
      <c r="E423" t="s">
        <v>38</v>
      </c>
      <c r="F423" t="s">
        <v>23</v>
      </c>
      <c r="G423">
        <v>139164.1</v>
      </c>
      <c r="H423">
        <v>120895.29</v>
      </c>
      <c r="I423">
        <v>18268.810000000001</v>
      </c>
      <c r="J423">
        <v>21361.99</v>
      </c>
      <c r="K423">
        <v>69855.78</v>
      </c>
      <c r="L423">
        <v>44671.09</v>
      </c>
      <c r="M423">
        <v>1247</v>
      </c>
      <c r="N423">
        <v>5.4300000000000001E-2</v>
      </c>
      <c r="O423">
        <v>0.1313</v>
      </c>
      <c r="P423">
        <v>1.5638000000000001</v>
      </c>
      <c r="Q423" t="s">
        <v>111</v>
      </c>
      <c r="R423">
        <v>2024</v>
      </c>
      <c r="S423" t="s">
        <v>82</v>
      </c>
    </row>
    <row r="424" spans="1:19" x14ac:dyDescent="0.3">
      <c r="A424" t="s">
        <v>498</v>
      </c>
      <c r="B424" s="1">
        <v>45644</v>
      </c>
      <c r="C424" t="s">
        <v>42</v>
      </c>
      <c r="D424" t="s">
        <v>43</v>
      </c>
      <c r="E424" t="s">
        <v>38</v>
      </c>
      <c r="F424" t="s">
        <v>23</v>
      </c>
      <c r="G424">
        <v>44617.77</v>
      </c>
      <c r="H424">
        <v>35218.14</v>
      </c>
      <c r="I424">
        <v>9399.6299999999992</v>
      </c>
      <c r="J424">
        <v>37217.78</v>
      </c>
      <c r="K424">
        <v>87486.28</v>
      </c>
      <c r="L424">
        <v>199759.66</v>
      </c>
      <c r="M424">
        <v>1283</v>
      </c>
      <c r="N424">
        <v>-2.1899999999999999E-2</v>
      </c>
      <c r="O424">
        <v>0.2107</v>
      </c>
      <c r="P424">
        <v>0.438</v>
      </c>
      <c r="Q424" t="s">
        <v>52</v>
      </c>
      <c r="R424">
        <v>2024</v>
      </c>
      <c r="S424" t="s">
        <v>40</v>
      </c>
    </row>
    <row r="425" spans="1:19" x14ac:dyDescent="0.3">
      <c r="A425" t="s">
        <v>499</v>
      </c>
      <c r="B425" s="1">
        <v>45815</v>
      </c>
      <c r="C425" t="s">
        <v>48</v>
      </c>
      <c r="D425" t="s">
        <v>49</v>
      </c>
      <c r="E425" t="s">
        <v>32</v>
      </c>
      <c r="F425" t="s">
        <v>33</v>
      </c>
      <c r="G425">
        <v>103823.09</v>
      </c>
      <c r="H425">
        <v>81536.17</v>
      </c>
      <c r="I425">
        <v>22286.92</v>
      </c>
      <c r="J425">
        <v>65176.81</v>
      </c>
      <c r="K425">
        <v>86597.6</v>
      </c>
      <c r="L425">
        <v>80195.69</v>
      </c>
      <c r="M425">
        <v>809</v>
      </c>
      <c r="N425">
        <v>-0.1351</v>
      </c>
      <c r="O425">
        <v>0.2147</v>
      </c>
      <c r="P425">
        <v>1.0798000000000001</v>
      </c>
      <c r="Q425" t="s">
        <v>34</v>
      </c>
      <c r="R425">
        <v>2025</v>
      </c>
      <c r="S425" t="s">
        <v>82</v>
      </c>
    </row>
    <row r="426" spans="1:19" x14ac:dyDescent="0.3">
      <c r="A426" t="s">
        <v>500</v>
      </c>
      <c r="B426" s="1">
        <v>44564</v>
      </c>
      <c r="C426" t="s">
        <v>27</v>
      </c>
      <c r="D426" t="s">
        <v>28</v>
      </c>
      <c r="E426" t="s">
        <v>51</v>
      </c>
      <c r="F426" t="s">
        <v>23</v>
      </c>
      <c r="G426">
        <v>49736.94</v>
      </c>
      <c r="H426">
        <v>42792.46</v>
      </c>
      <c r="I426">
        <v>6944.48</v>
      </c>
      <c r="J426">
        <v>40957.67</v>
      </c>
      <c r="K426">
        <v>71293.17</v>
      </c>
      <c r="L426">
        <v>173283.99</v>
      </c>
      <c r="M426">
        <v>1329</v>
      </c>
      <c r="N426">
        <v>-1.3599999999999999E-2</v>
      </c>
      <c r="O426">
        <v>0.1396</v>
      </c>
      <c r="P426">
        <v>0.41139999999999999</v>
      </c>
      <c r="Q426" t="s">
        <v>90</v>
      </c>
      <c r="R426">
        <v>2022</v>
      </c>
      <c r="S426" t="s">
        <v>40</v>
      </c>
    </row>
    <row r="427" spans="1:19" x14ac:dyDescent="0.3">
      <c r="A427" t="s">
        <v>501</v>
      </c>
      <c r="B427" s="1">
        <v>45635</v>
      </c>
      <c r="C427" t="s">
        <v>102</v>
      </c>
      <c r="D427" t="s">
        <v>103</v>
      </c>
      <c r="E427" t="s">
        <v>38</v>
      </c>
      <c r="F427" t="s">
        <v>23</v>
      </c>
      <c r="G427">
        <v>36255.620000000003</v>
      </c>
      <c r="H427">
        <v>20891.900000000001</v>
      </c>
      <c r="I427">
        <v>15363.72</v>
      </c>
      <c r="J427">
        <v>14161.87</v>
      </c>
      <c r="K427">
        <v>55697.85</v>
      </c>
      <c r="L427">
        <v>59292.54</v>
      </c>
      <c r="M427">
        <v>1263</v>
      </c>
      <c r="N427">
        <v>-6.7900000000000002E-2</v>
      </c>
      <c r="O427">
        <v>0.42380000000000001</v>
      </c>
      <c r="P427">
        <v>0.93940000000000001</v>
      </c>
      <c r="Q427" t="s">
        <v>52</v>
      </c>
      <c r="R427">
        <v>2024</v>
      </c>
      <c r="S427" t="s">
        <v>82</v>
      </c>
    </row>
    <row r="428" spans="1:19" x14ac:dyDescent="0.3">
      <c r="A428" t="s">
        <v>502</v>
      </c>
      <c r="B428" s="1">
        <v>44913</v>
      </c>
      <c r="C428" t="s">
        <v>78</v>
      </c>
      <c r="D428" t="s">
        <v>275</v>
      </c>
      <c r="E428" t="s">
        <v>38</v>
      </c>
      <c r="F428" t="s">
        <v>23</v>
      </c>
      <c r="G428">
        <v>69038.78</v>
      </c>
      <c r="H428">
        <v>39405.949999999997</v>
      </c>
      <c r="I428">
        <v>29632.83</v>
      </c>
      <c r="J428">
        <v>36012.65</v>
      </c>
      <c r="K428">
        <v>31290.73</v>
      </c>
      <c r="L428">
        <v>53070.41</v>
      </c>
      <c r="M428">
        <v>760</v>
      </c>
      <c r="N428">
        <v>-1.7399999999999999E-2</v>
      </c>
      <c r="O428">
        <v>0.42920000000000003</v>
      </c>
      <c r="P428">
        <v>0.58960000000000001</v>
      </c>
      <c r="Q428" t="s">
        <v>46</v>
      </c>
      <c r="R428">
        <v>2022</v>
      </c>
      <c r="S428" t="s">
        <v>40</v>
      </c>
    </row>
    <row r="429" spans="1:19" x14ac:dyDescent="0.3">
      <c r="A429" t="s">
        <v>503</v>
      </c>
      <c r="B429" s="1">
        <v>45326</v>
      </c>
      <c r="C429" t="s">
        <v>20</v>
      </c>
      <c r="D429" t="s">
        <v>21</v>
      </c>
      <c r="E429" t="s">
        <v>22</v>
      </c>
      <c r="F429" t="s">
        <v>23</v>
      </c>
      <c r="G429">
        <v>47278.03</v>
      </c>
      <c r="H429">
        <v>32943.300000000003</v>
      </c>
      <c r="I429">
        <v>14334.73</v>
      </c>
      <c r="J429">
        <v>30017.27</v>
      </c>
      <c r="K429">
        <v>3309.68</v>
      </c>
      <c r="L429">
        <v>51015.61</v>
      </c>
      <c r="M429">
        <v>934</v>
      </c>
      <c r="N429">
        <v>9.1899999999999996E-2</v>
      </c>
      <c r="O429">
        <v>0.30320000000000003</v>
      </c>
      <c r="P429">
        <v>6.4899999999999999E-2</v>
      </c>
      <c r="Q429" t="s">
        <v>80</v>
      </c>
      <c r="R429">
        <v>2024</v>
      </c>
      <c r="S429" t="s">
        <v>25</v>
      </c>
    </row>
    <row r="430" spans="1:19" x14ac:dyDescent="0.3">
      <c r="A430" t="s">
        <v>504</v>
      </c>
      <c r="B430" s="1">
        <v>45318</v>
      </c>
      <c r="C430" t="s">
        <v>42</v>
      </c>
      <c r="D430" t="s">
        <v>43</v>
      </c>
      <c r="E430" t="s">
        <v>32</v>
      </c>
      <c r="F430" t="s">
        <v>33</v>
      </c>
      <c r="G430">
        <v>96804.14</v>
      </c>
      <c r="H430">
        <v>58162.23</v>
      </c>
      <c r="I430">
        <v>38641.910000000003</v>
      </c>
      <c r="J430">
        <v>60763.03</v>
      </c>
      <c r="K430">
        <v>31630</v>
      </c>
      <c r="L430">
        <v>150673.29999999999</v>
      </c>
      <c r="M430">
        <v>615</v>
      </c>
      <c r="N430">
        <v>9.2299999999999993E-2</v>
      </c>
      <c r="O430">
        <v>0.3992</v>
      </c>
      <c r="P430">
        <v>0.2099</v>
      </c>
      <c r="Q430" t="s">
        <v>80</v>
      </c>
      <c r="R430">
        <v>2024</v>
      </c>
      <c r="S430" t="s">
        <v>25</v>
      </c>
    </row>
    <row r="431" spans="1:19" x14ac:dyDescent="0.3">
      <c r="A431" t="s">
        <v>505</v>
      </c>
      <c r="B431" s="1">
        <v>45009</v>
      </c>
      <c r="C431" t="s">
        <v>78</v>
      </c>
      <c r="D431" t="s">
        <v>79</v>
      </c>
      <c r="E431" t="s">
        <v>32</v>
      </c>
      <c r="F431" t="s">
        <v>33</v>
      </c>
      <c r="G431">
        <v>54306.46</v>
      </c>
      <c r="H431">
        <v>33972.47</v>
      </c>
      <c r="I431">
        <v>20333.990000000002</v>
      </c>
      <c r="J431">
        <v>29391.08</v>
      </c>
      <c r="K431">
        <v>8714.25</v>
      </c>
      <c r="L431">
        <v>73460.570000000007</v>
      </c>
      <c r="M431">
        <v>1113</v>
      </c>
      <c r="N431">
        <v>6.0999999999999999E-2</v>
      </c>
      <c r="O431">
        <v>0.37440000000000001</v>
      </c>
      <c r="P431">
        <v>0.1186</v>
      </c>
      <c r="Q431" t="s">
        <v>118</v>
      </c>
      <c r="R431">
        <v>2023</v>
      </c>
      <c r="S431" t="s">
        <v>25</v>
      </c>
    </row>
    <row r="432" spans="1:19" x14ac:dyDescent="0.3">
      <c r="A432" t="s">
        <v>506</v>
      </c>
      <c r="B432" s="1">
        <v>44812</v>
      </c>
      <c r="C432" t="s">
        <v>20</v>
      </c>
      <c r="D432" t="s">
        <v>21</v>
      </c>
      <c r="E432" t="s">
        <v>22</v>
      </c>
      <c r="F432" t="s">
        <v>23</v>
      </c>
      <c r="G432">
        <v>80589.42</v>
      </c>
      <c r="H432">
        <v>72019.460000000006</v>
      </c>
      <c r="I432">
        <v>8569.9599999999991</v>
      </c>
      <c r="J432">
        <v>26852.799999999999</v>
      </c>
      <c r="K432">
        <v>12135.39</v>
      </c>
      <c r="L432">
        <v>79106.850000000006</v>
      </c>
      <c r="M432">
        <v>337</v>
      </c>
      <c r="N432">
        <v>2.3400000000000001E-2</v>
      </c>
      <c r="O432">
        <v>0.10630000000000001</v>
      </c>
      <c r="P432">
        <v>0.15340000000000001</v>
      </c>
      <c r="Q432" t="s">
        <v>76</v>
      </c>
      <c r="R432">
        <v>2022</v>
      </c>
      <c r="S432" t="s">
        <v>25</v>
      </c>
    </row>
    <row r="433" spans="1:19" x14ac:dyDescent="0.3">
      <c r="A433" t="s">
        <v>507</v>
      </c>
      <c r="B433" s="1">
        <v>44722</v>
      </c>
      <c r="C433" t="s">
        <v>54</v>
      </c>
      <c r="D433" t="s">
        <v>55</v>
      </c>
      <c r="E433" t="s">
        <v>22</v>
      </c>
      <c r="F433" t="s">
        <v>23</v>
      </c>
      <c r="G433">
        <v>49968.45</v>
      </c>
      <c r="H433">
        <v>28140.65</v>
      </c>
      <c r="I433">
        <v>21827.8</v>
      </c>
      <c r="J433">
        <v>41372.629999999997</v>
      </c>
      <c r="K433">
        <v>24706.2</v>
      </c>
      <c r="L433">
        <v>83974.59</v>
      </c>
      <c r="M433">
        <v>693</v>
      </c>
      <c r="N433">
        <v>9.1999999999999998E-2</v>
      </c>
      <c r="O433">
        <v>0.43680000000000002</v>
      </c>
      <c r="P433">
        <v>0.29420000000000002</v>
      </c>
      <c r="Q433" t="s">
        <v>58</v>
      </c>
      <c r="R433">
        <v>2022</v>
      </c>
      <c r="S433" t="s">
        <v>25</v>
      </c>
    </row>
    <row r="434" spans="1:19" x14ac:dyDescent="0.3">
      <c r="A434" t="s">
        <v>508</v>
      </c>
      <c r="B434" s="3">
        <v>44750</v>
      </c>
      <c r="C434" t="s">
        <v>27</v>
      </c>
      <c r="D434" t="s">
        <v>28</v>
      </c>
      <c r="E434" t="s">
        <v>22</v>
      </c>
      <c r="F434" t="s">
        <v>23</v>
      </c>
      <c r="G434">
        <v>153272.10999999999</v>
      </c>
      <c r="H434">
        <v>133413.13</v>
      </c>
      <c r="I434">
        <v>19858.98</v>
      </c>
      <c r="J434">
        <v>33510.33</v>
      </c>
      <c r="K434">
        <v>33586.74</v>
      </c>
      <c r="L434">
        <v>92392.33</v>
      </c>
      <c r="M434">
        <v>1037</v>
      </c>
      <c r="N434">
        <v>9.1999999999999998E-3</v>
      </c>
      <c r="O434">
        <v>0.12959999999999999</v>
      </c>
      <c r="P434">
        <v>0.36349999999999999</v>
      </c>
      <c r="Q434" t="s">
        <v>76</v>
      </c>
      <c r="R434">
        <v>2022</v>
      </c>
      <c r="S434" t="s">
        <v>40</v>
      </c>
    </row>
    <row r="435" spans="1:19" x14ac:dyDescent="0.3">
      <c r="A435" t="s">
        <v>509</v>
      </c>
      <c r="B435" s="1">
        <v>44754</v>
      </c>
      <c r="C435" t="s">
        <v>102</v>
      </c>
      <c r="D435" t="s">
        <v>103</v>
      </c>
      <c r="E435" t="s">
        <v>38</v>
      </c>
      <c r="F435" t="s">
        <v>23</v>
      </c>
      <c r="G435">
        <v>62558.16</v>
      </c>
      <c r="H435">
        <v>54380.63</v>
      </c>
      <c r="I435">
        <v>8177.53</v>
      </c>
      <c r="J435">
        <v>62394.720000000001</v>
      </c>
      <c r="K435">
        <v>33002.78</v>
      </c>
      <c r="L435">
        <v>78919.12</v>
      </c>
      <c r="M435">
        <v>744</v>
      </c>
      <c r="N435">
        <v>7.4200000000000002E-2</v>
      </c>
      <c r="O435">
        <v>0.13070000000000001</v>
      </c>
      <c r="P435">
        <v>0.41820000000000002</v>
      </c>
      <c r="Q435" t="s">
        <v>76</v>
      </c>
      <c r="R435">
        <v>2022</v>
      </c>
      <c r="S435" t="s">
        <v>40</v>
      </c>
    </row>
    <row r="436" spans="1:19" x14ac:dyDescent="0.3">
      <c r="A436" t="s">
        <v>510</v>
      </c>
      <c r="B436" s="1">
        <v>45252</v>
      </c>
      <c r="C436" t="s">
        <v>61</v>
      </c>
      <c r="D436" t="s">
        <v>74</v>
      </c>
      <c r="E436" t="s">
        <v>38</v>
      </c>
      <c r="F436" t="s">
        <v>23</v>
      </c>
      <c r="G436">
        <v>30624.17</v>
      </c>
      <c r="H436">
        <v>21694.7</v>
      </c>
      <c r="I436">
        <v>8929.4699999999993</v>
      </c>
      <c r="J436">
        <v>36747.31</v>
      </c>
      <c r="K436">
        <v>13108.11</v>
      </c>
      <c r="L436">
        <v>50077.52</v>
      </c>
      <c r="M436">
        <v>1011</v>
      </c>
      <c r="N436">
        <v>0.13689999999999999</v>
      </c>
      <c r="O436">
        <v>0.29160000000000003</v>
      </c>
      <c r="P436">
        <v>0.26179999999999998</v>
      </c>
      <c r="Q436" t="s">
        <v>44</v>
      </c>
      <c r="R436">
        <v>2023</v>
      </c>
      <c r="S436" t="s">
        <v>25</v>
      </c>
    </row>
    <row r="437" spans="1:19" x14ac:dyDescent="0.3">
      <c r="A437" t="s">
        <v>511</v>
      </c>
      <c r="B437" s="1">
        <v>44673</v>
      </c>
      <c r="C437" t="s">
        <v>48</v>
      </c>
      <c r="D437" t="s">
        <v>49</v>
      </c>
      <c r="E437" t="s">
        <v>51</v>
      </c>
      <c r="F437" t="s">
        <v>23</v>
      </c>
      <c r="G437">
        <v>152009.81</v>
      </c>
      <c r="H437">
        <v>131092.73000000001</v>
      </c>
      <c r="I437">
        <v>20917.080000000002</v>
      </c>
      <c r="J437">
        <v>14194.42</v>
      </c>
      <c r="K437">
        <v>32418.16</v>
      </c>
      <c r="L437">
        <v>97773.55</v>
      </c>
      <c r="M437">
        <v>582</v>
      </c>
      <c r="N437">
        <v>-7.9799999999999996E-2</v>
      </c>
      <c r="O437">
        <v>0.1376</v>
      </c>
      <c r="P437">
        <v>0.33160000000000001</v>
      </c>
      <c r="Q437" t="s">
        <v>58</v>
      </c>
      <c r="R437">
        <v>2022</v>
      </c>
      <c r="S437" t="s">
        <v>40</v>
      </c>
    </row>
    <row r="438" spans="1:19" x14ac:dyDescent="0.3">
      <c r="A438" t="s">
        <v>512</v>
      </c>
      <c r="B438" s="1">
        <v>45458</v>
      </c>
      <c r="C438" t="s">
        <v>68</v>
      </c>
      <c r="E438" t="s">
        <v>51</v>
      </c>
      <c r="F438" t="s">
        <v>23</v>
      </c>
      <c r="G438">
        <v>82264.160000000003</v>
      </c>
      <c r="H438">
        <v>47615.06</v>
      </c>
      <c r="I438">
        <v>34649.1</v>
      </c>
      <c r="J438">
        <v>81821.440000000002</v>
      </c>
      <c r="K438">
        <v>22871.94</v>
      </c>
      <c r="L438">
        <v>152455.23000000001</v>
      </c>
      <c r="M438">
        <v>1819</v>
      </c>
      <c r="N438">
        <v>1.5100000000000001E-2</v>
      </c>
      <c r="O438">
        <v>0.42120000000000002</v>
      </c>
      <c r="P438">
        <v>0.15</v>
      </c>
      <c r="Q438" t="s">
        <v>111</v>
      </c>
      <c r="R438">
        <v>2024</v>
      </c>
      <c r="S438" t="s">
        <v>25</v>
      </c>
    </row>
    <row r="439" spans="1:19" x14ac:dyDescent="0.3">
      <c r="A439" t="s">
        <v>513</v>
      </c>
      <c r="B439" s="1">
        <v>45858</v>
      </c>
      <c r="C439" t="s">
        <v>61</v>
      </c>
      <c r="D439" t="s">
        <v>74</v>
      </c>
      <c r="E439" t="s">
        <v>32</v>
      </c>
      <c r="F439" t="s">
        <v>33</v>
      </c>
      <c r="G439">
        <v>48266.84</v>
      </c>
      <c r="H439">
        <v>31707.38</v>
      </c>
      <c r="I439">
        <v>16559.46</v>
      </c>
      <c r="J439">
        <v>17612.73</v>
      </c>
      <c r="K439">
        <v>8858.7900000000009</v>
      </c>
      <c r="L439">
        <v>35642.81</v>
      </c>
      <c r="M439">
        <v>519</v>
      </c>
      <c r="N439">
        <v>2.1999999999999999E-2</v>
      </c>
      <c r="O439">
        <v>0.34310000000000002</v>
      </c>
      <c r="P439">
        <v>0.2485</v>
      </c>
      <c r="Q439" t="s">
        <v>24</v>
      </c>
      <c r="R439">
        <v>2025</v>
      </c>
      <c r="S439" t="s">
        <v>25</v>
      </c>
    </row>
    <row r="440" spans="1:19" x14ac:dyDescent="0.3">
      <c r="A440" t="s">
        <v>514</v>
      </c>
      <c r="B440" s="1">
        <v>44995</v>
      </c>
      <c r="C440" t="s">
        <v>30</v>
      </c>
      <c r="D440" t="s">
        <v>31</v>
      </c>
      <c r="E440" t="s">
        <v>22</v>
      </c>
      <c r="F440" t="s">
        <v>23</v>
      </c>
      <c r="G440">
        <v>74799.31</v>
      </c>
      <c r="H440">
        <v>63181.71</v>
      </c>
      <c r="I440">
        <v>11617.6</v>
      </c>
      <c r="J440">
        <v>8283.7199999999993</v>
      </c>
      <c r="K440">
        <v>50630.16</v>
      </c>
      <c r="L440">
        <v>167082.81</v>
      </c>
      <c r="M440">
        <v>966</v>
      </c>
      <c r="N440">
        <v>-7.9699999999999993E-2</v>
      </c>
      <c r="O440">
        <v>0.15529999999999999</v>
      </c>
      <c r="P440">
        <v>0.30299999999999999</v>
      </c>
      <c r="Q440" t="s">
        <v>118</v>
      </c>
      <c r="R440">
        <v>2023</v>
      </c>
      <c r="S440" t="s">
        <v>40</v>
      </c>
    </row>
    <row r="441" spans="1:19" x14ac:dyDescent="0.3">
      <c r="A441" t="s">
        <v>515</v>
      </c>
      <c r="B441" s="1">
        <v>45463</v>
      </c>
      <c r="C441" t="s">
        <v>85</v>
      </c>
      <c r="D441" t="s">
        <v>86</v>
      </c>
      <c r="E441" t="s">
        <v>22</v>
      </c>
      <c r="F441" t="s">
        <v>23</v>
      </c>
      <c r="G441">
        <v>52718.53</v>
      </c>
      <c r="H441">
        <v>34339.56</v>
      </c>
      <c r="I441">
        <v>18378.97</v>
      </c>
      <c r="J441">
        <v>30753.63</v>
      </c>
      <c r="K441">
        <v>19806.12</v>
      </c>
      <c r="L441">
        <v>85321.65</v>
      </c>
      <c r="M441">
        <v>750</v>
      </c>
      <c r="N441">
        <v>-7.8799999999999995E-2</v>
      </c>
      <c r="O441">
        <v>0.34860000000000002</v>
      </c>
      <c r="P441">
        <v>0.2321</v>
      </c>
      <c r="Q441" t="s">
        <v>111</v>
      </c>
      <c r="R441">
        <v>2024</v>
      </c>
      <c r="S441" t="s">
        <v>25</v>
      </c>
    </row>
    <row r="442" spans="1:19" x14ac:dyDescent="0.3">
      <c r="A442" t="s">
        <v>516</v>
      </c>
      <c r="B442" s="1">
        <v>45715</v>
      </c>
      <c r="C442" t="s">
        <v>78</v>
      </c>
      <c r="D442" t="s">
        <v>79</v>
      </c>
      <c r="E442" t="s">
        <v>22</v>
      </c>
      <c r="F442" t="s">
        <v>23</v>
      </c>
      <c r="G442">
        <v>56391.040000000001</v>
      </c>
      <c r="H442">
        <v>51488.7</v>
      </c>
      <c r="I442">
        <v>4902.34</v>
      </c>
      <c r="J442">
        <v>39676.18</v>
      </c>
      <c r="K442">
        <v>77020.27</v>
      </c>
      <c r="L442">
        <v>78854.02</v>
      </c>
      <c r="M442">
        <v>1538</v>
      </c>
      <c r="N442">
        <v>-0.1007</v>
      </c>
      <c r="O442">
        <v>8.6900000000000005E-2</v>
      </c>
      <c r="P442">
        <v>0.97670000000000001</v>
      </c>
      <c r="Q442" t="s">
        <v>106</v>
      </c>
      <c r="R442">
        <v>2025</v>
      </c>
      <c r="S442" t="s">
        <v>82</v>
      </c>
    </row>
    <row r="443" spans="1:19" x14ac:dyDescent="0.3">
      <c r="A443" t="s">
        <v>517</v>
      </c>
      <c r="B443" s="1">
        <v>44730</v>
      </c>
      <c r="C443" t="s">
        <v>20</v>
      </c>
      <c r="D443" t="s">
        <v>21</v>
      </c>
      <c r="E443" t="s">
        <v>22</v>
      </c>
      <c r="F443" t="s">
        <v>23</v>
      </c>
      <c r="G443">
        <v>215550.24</v>
      </c>
      <c r="H443">
        <v>184424.39</v>
      </c>
      <c r="I443">
        <v>31125.85</v>
      </c>
      <c r="J443">
        <v>38077.65</v>
      </c>
      <c r="K443">
        <v>39216.730000000003</v>
      </c>
      <c r="L443">
        <v>108605.28</v>
      </c>
      <c r="M443">
        <v>1003</v>
      </c>
      <c r="N443">
        <v>0.1062</v>
      </c>
      <c r="O443">
        <v>0.1444</v>
      </c>
      <c r="P443">
        <v>0.36109999999999998</v>
      </c>
      <c r="Q443" t="s">
        <v>58</v>
      </c>
      <c r="R443">
        <v>2022</v>
      </c>
      <c r="S443" t="s">
        <v>40</v>
      </c>
    </row>
    <row r="444" spans="1:19" x14ac:dyDescent="0.3">
      <c r="A444" t="s">
        <v>518</v>
      </c>
      <c r="B444" s="1">
        <v>45688</v>
      </c>
      <c r="C444" t="s">
        <v>42</v>
      </c>
      <c r="D444" t="s">
        <v>43</v>
      </c>
      <c r="E444" t="s">
        <v>22</v>
      </c>
      <c r="F444" t="s">
        <v>23</v>
      </c>
      <c r="G444">
        <v>153368.32000000001</v>
      </c>
      <c r="H444">
        <v>123440.01</v>
      </c>
      <c r="I444">
        <v>29928.31</v>
      </c>
      <c r="J444">
        <v>44029.64</v>
      </c>
      <c r="K444">
        <v>7661.64</v>
      </c>
      <c r="L444">
        <v>119908.25</v>
      </c>
      <c r="M444">
        <v>1104</v>
      </c>
      <c r="N444">
        <v>4.4999999999999997E-3</v>
      </c>
      <c r="O444">
        <v>0.1951</v>
      </c>
      <c r="P444">
        <v>6.3899999999999998E-2</v>
      </c>
      <c r="Q444" t="s">
        <v>106</v>
      </c>
      <c r="R444">
        <v>2025</v>
      </c>
      <c r="S444" t="s">
        <v>25</v>
      </c>
    </row>
    <row r="445" spans="1:19" x14ac:dyDescent="0.3">
      <c r="A445" t="s">
        <v>519</v>
      </c>
      <c r="B445" s="1">
        <v>44617</v>
      </c>
      <c r="C445" t="s">
        <v>61</v>
      </c>
      <c r="D445" t="s">
        <v>74</v>
      </c>
      <c r="E445" t="s">
        <v>32</v>
      </c>
      <c r="F445" t="s">
        <v>33</v>
      </c>
      <c r="G445">
        <v>119470.83</v>
      </c>
      <c r="H445">
        <v>99273.69</v>
      </c>
      <c r="I445">
        <v>20197.14</v>
      </c>
      <c r="J445">
        <v>189706.17</v>
      </c>
      <c r="K445">
        <v>13216.61</v>
      </c>
      <c r="L445">
        <v>284725.36</v>
      </c>
      <c r="M445">
        <v>333</v>
      </c>
      <c r="N445">
        <v>-0.16239999999999999</v>
      </c>
      <c r="O445">
        <v>0.1691</v>
      </c>
      <c r="P445">
        <v>4.6399999999999997E-2</v>
      </c>
      <c r="Q445" t="s">
        <v>90</v>
      </c>
      <c r="R445">
        <v>2022</v>
      </c>
      <c r="S445" t="s">
        <v>25</v>
      </c>
    </row>
    <row r="446" spans="1:19" x14ac:dyDescent="0.3">
      <c r="A446" t="s">
        <v>520</v>
      </c>
      <c r="B446" s="1">
        <v>44574</v>
      </c>
      <c r="C446" t="s">
        <v>42</v>
      </c>
      <c r="D446" t="s">
        <v>43</v>
      </c>
      <c r="E446" t="s">
        <v>32</v>
      </c>
      <c r="F446" t="s">
        <v>33</v>
      </c>
      <c r="G446">
        <v>169810.94</v>
      </c>
      <c r="H446">
        <v>94988.67</v>
      </c>
      <c r="I446">
        <v>74822.27</v>
      </c>
      <c r="K446">
        <v>11070.48</v>
      </c>
      <c r="L446">
        <v>156672.51999999999</v>
      </c>
      <c r="M446">
        <v>957</v>
      </c>
      <c r="N446">
        <v>-3.3300000000000003E-2</v>
      </c>
      <c r="O446">
        <v>0.44059999999999999</v>
      </c>
      <c r="P446">
        <v>7.0699999999999999E-2</v>
      </c>
      <c r="Q446" t="s">
        <v>90</v>
      </c>
      <c r="R446">
        <v>2022</v>
      </c>
      <c r="S446" t="s">
        <v>25</v>
      </c>
    </row>
    <row r="447" spans="1:19" x14ac:dyDescent="0.3">
      <c r="A447" t="s">
        <v>521</v>
      </c>
      <c r="B447" s="1">
        <v>44602</v>
      </c>
      <c r="C447" t="s">
        <v>54</v>
      </c>
      <c r="D447" t="s">
        <v>55</v>
      </c>
      <c r="E447" t="s">
        <v>38</v>
      </c>
      <c r="F447" t="s">
        <v>23</v>
      </c>
      <c r="G447">
        <v>51610.9</v>
      </c>
      <c r="H447">
        <v>45779.16</v>
      </c>
      <c r="I447">
        <v>5831.74</v>
      </c>
      <c r="J447">
        <v>27314.52</v>
      </c>
      <c r="K447">
        <v>26751.99</v>
      </c>
      <c r="L447">
        <v>78248.87</v>
      </c>
      <c r="M447">
        <v>759</v>
      </c>
      <c r="N447">
        <v>-4.4600000000000001E-2</v>
      </c>
      <c r="O447">
        <v>0.113</v>
      </c>
      <c r="P447">
        <v>0.34189999999999998</v>
      </c>
      <c r="Q447" t="s">
        <v>90</v>
      </c>
      <c r="R447">
        <v>2022</v>
      </c>
      <c r="S447" t="s">
        <v>40</v>
      </c>
    </row>
    <row r="448" spans="1:19" x14ac:dyDescent="0.3">
      <c r="A448" t="s">
        <v>522</v>
      </c>
      <c r="B448" s="1">
        <v>45379</v>
      </c>
      <c r="C448" t="s">
        <v>48</v>
      </c>
      <c r="D448" t="s">
        <v>49</v>
      </c>
      <c r="E448" t="s">
        <v>38</v>
      </c>
      <c r="F448" t="s">
        <v>23</v>
      </c>
      <c r="G448">
        <v>90011.35</v>
      </c>
      <c r="H448">
        <v>78963.100000000006</v>
      </c>
      <c r="I448">
        <v>11048.25</v>
      </c>
      <c r="J448">
        <v>104561.65</v>
      </c>
      <c r="K448">
        <v>92614.94</v>
      </c>
      <c r="L448">
        <v>470662.08</v>
      </c>
      <c r="M448">
        <v>726</v>
      </c>
      <c r="N448">
        <v>-2.2200000000000001E-2</v>
      </c>
      <c r="O448">
        <v>0.1227</v>
      </c>
      <c r="P448">
        <v>0.1968</v>
      </c>
      <c r="Q448" t="s">
        <v>80</v>
      </c>
      <c r="R448">
        <v>2024</v>
      </c>
      <c r="S448" t="s">
        <v>25</v>
      </c>
    </row>
    <row r="449" spans="1:19" x14ac:dyDescent="0.3">
      <c r="A449" t="s">
        <v>523</v>
      </c>
      <c r="B449" s="1">
        <v>44634</v>
      </c>
      <c r="C449" t="s">
        <v>27</v>
      </c>
      <c r="D449" t="s">
        <v>28</v>
      </c>
      <c r="E449" t="s">
        <v>116</v>
      </c>
      <c r="F449" t="s">
        <v>33</v>
      </c>
      <c r="G449">
        <v>73164.210000000006</v>
      </c>
      <c r="H449">
        <v>56026.02</v>
      </c>
      <c r="I449">
        <v>17138.189999999999</v>
      </c>
      <c r="J449">
        <v>29061.97</v>
      </c>
      <c r="K449">
        <v>16348.27</v>
      </c>
      <c r="L449">
        <v>94103.2</v>
      </c>
      <c r="M449">
        <v>894</v>
      </c>
      <c r="N449">
        <v>-0.13919999999999999</v>
      </c>
      <c r="O449">
        <v>0.23419999999999999</v>
      </c>
      <c r="P449">
        <v>0.17369999999999999</v>
      </c>
      <c r="Q449" t="s">
        <v>90</v>
      </c>
      <c r="R449">
        <v>2022</v>
      </c>
      <c r="S449" t="s">
        <v>25</v>
      </c>
    </row>
    <row r="450" spans="1:19" x14ac:dyDescent="0.3">
      <c r="A450" t="s">
        <v>524</v>
      </c>
      <c r="B450" s="1">
        <v>45092</v>
      </c>
      <c r="C450" t="s">
        <v>36</v>
      </c>
      <c r="D450" t="s">
        <v>37</v>
      </c>
      <c r="E450" t="s">
        <v>38</v>
      </c>
      <c r="F450" t="s">
        <v>23</v>
      </c>
      <c r="G450">
        <v>71872.62</v>
      </c>
      <c r="H450">
        <v>57916.68</v>
      </c>
      <c r="I450">
        <v>13955.94</v>
      </c>
      <c r="J450">
        <v>17827.580000000002</v>
      </c>
      <c r="K450">
        <v>48194.85</v>
      </c>
      <c r="L450">
        <v>38819.17</v>
      </c>
      <c r="M450">
        <v>738</v>
      </c>
      <c r="N450">
        <v>4.4699999999999997E-2</v>
      </c>
      <c r="O450">
        <v>0.19420000000000001</v>
      </c>
      <c r="P450">
        <v>1.2415</v>
      </c>
      <c r="Q450" t="s">
        <v>39</v>
      </c>
      <c r="R450">
        <v>2023</v>
      </c>
      <c r="S450" t="s">
        <v>82</v>
      </c>
    </row>
    <row r="451" spans="1:19" x14ac:dyDescent="0.3">
      <c r="A451" t="s">
        <v>525</v>
      </c>
      <c r="B451" s="1">
        <v>44834</v>
      </c>
      <c r="C451" t="s">
        <v>48</v>
      </c>
      <c r="D451" t="s">
        <v>49</v>
      </c>
      <c r="E451" t="s">
        <v>51</v>
      </c>
      <c r="F451" t="s">
        <v>23</v>
      </c>
      <c r="G451">
        <v>49427.55</v>
      </c>
      <c r="H451">
        <v>32894.58</v>
      </c>
      <c r="I451">
        <v>16532.97</v>
      </c>
      <c r="J451">
        <v>9652.85</v>
      </c>
      <c r="K451">
        <v>53768.7</v>
      </c>
      <c r="L451">
        <v>107699.51</v>
      </c>
      <c r="M451">
        <v>1102</v>
      </c>
      <c r="N451">
        <v>0.1085</v>
      </c>
      <c r="O451">
        <v>0.33450000000000002</v>
      </c>
      <c r="P451">
        <v>0.49919999999999998</v>
      </c>
      <c r="Q451" t="s">
        <v>76</v>
      </c>
      <c r="R451">
        <v>2022</v>
      </c>
      <c r="S451" t="s">
        <v>40</v>
      </c>
    </row>
    <row r="452" spans="1:19" x14ac:dyDescent="0.3">
      <c r="A452" t="s">
        <v>526</v>
      </c>
      <c r="B452" s="1">
        <v>45774</v>
      </c>
      <c r="C452" t="s">
        <v>42</v>
      </c>
      <c r="D452" t="s">
        <v>43</v>
      </c>
      <c r="E452" t="s">
        <v>22</v>
      </c>
      <c r="F452" t="s">
        <v>23</v>
      </c>
      <c r="G452">
        <v>57941.05</v>
      </c>
      <c r="H452">
        <v>32296.84</v>
      </c>
      <c r="I452">
        <v>25644.21</v>
      </c>
      <c r="J452">
        <v>102315.25</v>
      </c>
      <c r="K452">
        <v>23694.7</v>
      </c>
      <c r="L452">
        <v>140005.20000000001</v>
      </c>
      <c r="N452">
        <v>0.19009999999999999</v>
      </c>
      <c r="O452">
        <v>0.44259999999999999</v>
      </c>
      <c r="P452">
        <v>0.16919999999999999</v>
      </c>
      <c r="Q452" t="s">
        <v>34</v>
      </c>
      <c r="R452">
        <v>2025</v>
      </c>
      <c r="S452" t="s">
        <v>25</v>
      </c>
    </row>
    <row r="453" spans="1:19" x14ac:dyDescent="0.3">
      <c r="A453" t="s">
        <v>527</v>
      </c>
      <c r="B453" s="1">
        <v>45921</v>
      </c>
      <c r="C453" t="s">
        <v>85</v>
      </c>
      <c r="D453" t="s">
        <v>86</v>
      </c>
      <c r="E453" t="s">
        <v>22</v>
      </c>
      <c r="F453" t="s">
        <v>23</v>
      </c>
      <c r="G453">
        <v>34827.449999999997</v>
      </c>
      <c r="H453">
        <v>20609.21</v>
      </c>
      <c r="I453">
        <v>14218.24</v>
      </c>
      <c r="J453">
        <v>52049.06</v>
      </c>
      <c r="K453">
        <v>19523.39</v>
      </c>
      <c r="L453">
        <v>449687.09</v>
      </c>
      <c r="M453">
        <v>867</v>
      </c>
      <c r="N453">
        <v>-1.2699999999999999E-2</v>
      </c>
      <c r="O453">
        <v>0.40820000000000001</v>
      </c>
      <c r="P453">
        <v>4.3400000000000001E-2</v>
      </c>
      <c r="Q453" t="s">
        <v>24</v>
      </c>
      <c r="R453">
        <v>2025</v>
      </c>
      <c r="S453" t="s">
        <v>25</v>
      </c>
    </row>
    <row r="454" spans="1:19" x14ac:dyDescent="0.3">
      <c r="A454" t="s">
        <v>528</v>
      </c>
      <c r="B454" s="1">
        <v>45020</v>
      </c>
      <c r="C454" t="s">
        <v>30</v>
      </c>
      <c r="D454" t="s">
        <v>31</v>
      </c>
      <c r="E454" t="s">
        <v>51</v>
      </c>
      <c r="F454" t="s">
        <v>23</v>
      </c>
      <c r="G454">
        <v>162372.54</v>
      </c>
      <c r="H454">
        <v>107308.34</v>
      </c>
      <c r="I454">
        <v>55064.2</v>
      </c>
      <c r="J454">
        <v>45163.96</v>
      </c>
      <c r="K454">
        <v>27830.33</v>
      </c>
      <c r="L454">
        <v>135555.99</v>
      </c>
      <c r="M454">
        <v>1789</v>
      </c>
      <c r="N454">
        <v>8.5300000000000001E-2</v>
      </c>
      <c r="O454">
        <v>0.33910000000000001</v>
      </c>
      <c r="P454">
        <v>0.20530000000000001</v>
      </c>
      <c r="Q454" t="s">
        <v>39</v>
      </c>
      <c r="R454">
        <v>2023</v>
      </c>
      <c r="S454" t="s">
        <v>25</v>
      </c>
    </row>
    <row r="455" spans="1:19" x14ac:dyDescent="0.3">
      <c r="A455" t="s">
        <v>529</v>
      </c>
      <c r="B455" s="1">
        <v>45485</v>
      </c>
      <c r="C455" t="s">
        <v>36</v>
      </c>
      <c r="D455" t="s">
        <v>37</v>
      </c>
      <c r="E455" t="s">
        <v>38</v>
      </c>
      <c r="F455" t="s">
        <v>23</v>
      </c>
      <c r="G455">
        <v>48609.85</v>
      </c>
      <c r="H455">
        <v>27132.65</v>
      </c>
      <c r="I455">
        <v>21477.200000000001</v>
      </c>
      <c r="J455">
        <v>30631.47</v>
      </c>
      <c r="K455">
        <v>8898.6200000000008</v>
      </c>
      <c r="L455">
        <v>55325.64</v>
      </c>
      <c r="M455">
        <v>570</v>
      </c>
      <c r="N455">
        <v>-1.35E-2</v>
      </c>
      <c r="O455">
        <v>0.44180000000000003</v>
      </c>
      <c r="P455">
        <v>0.1608</v>
      </c>
      <c r="Q455" t="s">
        <v>72</v>
      </c>
      <c r="R455">
        <v>2024</v>
      </c>
      <c r="S455" t="s">
        <v>25</v>
      </c>
    </row>
    <row r="456" spans="1:19" x14ac:dyDescent="0.3">
      <c r="A456" t="s">
        <v>530</v>
      </c>
      <c r="B456" s="1">
        <v>45119</v>
      </c>
      <c r="C456" t="s">
        <v>68</v>
      </c>
      <c r="D456" t="s">
        <v>69</v>
      </c>
      <c r="E456" t="s">
        <v>38</v>
      </c>
      <c r="F456" t="s">
        <v>23</v>
      </c>
      <c r="G456">
        <v>196254.38</v>
      </c>
      <c r="H456">
        <v>163834.38</v>
      </c>
      <c r="I456">
        <v>32420</v>
      </c>
      <c r="J456">
        <v>52097.63</v>
      </c>
      <c r="K456">
        <v>28227.98</v>
      </c>
      <c r="L456">
        <v>132213.88</v>
      </c>
      <c r="M456">
        <v>1575</v>
      </c>
      <c r="N456">
        <v>-0.09</v>
      </c>
      <c r="O456">
        <v>0.16520000000000001</v>
      </c>
      <c r="P456">
        <v>0.2135</v>
      </c>
      <c r="Q456" t="s">
        <v>56</v>
      </c>
      <c r="R456">
        <v>2023</v>
      </c>
      <c r="S456" t="s">
        <v>25</v>
      </c>
    </row>
    <row r="457" spans="1:19" x14ac:dyDescent="0.3">
      <c r="A457" t="s">
        <v>531</v>
      </c>
      <c r="B457" s="1">
        <v>45941</v>
      </c>
      <c r="C457" t="s">
        <v>85</v>
      </c>
      <c r="D457" t="s">
        <v>86</v>
      </c>
      <c r="E457" t="s">
        <v>32</v>
      </c>
      <c r="F457" t="s">
        <v>33</v>
      </c>
      <c r="G457">
        <v>58271.27</v>
      </c>
      <c r="H457">
        <v>49636.97</v>
      </c>
      <c r="I457">
        <v>8634.2999999999993</v>
      </c>
      <c r="J457">
        <v>19133.61</v>
      </c>
      <c r="K457">
        <v>7212.18</v>
      </c>
      <c r="L457">
        <v>204327.56</v>
      </c>
      <c r="M457">
        <v>1516</v>
      </c>
      <c r="N457">
        <v>3.5000000000000001E-3</v>
      </c>
      <c r="O457">
        <v>0.1482</v>
      </c>
      <c r="P457">
        <v>3.5299999999999998E-2</v>
      </c>
      <c r="Q457" t="s">
        <v>66</v>
      </c>
      <c r="R457">
        <v>2025</v>
      </c>
      <c r="S457" t="s">
        <v>25</v>
      </c>
    </row>
    <row r="458" spans="1:19" x14ac:dyDescent="0.3">
      <c r="A458" t="s">
        <v>532</v>
      </c>
      <c r="B458" s="1">
        <v>45126</v>
      </c>
      <c r="C458" t="s">
        <v>85</v>
      </c>
      <c r="D458" t="s">
        <v>86</v>
      </c>
      <c r="E458" t="s">
        <v>38</v>
      </c>
      <c r="F458" t="s">
        <v>23</v>
      </c>
      <c r="G458">
        <v>77888.27</v>
      </c>
      <c r="H458">
        <v>67263.73</v>
      </c>
      <c r="I458">
        <v>10624.54</v>
      </c>
      <c r="J458">
        <v>29702.85</v>
      </c>
      <c r="K458">
        <v>21504.240000000002</v>
      </c>
      <c r="L458">
        <v>52644.91</v>
      </c>
      <c r="M458">
        <v>1132</v>
      </c>
      <c r="N458">
        <v>-5.2600000000000001E-2</v>
      </c>
      <c r="O458">
        <v>0.13639999999999999</v>
      </c>
      <c r="P458">
        <v>0.40849999999999997</v>
      </c>
      <c r="Q458" t="s">
        <v>56</v>
      </c>
      <c r="R458">
        <v>2023</v>
      </c>
      <c r="S458" t="s">
        <v>40</v>
      </c>
    </row>
    <row r="459" spans="1:19" x14ac:dyDescent="0.3">
      <c r="A459" t="s">
        <v>533</v>
      </c>
      <c r="B459" s="1">
        <v>45972</v>
      </c>
      <c r="C459" t="s">
        <v>27</v>
      </c>
      <c r="D459" t="s">
        <v>28</v>
      </c>
      <c r="E459" t="s">
        <v>38</v>
      </c>
      <c r="F459" t="s">
        <v>23</v>
      </c>
      <c r="G459">
        <v>50140.21</v>
      </c>
      <c r="H459">
        <v>28346.97</v>
      </c>
      <c r="I459">
        <v>21793.24</v>
      </c>
      <c r="J459">
        <v>21418.93</v>
      </c>
      <c r="K459">
        <v>44538.93</v>
      </c>
      <c r="L459">
        <v>36072.82</v>
      </c>
      <c r="M459">
        <v>1080</v>
      </c>
      <c r="N459">
        <v>7.5999999999999998E-2</v>
      </c>
      <c r="O459">
        <v>0.43459999999999999</v>
      </c>
      <c r="P459">
        <v>1.2346999999999999</v>
      </c>
      <c r="Q459" t="s">
        <v>66</v>
      </c>
      <c r="R459">
        <v>2025</v>
      </c>
      <c r="S459" t="s">
        <v>82</v>
      </c>
    </row>
    <row r="460" spans="1:19" x14ac:dyDescent="0.3">
      <c r="A460" t="s">
        <v>534</v>
      </c>
      <c r="B460" s="1">
        <v>45599</v>
      </c>
      <c r="C460" t="s">
        <v>30</v>
      </c>
      <c r="D460" t="s">
        <v>31</v>
      </c>
      <c r="E460" t="s">
        <v>38</v>
      </c>
      <c r="F460" t="s">
        <v>23</v>
      </c>
      <c r="G460">
        <v>39494.65</v>
      </c>
      <c r="H460">
        <v>23076.9</v>
      </c>
      <c r="I460">
        <v>16417.75</v>
      </c>
      <c r="J460">
        <v>50202.54</v>
      </c>
      <c r="K460">
        <v>76990.399999999994</v>
      </c>
      <c r="L460">
        <v>116291.17</v>
      </c>
      <c r="M460">
        <v>951</v>
      </c>
      <c r="N460">
        <v>-3.2000000000000002E-3</v>
      </c>
      <c r="O460">
        <v>0.41570000000000001</v>
      </c>
      <c r="P460">
        <v>0.66200000000000003</v>
      </c>
      <c r="Q460" t="s">
        <v>52</v>
      </c>
      <c r="R460">
        <v>2024</v>
      </c>
      <c r="S460" t="s">
        <v>82</v>
      </c>
    </row>
    <row r="461" spans="1:19" x14ac:dyDescent="0.3">
      <c r="A461" t="s">
        <v>535</v>
      </c>
      <c r="B461" s="1">
        <v>45432</v>
      </c>
      <c r="C461" t="s">
        <v>30</v>
      </c>
      <c r="D461" t="s">
        <v>31</v>
      </c>
      <c r="E461" t="s">
        <v>32</v>
      </c>
      <c r="F461" t="s">
        <v>33</v>
      </c>
      <c r="G461">
        <v>34626.97</v>
      </c>
      <c r="H461">
        <v>23910.02</v>
      </c>
      <c r="I461">
        <v>10716.95</v>
      </c>
      <c r="J461">
        <v>41883.42</v>
      </c>
      <c r="K461">
        <v>35527.040000000001</v>
      </c>
      <c r="L461">
        <v>105780.14</v>
      </c>
      <c r="M461">
        <v>1053</v>
      </c>
      <c r="N461">
        <v>2.4400000000000002E-2</v>
      </c>
      <c r="O461">
        <v>0.3095</v>
      </c>
      <c r="P461">
        <v>0.33589999999999998</v>
      </c>
      <c r="Q461" t="s">
        <v>111</v>
      </c>
      <c r="R461">
        <v>2024</v>
      </c>
      <c r="S461" t="s">
        <v>40</v>
      </c>
    </row>
    <row r="462" spans="1:19" x14ac:dyDescent="0.3">
      <c r="A462" t="s">
        <v>536</v>
      </c>
      <c r="B462" s="1">
        <v>45335</v>
      </c>
      <c r="C462" t="s">
        <v>48</v>
      </c>
      <c r="D462" t="s">
        <v>49</v>
      </c>
      <c r="E462" t="s">
        <v>22</v>
      </c>
      <c r="F462" t="s">
        <v>23</v>
      </c>
      <c r="G462">
        <v>105795.9</v>
      </c>
      <c r="H462">
        <v>82589.62</v>
      </c>
      <c r="I462">
        <v>23206.28</v>
      </c>
      <c r="J462">
        <v>15760.17</v>
      </c>
      <c r="K462">
        <v>22037.67</v>
      </c>
      <c r="L462">
        <v>406670.62</v>
      </c>
      <c r="M462">
        <v>355</v>
      </c>
      <c r="N462">
        <v>3.6700000000000003E-2</v>
      </c>
      <c r="O462">
        <v>0.21929999999999999</v>
      </c>
      <c r="P462">
        <v>5.4199999999999998E-2</v>
      </c>
      <c r="Q462" t="s">
        <v>80</v>
      </c>
      <c r="R462">
        <v>2024</v>
      </c>
      <c r="S462" t="s">
        <v>25</v>
      </c>
    </row>
    <row r="463" spans="1:19" x14ac:dyDescent="0.3">
      <c r="A463" t="s">
        <v>537</v>
      </c>
      <c r="B463" s="2">
        <v>45030</v>
      </c>
      <c r="C463" t="s">
        <v>27</v>
      </c>
      <c r="D463" t="s">
        <v>28</v>
      </c>
      <c r="E463" t="s">
        <v>22</v>
      </c>
      <c r="F463" t="s">
        <v>23</v>
      </c>
      <c r="G463">
        <v>52091.68</v>
      </c>
      <c r="H463">
        <v>30288.06</v>
      </c>
      <c r="I463">
        <v>21803.62</v>
      </c>
      <c r="J463">
        <v>46855.06</v>
      </c>
      <c r="K463">
        <v>125336.4</v>
      </c>
      <c r="L463">
        <v>80346.28</v>
      </c>
      <c r="M463">
        <v>419</v>
      </c>
      <c r="N463">
        <v>-2.53E-2</v>
      </c>
      <c r="O463">
        <v>0.41860000000000003</v>
      </c>
      <c r="P463">
        <v>1.56</v>
      </c>
      <c r="Q463" t="s">
        <v>39</v>
      </c>
      <c r="R463">
        <v>2023</v>
      </c>
      <c r="S463" t="s">
        <v>82</v>
      </c>
    </row>
    <row r="464" spans="1:19" x14ac:dyDescent="0.3">
      <c r="A464" t="s">
        <v>538</v>
      </c>
      <c r="B464" s="1">
        <v>45039</v>
      </c>
      <c r="C464" t="s">
        <v>27</v>
      </c>
      <c r="D464" t="s">
        <v>28</v>
      </c>
      <c r="E464" t="s">
        <v>38</v>
      </c>
      <c r="F464" t="s">
        <v>23</v>
      </c>
      <c r="G464">
        <v>19104.82</v>
      </c>
      <c r="H464">
        <v>15718.28</v>
      </c>
      <c r="I464">
        <v>3386.54</v>
      </c>
      <c r="J464">
        <v>33520.76</v>
      </c>
      <c r="K464">
        <v>26270.63</v>
      </c>
      <c r="L464">
        <v>73272.81</v>
      </c>
      <c r="M464">
        <v>1174</v>
      </c>
      <c r="N464">
        <v>-7.4000000000000003E-3</v>
      </c>
      <c r="O464">
        <v>0.17730000000000001</v>
      </c>
      <c r="P464">
        <v>0.35849999999999999</v>
      </c>
      <c r="Q464" t="s">
        <v>39</v>
      </c>
      <c r="R464">
        <v>2023</v>
      </c>
      <c r="S464" t="s">
        <v>40</v>
      </c>
    </row>
    <row r="465" spans="1:19" x14ac:dyDescent="0.3">
      <c r="A465" t="s">
        <v>539</v>
      </c>
      <c r="B465" s="1">
        <v>45636</v>
      </c>
      <c r="C465" t="s">
        <v>61</v>
      </c>
      <c r="D465" t="s">
        <v>74</v>
      </c>
      <c r="E465" t="s">
        <v>38</v>
      </c>
      <c r="F465" t="s">
        <v>23</v>
      </c>
      <c r="G465">
        <v>68256.12</v>
      </c>
      <c r="H465">
        <v>39697.699999999997</v>
      </c>
      <c r="I465">
        <v>28558.42</v>
      </c>
      <c r="J465">
        <v>108364.49</v>
      </c>
      <c r="K465">
        <v>27293.759999999998</v>
      </c>
      <c r="L465">
        <v>193710.82</v>
      </c>
      <c r="M465">
        <v>485</v>
      </c>
      <c r="N465">
        <v>5.4399999999999997E-2</v>
      </c>
      <c r="O465">
        <v>0.41839999999999999</v>
      </c>
      <c r="P465">
        <v>0.1409</v>
      </c>
      <c r="Q465" t="s">
        <v>52</v>
      </c>
      <c r="R465">
        <v>2024</v>
      </c>
      <c r="S465" t="s">
        <v>25</v>
      </c>
    </row>
    <row r="466" spans="1:19" x14ac:dyDescent="0.3">
      <c r="A466" t="s">
        <v>540</v>
      </c>
      <c r="B466" s="1">
        <v>45603</v>
      </c>
      <c r="C466" t="s">
        <v>102</v>
      </c>
      <c r="D466" t="s">
        <v>103</v>
      </c>
      <c r="E466" t="s">
        <v>32</v>
      </c>
      <c r="F466" t="s">
        <v>33</v>
      </c>
      <c r="G466">
        <v>53243.02</v>
      </c>
      <c r="H466">
        <v>33124.32</v>
      </c>
      <c r="I466">
        <v>20118.7</v>
      </c>
      <c r="J466">
        <v>51191.5</v>
      </c>
      <c r="K466">
        <v>94874.63</v>
      </c>
      <c r="L466">
        <v>112372.57</v>
      </c>
      <c r="M466">
        <v>946</v>
      </c>
      <c r="N466">
        <v>-4.0599999999999997E-2</v>
      </c>
      <c r="O466">
        <v>0.37790000000000001</v>
      </c>
      <c r="P466">
        <v>0.84430000000000005</v>
      </c>
      <c r="Q466" t="s">
        <v>52</v>
      </c>
      <c r="R466">
        <v>2024</v>
      </c>
      <c r="S466" t="s">
        <v>82</v>
      </c>
    </row>
    <row r="467" spans="1:19" x14ac:dyDescent="0.3">
      <c r="A467" t="s">
        <v>541</v>
      </c>
      <c r="B467" s="1">
        <v>44618</v>
      </c>
      <c r="C467" t="s">
        <v>54</v>
      </c>
      <c r="D467" t="s">
        <v>55</v>
      </c>
      <c r="E467" t="s">
        <v>22</v>
      </c>
      <c r="F467" t="s">
        <v>23</v>
      </c>
      <c r="G467">
        <v>157220.42000000001</v>
      </c>
      <c r="H467">
        <v>101735.94</v>
      </c>
      <c r="I467">
        <v>55484.480000000003</v>
      </c>
      <c r="J467">
        <v>28316.36</v>
      </c>
      <c r="K467">
        <v>17780.29</v>
      </c>
      <c r="L467">
        <v>84362.559999999998</v>
      </c>
      <c r="M467">
        <v>2383</v>
      </c>
      <c r="N467">
        <v>-9.6799999999999997E-2</v>
      </c>
      <c r="O467">
        <v>0.35289999999999999</v>
      </c>
      <c r="P467">
        <v>0.21079999999999999</v>
      </c>
      <c r="Q467" t="s">
        <v>90</v>
      </c>
      <c r="R467">
        <v>2022</v>
      </c>
      <c r="S467" t="s">
        <v>25</v>
      </c>
    </row>
    <row r="468" spans="1:19" x14ac:dyDescent="0.3">
      <c r="A468" t="s">
        <v>542</v>
      </c>
      <c r="B468" s="1">
        <v>44649</v>
      </c>
      <c r="C468" t="s">
        <v>85</v>
      </c>
      <c r="D468" t="s">
        <v>86</v>
      </c>
      <c r="E468" t="s">
        <v>22</v>
      </c>
      <c r="F468" t="s">
        <v>23</v>
      </c>
      <c r="G468">
        <v>130608.86</v>
      </c>
      <c r="H468">
        <v>83015.289999999994</v>
      </c>
      <c r="I468">
        <v>47593.57</v>
      </c>
      <c r="J468">
        <v>39745.699999999997</v>
      </c>
      <c r="K468">
        <v>31219.89</v>
      </c>
      <c r="L468">
        <v>172392.37</v>
      </c>
      <c r="M468">
        <v>394</v>
      </c>
      <c r="N468">
        <v>2.06E-2</v>
      </c>
      <c r="O468">
        <v>0.3644</v>
      </c>
      <c r="P468">
        <v>0.18110000000000001</v>
      </c>
      <c r="Q468" t="s">
        <v>90</v>
      </c>
      <c r="R468">
        <v>2022</v>
      </c>
      <c r="S468" t="s">
        <v>25</v>
      </c>
    </row>
    <row r="469" spans="1:19" x14ac:dyDescent="0.3">
      <c r="A469" t="s">
        <v>543</v>
      </c>
      <c r="B469" s="1">
        <v>45476</v>
      </c>
      <c r="C469" t="s">
        <v>78</v>
      </c>
      <c r="D469" t="s">
        <v>79</v>
      </c>
      <c r="E469" t="s">
        <v>38</v>
      </c>
      <c r="F469" t="s">
        <v>23</v>
      </c>
      <c r="G469">
        <v>34803.71</v>
      </c>
      <c r="H469">
        <v>21736.37</v>
      </c>
      <c r="I469">
        <v>13067.34</v>
      </c>
      <c r="J469">
        <v>66519.820000000007</v>
      </c>
      <c r="K469">
        <v>14795.78</v>
      </c>
      <c r="L469">
        <v>106713.98</v>
      </c>
      <c r="M469">
        <v>830</v>
      </c>
      <c r="N469">
        <v>-5.4600000000000003E-2</v>
      </c>
      <c r="O469">
        <v>0.3755</v>
      </c>
      <c r="P469">
        <v>0.1386</v>
      </c>
      <c r="Q469" t="s">
        <v>72</v>
      </c>
      <c r="R469">
        <v>2024</v>
      </c>
      <c r="S469" t="s">
        <v>25</v>
      </c>
    </row>
    <row r="470" spans="1:19" x14ac:dyDescent="0.3">
      <c r="A470" t="s">
        <v>544</v>
      </c>
      <c r="B470" s="1">
        <v>44618</v>
      </c>
      <c r="C470" t="s">
        <v>78</v>
      </c>
      <c r="D470" t="s">
        <v>79</v>
      </c>
      <c r="E470" t="s">
        <v>32</v>
      </c>
      <c r="F470" t="s">
        <v>33</v>
      </c>
      <c r="G470">
        <v>32751.55</v>
      </c>
      <c r="H470">
        <v>18787.45</v>
      </c>
      <c r="I470">
        <v>13964.1</v>
      </c>
      <c r="K470">
        <v>11488.29</v>
      </c>
      <c r="L470">
        <v>72691.360000000001</v>
      </c>
      <c r="M470">
        <v>584</v>
      </c>
      <c r="N470">
        <v>1.2800000000000001E-2</v>
      </c>
      <c r="O470">
        <v>0.4264</v>
      </c>
      <c r="P470">
        <v>0.158</v>
      </c>
      <c r="Q470" t="s">
        <v>90</v>
      </c>
      <c r="R470">
        <v>2022</v>
      </c>
      <c r="S470" t="s">
        <v>25</v>
      </c>
    </row>
    <row r="471" spans="1:19" x14ac:dyDescent="0.3">
      <c r="A471" t="s">
        <v>545</v>
      </c>
      <c r="B471" s="1">
        <v>45693</v>
      </c>
      <c r="C471" t="s">
        <v>36</v>
      </c>
      <c r="D471" t="s">
        <v>37</v>
      </c>
      <c r="E471" t="s">
        <v>51</v>
      </c>
      <c r="F471" t="s">
        <v>23</v>
      </c>
      <c r="G471">
        <v>68334.990000000005</v>
      </c>
      <c r="H471">
        <v>52835.85</v>
      </c>
      <c r="I471">
        <v>15499.14</v>
      </c>
      <c r="K471">
        <v>32475.93</v>
      </c>
      <c r="L471">
        <v>83205.91</v>
      </c>
      <c r="M471">
        <v>949</v>
      </c>
      <c r="N471">
        <v>6.3200000000000006E-2</v>
      </c>
      <c r="O471">
        <v>0.2268</v>
      </c>
      <c r="P471">
        <v>0.39029999999999998</v>
      </c>
      <c r="Q471" t="s">
        <v>106</v>
      </c>
      <c r="R471">
        <v>2025</v>
      </c>
      <c r="S471" t="s">
        <v>40</v>
      </c>
    </row>
    <row r="472" spans="1:19" x14ac:dyDescent="0.3">
      <c r="A472" t="s">
        <v>546</v>
      </c>
      <c r="B472" s="1">
        <v>45773</v>
      </c>
      <c r="C472" t="s">
        <v>20</v>
      </c>
      <c r="D472" t="s">
        <v>21</v>
      </c>
      <c r="E472" t="s">
        <v>32</v>
      </c>
      <c r="F472" t="s">
        <v>33</v>
      </c>
      <c r="G472">
        <v>54147.7</v>
      </c>
      <c r="H472">
        <v>40546.67</v>
      </c>
      <c r="I472">
        <v>13601.03</v>
      </c>
      <c r="J472">
        <v>43827.37</v>
      </c>
      <c r="K472">
        <v>43934.16</v>
      </c>
      <c r="L472">
        <v>75208.02</v>
      </c>
      <c r="M472">
        <v>594</v>
      </c>
      <c r="N472">
        <v>-7.5399999999999995E-2</v>
      </c>
      <c r="O472">
        <v>0.25119999999999998</v>
      </c>
      <c r="P472">
        <v>0.58420000000000005</v>
      </c>
      <c r="Q472" t="s">
        <v>34</v>
      </c>
      <c r="R472">
        <v>2025</v>
      </c>
      <c r="S472" t="s">
        <v>40</v>
      </c>
    </row>
    <row r="473" spans="1:19" x14ac:dyDescent="0.3">
      <c r="A473" t="s">
        <v>547</v>
      </c>
      <c r="B473" s="1">
        <v>45625</v>
      </c>
      <c r="C473" t="s">
        <v>61</v>
      </c>
      <c r="D473" t="s">
        <v>74</v>
      </c>
      <c r="E473" t="s">
        <v>32</v>
      </c>
      <c r="F473" t="s">
        <v>33</v>
      </c>
      <c r="G473">
        <v>25647.15</v>
      </c>
      <c r="H473">
        <v>20041.37</v>
      </c>
      <c r="I473">
        <v>5605.78</v>
      </c>
      <c r="J473">
        <v>19046.099999999999</v>
      </c>
      <c r="K473">
        <v>19806.79</v>
      </c>
      <c r="L473">
        <v>46487.61</v>
      </c>
      <c r="M473">
        <v>1211</v>
      </c>
      <c r="N473">
        <v>-6.4100000000000004E-2</v>
      </c>
      <c r="O473">
        <v>0.21859999999999999</v>
      </c>
      <c r="P473">
        <v>0.42609999999999998</v>
      </c>
      <c r="Q473" t="s">
        <v>52</v>
      </c>
      <c r="R473">
        <v>2024</v>
      </c>
      <c r="S473" t="s">
        <v>40</v>
      </c>
    </row>
    <row r="474" spans="1:19" x14ac:dyDescent="0.3">
      <c r="A474" t="s">
        <v>548</v>
      </c>
      <c r="B474" s="1">
        <v>45057</v>
      </c>
      <c r="C474" t="s">
        <v>27</v>
      </c>
      <c r="D474" t="s">
        <v>28</v>
      </c>
      <c r="E474" t="s">
        <v>51</v>
      </c>
      <c r="F474" t="s">
        <v>23</v>
      </c>
      <c r="G474">
        <v>57479</v>
      </c>
      <c r="H474">
        <v>49632.52</v>
      </c>
      <c r="I474">
        <v>7846.48</v>
      </c>
      <c r="J474">
        <v>10693.31</v>
      </c>
      <c r="K474">
        <v>37003.03</v>
      </c>
      <c r="L474">
        <v>93803.56</v>
      </c>
      <c r="M474">
        <v>454</v>
      </c>
      <c r="N474">
        <v>-5.7500000000000002E-2</v>
      </c>
      <c r="O474">
        <v>0.13650000000000001</v>
      </c>
      <c r="P474">
        <v>0.39450000000000002</v>
      </c>
      <c r="Q474" t="s">
        <v>39</v>
      </c>
      <c r="R474">
        <v>2023</v>
      </c>
      <c r="S474" t="s">
        <v>40</v>
      </c>
    </row>
    <row r="475" spans="1:19" x14ac:dyDescent="0.3">
      <c r="A475" t="s">
        <v>549</v>
      </c>
      <c r="B475" s="1">
        <v>45085</v>
      </c>
      <c r="C475" t="s">
        <v>48</v>
      </c>
      <c r="D475" t="s">
        <v>49</v>
      </c>
      <c r="E475" t="s">
        <v>38</v>
      </c>
      <c r="F475" t="s">
        <v>23</v>
      </c>
      <c r="G475">
        <v>221437.45</v>
      </c>
      <c r="H475">
        <v>172685.55</v>
      </c>
      <c r="I475">
        <v>48751.9</v>
      </c>
      <c r="J475">
        <v>13907.37</v>
      </c>
      <c r="K475">
        <v>22349.05</v>
      </c>
      <c r="L475">
        <v>36052.03</v>
      </c>
      <c r="M475">
        <v>1660</v>
      </c>
      <c r="N475">
        <v>6.1000000000000004E-3</v>
      </c>
      <c r="O475">
        <v>0.22020000000000001</v>
      </c>
      <c r="P475">
        <v>0.61990000000000001</v>
      </c>
      <c r="Q475" t="s">
        <v>39</v>
      </c>
      <c r="R475">
        <v>2023</v>
      </c>
      <c r="S475" t="s">
        <v>82</v>
      </c>
    </row>
    <row r="476" spans="1:19" x14ac:dyDescent="0.3">
      <c r="A476" t="s">
        <v>550</v>
      </c>
      <c r="B476" s="1">
        <v>45397</v>
      </c>
      <c r="C476" t="s">
        <v>54</v>
      </c>
      <c r="D476" t="s">
        <v>55</v>
      </c>
      <c r="E476" t="s">
        <v>51</v>
      </c>
      <c r="F476" t="s">
        <v>23</v>
      </c>
      <c r="G476">
        <v>32453.81</v>
      </c>
      <c r="H476">
        <v>25384.17</v>
      </c>
      <c r="I476">
        <v>7069.64</v>
      </c>
      <c r="J476">
        <v>48761.88</v>
      </c>
      <c r="K476">
        <v>13488.22</v>
      </c>
      <c r="L476">
        <v>66488.11</v>
      </c>
      <c r="M476">
        <v>643</v>
      </c>
      <c r="N476">
        <v>-3.8300000000000001E-2</v>
      </c>
      <c r="O476">
        <v>0.21779999999999999</v>
      </c>
      <c r="P476">
        <v>0.2029</v>
      </c>
      <c r="Q476" t="s">
        <v>111</v>
      </c>
      <c r="R476">
        <v>2024</v>
      </c>
      <c r="S476" t="s">
        <v>25</v>
      </c>
    </row>
    <row r="477" spans="1:19" x14ac:dyDescent="0.3">
      <c r="A477" t="s">
        <v>551</v>
      </c>
      <c r="B477" s="1">
        <v>45409</v>
      </c>
      <c r="C477" t="s">
        <v>85</v>
      </c>
      <c r="D477" t="s">
        <v>86</v>
      </c>
      <c r="E477" t="s">
        <v>51</v>
      </c>
      <c r="F477" t="s">
        <v>23</v>
      </c>
      <c r="G477">
        <v>160797.82999999999</v>
      </c>
      <c r="H477">
        <v>114291.31</v>
      </c>
      <c r="I477">
        <v>46506.52</v>
      </c>
      <c r="J477">
        <v>23267.17</v>
      </c>
      <c r="K477">
        <v>22918.92</v>
      </c>
      <c r="L477">
        <v>94512.29</v>
      </c>
      <c r="M477">
        <v>1503</v>
      </c>
      <c r="N477">
        <v>-4.8300000000000003E-2</v>
      </c>
      <c r="O477">
        <v>0.28920000000000001</v>
      </c>
      <c r="P477">
        <v>0.24249999999999999</v>
      </c>
      <c r="Q477" t="s">
        <v>111</v>
      </c>
      <c r="R477">
        <v>2024</v>
      </c>
      <c r="S477" t="s">
        <v>25</v>
      </c>
    </row>
    <row r="478" spans="1:19" x14ac:dyDescent="0.3">
      <c r="A478" t="s">
        <v>552</v>
      </c>
      <c r="B478" s="1">
        <v>45840</v>
      </c>
      <c r="C478" t="s">
        <v>42</v>
      </c>
      <c r="D478" t="s">
        <v>43</v>
      </c>
      <c r="E478" t="s">
        <v>32</v>
      </c>
      <c r="F478" t="s">
        <v>33</v>
      </c>
      <c r="G478">
        <v>210927</v>
      </c>
      <c r="H478">
        <v>133829.5</v>
      </c>
      <c r="I478">
        <v>77097.5</v>
      </c>
      <c r="J478">
        <v>25314.36</v>
      </c>
      <c r="K478">
        <v>23951.8</v>
      </c>
      <c r="L478">
        <v>72393.27</v>
      </c>
      <c r="M478">
        <v>506</v>
      </c>
      <c r="N478">
        <v>2.5999999999999999E-3</v>
      </c>
      <c r="O478">
        <v>0.36549999999999999</v>
      </c>
      <c r="P478">
        <v>0.33090000000000003</v>
      </c>
      <c r="Q478" t="s">
        <v>24</v>
      </c>
      <c r="R478">
        <v>2025</v>
      </c>
      <c r="S478" t="s">
        <v>40</v>
      </c>
    </row>
    <row r="479" spans="1:19" x14ac:dyDescent="0.3">
      <c r="A479" t="s">
        <v>553</v>
      </c>
      <c r="B479" s="1">
        <v>44812</v>
      </c>
      <c r="C479" t="s">
        <v>61</v>
      </c>
      <c r="D479" t="s">
        <v>74</v>
      </c>
      <c r="E479" t="s">
        <v>38</v>
      </c>
      <c r="F479" t="s">
        <v>23</v>
      </c>
      <c r="G479">
        <v>79042.36</v>
      </c>
      <c r="H479">
        <v>69336.509999999995</v>
      </c>
      <c r="I479">
        <v>9705.85</v>
      </c>
      <c r="J479">
        <v>21061.54</v>
      </c>
      <c r="K479">
        <v>34411.339999999997</v>
      </c>
      <c r="L479">
        <v>47388.81</v>
      </c>
      <c r="M479">
        <v>604</v>
      </c>
      <c r="N479">
        <v>0.1449</v>
      </c>
      <c r="O479">
        <v>0.12280000000000001</v>
      </c>
      <c r="P479">
        <v>0.72609999999999997</v>
      </c>
      <c r="Q479" t="s">
        <v>76</v>
      </c>
      <c r="R479">
        <v>2022</v>
      </c>
      <c r="S479" t="s">
        <v>82</v>
      </c>
    </row>
    <row r="480" spans="1:19" x14ac:dyDescent="0.3">
      <c r="A480" t="s">
        <v>554</v>
      </c>
      <c r="B480" s="1">
        <v>45397</v>
      </c>
      <c r="C480" t="s">
        <v>48</v>
      </c>
      <c r="D480" t="s">
        <v>49</v>
      </c>
      <c r="E480" t="s">
        <v>38</v>
      </c>
      <c r="F480" t="s">
        <v>23</v>
      </c>
      <c r="G480">
        <v>62443.05</v>
      </c>
      <c r="H480">
        <v>50325.13</v>
      </c>
      <c r="I480">
        <v>12117.92</v>
      </c>
      <c r="J480">
        <v>32912.29</v>
      </c>
      <c r="K480">
        <v>21473.14</v>
      </c>
      <c r="L480">
        <v>97377.04</v>
      </c>
      <c r="M480">
        <v>962</v>
      </c>
      <c r="N480">
        <v>6.7999999999999996E-3</v>
      </c>
      <c r="O480">
        <v>0.19409999999999999</v>
      </c>
      <c r="P480">
        <v>0.2205</v>
      </c>
      <c r="Q480" t="s">
        <v>111</v>
      </c>
      <c r="R480">
        <v>2024</v>
      </c>
      <c r="S480" t="s">
        <v>25</v>
      </c>
    </row>
    <row r="481" spans="1:19" x14ac:dyDescent="0.3">
      <c r="A481" t="s">
        <v>555</v>
      </c>
      <c r="B481" s="1">
        <v>45250</v>
      </c>
      <c r="C481" t="s">
        <v>30</v>
      </c>
      <c r="D481" t="s">
        <v>31</v>
      </c>
      <c r="E481" t="s">
        <v>32</v>
      </c>
      <c r="F481" t="s">
        <v>33</v>
      </c>
      <c r="G481">
        <v>109346.4</v>
      </c>
      <c r="H481">
        <v>92418.23</v>
      </c>
      <c r="I481">
        <v>16928.169999999998</v>
      </c>
      <c r="J481">
        <v>103450.84</v>
      </c>
      <c r="K481">
        <v>24231.54</v>
      </c>
      <c r="L481">
        <v>240583.83</v>
      </c>
      <c r="M481">
        <v>310</v>
      </c>
      <c r="N481">
        <v>-2.86E-2</v>
      </c>
      <c r="O481">
        <v>0.15479999999999999</v>
      </c>
      <c r="P481">
        <v>0.1007</v>
      </c>
      <c r="Q481" t="s">
        <v>44</v>
      </c>
      <c r="R481">
        <v>2023</v>
      </c>
      <c r="S481" t="s">
        <v>25</v>
      </c>
    </row>
    <row r="482" spans="1:19" x14ac:dyDescent="0.3">
      <c r="A482" t="s">
        <v>556</v>
      </c>
      <c r="B482" s="1">
        <v>45954</v>
      </c>
      <c r="C482" t="s">
        <v>42</v>
      </c>
      <c r="D482" t="s">
        <v>43</v>
      </c>
      <c r="E482" t="s">
        <v>22</v>
      </c>
      <c r="F482" t="s">
        <v>23</v>
      </c>
      <c r="G482">
        <v>44454.59</v>
      </c>
      <c r="J482">
        <v>32075.08</v>
      </c>
      <c r="K482">
        <v>59404.959999999999</v>
      </c>
      <c r="L482">
        <v>82951.34</v>
      </c>
      <c r="M482">
        <v>1137</v>
      </c>
      <c r="N482">
        <v>-2.58E-2</v>
      </c>
      <c r="P482">
        <v>0.71609999999999996</v>
      </c>
      <c r="Q482" t="s">
        <v>66</v>
      </c>
      <c r="R482">
        <v>2025</v>
      </c>
      <c r="S482" t="s">
        <v>82</v>
      </c>
    </row>
    <row r="483" spans="1:19" x14ac:dyDescent="0.3">
      <c r="A483" t="s">
        <v>557</v>
      </c>
      <c r="B483" s="3">
        <v>44712</v>
      </c>
      <c r="C483" t="s">
        <v>27</v>
      </c>
      <c r="D483" t="s">
        <v>28</v>
      </c>
      <c r="E483" t="s">
        <v>38</v>
      </c>
      <c r="F483" t="s">
        <v>23</v>
      </c>
      <c r="G483">
        <v>73742.8</v>
      </c>
      <c r="H483">
        <v>48495.07</v>
      </c>
      <c r="I483">
        <v>25247.73</v>
      </c>
      <c r="J483">
        <v>45976.19</v>
      </c>
      <c r="K483">
        <v>67301.820000000007</v>
      </c>
      <c r="L483">
        <v>101607.98</v>
      </c>
      <c r="M483">
        <v>585</v>
      </c>
      <c r="N483">
        <v>-3.5299999999999998E-2</v>
      </c>
      <c r="O483">
        <v>0.34239999999999998</v>
      </c>
      <c r="P483">
        <v>0.66239999999999999</v>
      </c>
      <c r="Q483" t="s">
        <v>58</v>
      </c>
      <c r="R483">
        <v>2022</v>
      </c>
      <c r="S483" t="s">
        <v>82</v>
      </c>
    </row>
    <row r="484" spans="1:19" x14ac:dyDescent="0.3">
      <c r="A484" t="s">
        <v>558</v>
      </c>
      <c r="B484" s="1">
        <v>45381</v>
      </c>
      <c r="C484" t="s">
        <v>42</v>
      </c>
      <c r="D484" t="s">
        <v>43</v>
      </c>
      <c r="E484" t="s">
        <v>38</v>
      </c>
      <c r="F484" t="s">
        <v>23</v>
      </c>
      <c r="G484">
        <v>153592.57999999999</v>
      </c>
      <c r="H484">
        <v>84881.8</v>
      </c>
      <c r="I484">
        <v>68710.78</v>
      </c>
      <c r="J484">
        <v>24112.639999999999</v>
      </c>
      <c r="K484">
        <v>5518.6</v>
      </c>
      <c r="L484">
        <v>65210.17</v>
      </c>
      <c r="M484">
        <v>869</v>
      </c>
      <c r="N484">
        <v>-3.8199999999999998E-2</v>
      </c>
      <c r="O484">
        <v>0.44740000000000002</v>
      </c>
      <c r="P484">
        <v>8.4599999999999995E-2</v>
      </c>
      <c r="Q484" t="s">
        <v>80</v>
      </c>
      <c r="R484">
        <v>2024</v>
      </c>
      <c r="S484" t="s">
        <v>25</v>
      </c>
    </row>
    <row r="485" spans="1:19" x14ac:dyDescent="0.3">
      <c r="A485" t="s">
        <v>559</v>
      </c>
      <c r="B485" s="1">
        <v>45713</v>
      </c>
      <c r="C485" t="s">
        <v>61</v>
      </c>
      <c r="D485" t="s">
        <v>74</v>
      </c>
      <c r="E485" t="s">
        <v>22</v>
      </c>
      <c r="F485" t="s">
        <v>23</v>
      </c>
      <c r="G485">
        <v>38874.78</v>
      </c>
      <c r="H485">
        <v>24032.06</v>
      </c>
      <c r="I485">
        <v>14842.72</v>
      </c>
      <c r="J485">
        <v>65357.25</v>
      </c>
      <c r="K485">
        <v>18342.810000000001</v>
      </c>
      <c r="L485">
        <v>143759.42000000001</v>
      </c>
      <c r="M485">
        <v>2583</v>
      </c>
      <c r="N485">
        <v>-4.3700000000000003E-2</v>
      </c>
      <c r="O485">
        <v>0.38179999999999997</v>
      </c>
      <c r="P485">
        <v>0.12759999999999999</v>
      </c>
      <c r="Q485" t="s">
        <v>106</v>
      </c>
      <c r="R485">
        <v>2025</v>
      </c>
      <c r="S485" t="s">
        <v>25</v>
      </c>
    </row>
    <row r="486" spans="1:19" x14ac:dyDescent="0.3">
      <c r="A486" t="s">
        <v>560</v>
      </c>
      <c r="B486" s="1">
        <v>44708</v>
      </c>
      <c r="C486" t="s">
        <v>85</v>
      </c>
      <c r="D486" t="s">
        <v>86</v>
      </c>
      <c r="E486" t="s">
        <v>32</v>
      </c>
      <c r="F486" t="s">
        <v>33</v>
      </c>
      <c r="G486">
        <v>94586.43</v>
      </c>
      <c r="H486">
        <v>67170.62</v>
      </c>
      <c r="I486">
        <v>27415.81</v>
      </c>
      <c r="J486">
        <v>39516.97</v>
      </c>
      <c r="K486">
        <v>6860.29</v>
      </c>
      <c r="L486">
        <v>472420.93</v>
      </c>
      <c r="M486">
        <v>1342</v>
      </c>
      <c r="N486">
        <v>-9.1999999999999998E-3</v>
      </c>
      <c r="O486">
        <v>0.2898</v>
      </c>
      <c r="P486">
        <v>1.4500000000000001E-2</v>
      </c>
      <c r="Q486" t="s">
        <v>58</v>
      </c>
      <c r="R486">
        <v>2022</v>
      </c>
      <c r="S486" t="s">
        <v>25</v>
      </c>
    </row>
    <row r="487" spans="1:19" x14ac:dyDescent="0.3">
      <c r="A487" t="s">
        <v>561</v>
      </c>
      <c r="B487" s="1">
        <v>44780</v>
      </c>
      <c r="C487" t="s">
        <v>48</v>
      </c>
      <c r="D487" t="s">
        <v>49</v>
      </c>
      <c r="E487" t="s">
        <v>22</v>
      </c>
      <c r="F487" t="s">
        <v>23</v>
      </c>
      <c r="G487">
        <v>113569.25</v>
      </c>
      <c r="H487">
        <v>102889.39</v>
      </c>
      <c r="I487">
        <v>10679.86</v>
      </c>
      <c r="J487">
        <v>37338.14</v>
      </c>
      <c r="K487">
        <v>2425.75</v>
      </c>
      <c r="L487">
        <v>129231.54</v>
      </c>
      <c r="M487">
        <v>1001</v>
      </c>
      <c r="N487">
        <v>-7.1800000000000003E-2</v>
      </c>
      <c r="O487">
        <v>9.4E-2</v>
      </c>
      <c r="P487">
        <v>1.8800000000000001E-2</v>
      </c>
      <c r="Q487" t="s">
        <v>76</v>
      </c>
      <c r="R487">
        <v>2022</v>
      </c>
      <c r="S487" t="s">
        <v>25</v>
      </c>
    </row>
    <row r="488" spans="1:19" x14ac:dyDescent="0.3">
      <c r="A488" t="s">
        <v>562</v>
      </c>
      <c r="B488" s="1">
        <v>44580</v>
      </c>
      <c r="C488" t="s">
        <v>85</v>
      </c>
      <c r="D488" t="s">
        <v>86</v>
      </c>
      <c r="E488" t="s">
        <v>51</v>
      </c>
      <c r="F488" t="s">
        <v>23</v>
      </c>
      <c r="G488">
        <v>78578.070000000007</v>
      </c>
      <c r="H488">
        <v>45618.63</v>
      </c>
      <c r="I488">
        <v>32959.440000000002</v>
      </c>
      <c r="J488">
        <v>21196.240000000002</v>
      </c>
      <c r="K488">
        <v>22829.69</v>
      </c>
      <c r="L488">
        <v>46034.31</v>
      </c>
      <c r="M488">
        <v>416</v>
      </c>
      <c r="N488">
        <v>1.55E-2</v>
      </c>
      <c r="O488">
        <v>0.4194</v>
      </c>
      <c r="P488">
        <v>0.49590000000000001</v>
      </c>
      <c r="Q488" t="s">
        <v>90</v>
      </c>
      <c r="R488">
        <v>2022</v>
      </c>
      <c r="S488" t="s">
        <v>40</v>
      </c>
    </row>
    <row r="489" spans="1:19" x14ac:dyDescent="0.3">
      <c r="A489" t="s">
        <v>563</v>
      </c>
      <c r="B489" s="1">
        <v>45769</v>
      </c>
      <c r="C489" t="s">
        <v>42</v>
      </c>
      <c r="D489" t="s">
        <v>43</v>
      </c>
      <c r="E489" t="s">
        <v>38</v>
      </c>
      <c r="F489" t="s">
        <v>23</v>
      </c>
      <c r="G489">
        <v>122835.15</v>
      </c>
      <c r="H489">
        <v>108899.53</v>
      </c>
      <c r="I489">
        <v>13935.62</v>
      </c>
      <c r="J489">
        <v>8941.5499999999993</v>
      </c>
      <c r="K489">
        <v>20819.18</v>
      </c>
      <c r="L489">
        <v>69938.100000000006</v>
      </c>
      <c r="M489">
        <v>770</v>
      </c>
      <c r="N489">
        <v>-0.1132</v>
      </c>
      <c r="O489">
        <v>0.1134</v>
      </c>
      <c r="P489">
        <v>0.29770000000000002</v>
      </c>
      <c r="Q489" t="s">
        <v>34</v>
      </c>
      <c r="R489">
        <v>2025</v>
      </c>
      <c r="S489" t="s">
        <v>25</v>
      </c>
    </row>
    <row r="490" spans="1:19" x14ac:dyDescent="0.3">
      <c r="A490" t="s">
        <v>564</v>
      </c>
      <c r="B490" s="1">
        <v>45398</v>
      </c>
      <c r="C490" t="s">
        <v>42</v>
      </c>
      <c r="D490" t="s">
        <v>43</v>
      </c>
      <c r="E490" t="s">
        <v>22</v>
      </c>
      <c r="F490" t="s">
        <v>23</v>
      </c>
      <c r="G490">
        <v>266310.21000000002</v>
      </c>
      <c r="H490">
        <v>186440.78</v>
      </c>
      <c r="I490">
        <v>79869.429999999993</v>
      </c>
      <c r="J490">
        <v>162161.74</v>
      </c>
      <c r="K490">
        <v>26783.78</v>
      </c>
      <c r="L490">
        <v>307074.11</v>
      </c>
      <c r="M490">
        <v>483</v>
      </c>
      <c r="N490">
        <v>4.9000000000000002E-2</v>
      </c>
      <c r="O490">
        <v>0.2999</v>
      </c>
      <c r="P490">
        <v>8.72E-2</v>
      </c>
      <c r="Q490" t="s">
        <v>111</v>
      </c>
      <c r="R490">
        <v>2024</v>
      </c>
      <c r="S490" t="s">
        <v>25</v>
      </c>
    </row>
    <row r="491" spans="1:19" x14ac:dyDescent="0.3">
      <c r="A491" t="s">
        <v>565</v>
      </c>
      <c r="B491" s="1">
        <v>45731</v>
      </c>
      <c r="C491" t="s">
        <v>30</v>
      </c>
      <c r="D491" t="s">
        <v>31</v>
      </c>
      <c r="E491" t="s">
        <v>38</v>
      </c>
      <c r="F491" t="s">
        <v>23</v>
      </c>
      <c r="G491">
        <v>86888.34</v>
      </c>
      <c r="H491">
        <v>52074.87</v>
      </c>
      <c r="I491">
        <v>34813.47</v>
      </c>
      <c r="J491">
        <v>20901.560000000001</v>
      </c>
      <c r="K491">
        <v>34508.5</v>
      </c>
      <c r="L491">
        <v>98468.87</v>
      </c>
      <c r="M491">
        <v>872</v>
      </c>
      <c r="N491">
        <v>-3.3E-3</v>
      </c>
      <c r="O491">
        <v>0.4007</v>
      </c>
      <c r="P491">
        <v>0.35049999999999998</v>
      </c>
      <c r="Q491" t="s">
        <v>106</v>
      </c>
      <c r="R491">
        <v>2025</v>
      </c>
      <c r="S491" t="s">
        <v>40</v>
      </c>
    </row>
    <row r="492" spans="1:19" x14ac:dyDescent="0.3">
      <c r="A492" t="s">
        <v>566</v>
      </c>
      <c r="B492" s="1">
        <v>45796</v>
      </c>
      <c r="C492" t="s">
        <v>30</v>
      </c>
      <c r="D492" t="s">
        <v>31</v>
      </c>
      <c r="E492" t="s">
        <v>32</v>
      </c>
      <c r="F492" t="s">
        <v>33</v>
      </c>
      <c r="G492">
        <v>166283.34</v>
      </c>
      <c r="H492">
        <v>102992.01</v>
      </c>
      <c r="I492">
        <v>63291.33</v>
      </c>
      <c r="J492">
        <v>16358.6</v>
      </c>
      <c r="K492">
        <v>13991.05</v>
      </c>
      <c r="L492">
        <v>123492.98</v>
      </c>
      <c r="M492">
        <v>785</v>
      </c>
      <c r="N492">
        <v>-1.52E-2</v>
      </c>
      <c r="O492">
        <v>0.38059999999999999</v>
      </c>
      <c r="P492">
        <v>0.1133</v>
      </c>
      <c r="Q492" t="s">
        <v>34</v>
      </c>
      <c r="R492">
        <v>2025</v>
      </c>
      <c r="S492" t="s">
        <v>25</v>
      </c>
    </row>
    <row r="493" spans="1:19" x14ac:dyDescent="0.3">
      <c r="A493" t="s">
        <v>567</v>
      </c>
      <c r="B493" s="1">
        <v>45731</v>
      </c>
      <c r="C493" t="s">
        <v>20</v>
      </c>
      <c r="D493" t="s">
        <v>21</v>
      </c>
      <c r="E493" t="s">
        <v>32</v>
      </c>
      <c r="F493" t="s">
        <v>33</v>
      </c>
      <c r="G493">
        <v>137565.99</v>
      </c>
      <c r="H493">
        <v>120072.05</v>
      </c>
      <c r="I493">
        <v>17493.939999999999</v>
      </c>
      <c r="J493">
        <v>81830.34</v>
      </c>
      <c r="K493">
        <v>21012.17</v>
      </c>
      <c r="L493">
        <v>100077.91</v>
      </c>
      <c r="M493">
        <v>989</v>
      </c>
      <c r="N493">
        <v>5.3199999999999997E-2</v>
      </c>
      <c r="O493">
        <v>0.12720000000000001</v>
      </c>
      <c r="P493">
        <v>0.21</v>
      </c>
      <c r="Q493" t="s">
        <v>106</v>
      </c>
      <c r="R493">
        <v>2025</v>
      </c>
      <c r="S493" t="s">
        <v>25</v>
      </c>
    </row>
    <row r="494" spans="1:19" x14ac:dyDescent="0.3">
      <c r="A494" t="s">
        <v>568</v>
      </c>
      <c r="B494" s="1">
        <v>45623</v>
      </c>
      <c r="C494" t="s">
        <v>42</v>
      </c>
      <c r="D494" t="s">
        <v>43</v>
      </c>
      <c r="E494" t="s">
        <v>38</v>
      </c>
      <c r="F494" t="s">
        <v>23</v>
      </c>
      <c r="G494">
        <v>103689.31</v>
      </c>
      <c r="H494">
        <v>84581.67</v>
      </c>
      <c r="I494">
        <v>19107.64</v>
      </c>
      <c r="J494">
        <v>10941.85</v>
      </c>
      <c r="K494">
        <v>33055.53</v>
      </c>
      <c r="L494">
        <v>39851.47</v>
      </c>
      <c r="N494">
        <v>0.22720000000000001</v>
      </c>
      <c r="O494">
        <v>0.18429999999999999</v>
      </c>
      <c r="P494">
        <v>0.82950000000000002</v>
      </c>
      <c r="Q494" t="s">
        <v>52</v>
      </c>
      <c r="R494">
        <v>2024</v>
      </c>
      <c r="S494" t="s">
        <v>82</v>
      </c>
    </row>
    <row r="495" spans="1:19" x14ac:dyDescent="0.3">
      <c r="A495" t="s">
        <v>569</v>
      </c>
      <c r="B495" s="1">
        <v>45521</v>
      </c>
      <c r="C495" t="s">
        <v>42</v>
      </c>
      <c r="D495" t="s">
        <v>43</v>
      </c>
      <c r="E495" t="s">
        <v>22</v>
      </c>
      <c r="F495" t="s">
        <v>23</v>
      </c>
      <c r="G495">
        <v>21441.94</v>
      </c>
      <c r="H495">
        <v>15966.85</v>
      </c>
      <c r="I495">
        <v>5475.09</v>
      </c>
      <c r="J495">
        <v>21644.52</v>
      </c>
      <c r="K495">
        <v>10970.94</v>
      </c>
      <c r="L495">
        <v>141861.98000000001</v>
      </c>
      <c r="M495">
        <v>846</v>
      </c>
      <c r="N495">
        <v>-2.93E-2</v>
      </c>
      <c r="O495">
        <v>0.25530000000000003</v>
      </c>
      <c r="P495">
        <v>7.7299999999999994E-2</v>
      </c>
      <c r="Q495" t="s">
        <v>72</v>
      </c>
      <c r="R495">
        <v>2024</v>
      </c>
      <c r="S495" t="s">
        <v>25</v>
      </c>
    </row>
    <row r="496" spans="1:19" x14ac:dyDescent="0.3">
      <c r="A496" t="s">
        <v>570</v>
      </c>
      <c r="B496" s="1">
        <v>45936</v>
      </c>
      <c r="C496" t="s">
        <v>48</v>
      </c>
      <c r="D496" t="s">
        <v>49</v>
      </c>
      <c r="E496" t="s">
        <v>22</v>
      </c>
      <c r="F496" t="s">
        <v>23</v>
      </c>
      <c r="G496">
        <v>19649.97</v>
      </c>
      <c r="H496">
        <v>12205.29</v>
      </c>
      <c r="I496">
        <v>7444.68</v>
      </c>
      <c r="J496">
        <v>30610.66</v>
      </c>
      <c r="K496">
        <v>9351.2000000000007</v>
      </c>
      <c r="L496">
        <v>42786.85</v>
      </c>
      <c r="M496">
        <v>1022</v>
      </c>
      <c r="N496">
        <v>1.34E-2</v>
      </c>
      <c r="O496">
        <v>0.37890000000000001</v>
      </c>
      <c r="P496">
        <v>0.21859999999999999</v>
      </c>
      <c r="Q496" t="s">
        <v>66</v>
      </c>
      <c r="R496">
        <v>2025</v>
      </c>
      <c r="S496" t="s">
        <v>25</v>
      </c>
    </row>
    <row r="497" spans="1:19" x14ac:dyDescent="0.3">
      <c r="A497" t="s">
        <v>571</v>
      </c>
      <c r="B497" s="1">
        <v>45370</v>
      </c>
      <c r="C497" t="s">
        <v>42</v>
      </c>
      <c r="D497" t="s">
        <v>43</v>
      </c>
      <c r="E497" t="s">
        <v>32</v>
      </c>
      <c r="F497" t="s">
        <v>33</v>
      </c>
      <c r="G497">
        <v>119844.43</v>
      </c>
      <c r="H497">
        <v>69842.22</v>
      </c>
      <c r="I497">
        <v>50002.21</v>
      </c>
      <c r="J497">
        <v>95847.43</v>
      </c>
      <c r="K497">
        <v>18655.45</v>
      </c>
      <c r="L497">
        <v>164668.57999999999</v>
      </c>
      <c r="M497">
        <v>1770</v>
      </c>
      <c r="N497">
        <v>5.5399999999999998E-2</v>
      </c>
      <c r="O497">
        <v>0.41720000000000002</v>
      </c>
      <c r="P497">
        <v>0.1133</v>
      </c>
      <c r="Q497" t="s">
        <v>80</v>
      </c>
      <c r="R497">
        <v>2024</v>
      </c>
      <c r="S497" t="s">
        <v>25</v>
      </c>
    </row>
    <row r="498" spans="1:19" x14ac:dyDescent="0.3">
      <c r="A498" t="s">
        <v>572</v>
      </c>
      <c r="B498" s="1">
        <v>45663</v>
      </c>
      <c r="C498" t="s">
        <v>68</v>
      </c>
      <c r="D498" t="s">
        <v>69</v>
      </c>
      <c r="E498" t="s">
        <v>22</v>
      </c>
      <c r="F498" t="s">
        <v>23</v>
      </c>
      <c r="G498">
        <v>58910.49</v>
      </c>
      <c r="J498">
        <v>79805.490000000005</v>
      </c>
      <c r="K498">
        <v>31046.84</v>
      </c>
      <c r="L498">
        <v>163249.34</v>
      </c>
      <c r="M498">
        <v>453</v>
      </c>
      <c r="N498">
        <v>3.3E-3</v>
      </c>
      <c r="P498">
        <v>0.19020000000000001</v>
      </c>
      <c r="Q498" t="s">
        <v>106</v>
      </c>
      <c r="R498">
        <v>2025</v>
      </c>
      <c r="S498" t="s">
        <v>25</v>
      </c>
    </row>
    <row r="499" spans="1:19" x14ac:dyDescent="0.3">
      <c r="A499" t="s">
        <v>573</v>
      </c>
      <c r="B499" s="1">
        <v>45723</v>
      </c>
      <c r="C499" t="s">
        <v>102</v>
      </c>
      <c r="D499" t="s">
        <v>103</v>
      </c>
      <c r="E499" t="s">
        <v>22</v>
      </c>
      <c r="F499" t="s">
        <v>23</v>
      </c>
      <c r="G499">
        <v>38560.14</v>
      </c>
      <c r="H499">
        <v>24254.75</v>
      </c>
      <c r="I499">
        <v>14305.39</v>
      </c>
      <c r="J499">
        <v>18868.21</v>
      </c>
      <c r="K499">
        <v>100692.54</v>
      </c>
      <c r="L499">
        <v>53799.54</v>
      </c>
      <c r="M499">
        <v>689</v>
      </c>
      <c r="N499">
        <v>-8.3000000000000004E-2</v>
      </c>
      <c r="O499">
        <v>0.371</v>
      </c>
      <c r="P499">
        <v>1.8715999999999999</v>
      </c>
      <c r="Q499" t="s">
        <v>106</v>
      </c>
      <c r="R499">
        <v>2025</v>
      </c>
      <c r="S499" t="s">
        <v>82</v>
      </c>
    </row>
    <row r="500" spans="1:19" x14ac:dyDescent="0.3">
      <c r="A500" t="s">
        <v>574</v>
      </c>
      <c r="B500" s="1">
        <v>44713</v>
      </c>
      <c r="C500" t="s">
        <v>102</v>
      </c>
      <c r="D500" t="s">
        <v>103</v>
      </c>
      <c r="E500" t="s">
        <v>22</v>
      </c>
      <c r="F500" t="s">
        <v>23</v>
      </c>
      <c r="G500">
        <v>34920.660000000003</v>
      </c>
      <c r="H500">
        <v>25743.25</v>
      </c>
      <c r="I500">
        <v>9177.41</v>
      </c>
      <c r="J500">
        <v>17588.830000000002</v>
      </c>
      <c r="K500">
        <v>39965.21</v>
      </c>
      <c r="L500">
        <v>97412.57</v>
      </c>
      <c r="M500">
        <v>746</v>
      </c>
      <c r="N500">
        <v>8.5400000000000004E-2</v>
      </c>
      <c r="O500">
        <v>0.26279999999999998</v>
      </c>
      <c r="P500">
        <v>0.4103</v>
      </c>
      <c r="Q500" t="s">
        <v>58</v>
      </c>
      <c r="R500">
        <v>2022</v>
      </c>
      <c r="S500" t="s">
        <v>40</v>
      </c>
    </row>
    <row r="501" spans="1:19" x14ac:dyDescent="0.3">
      <c r="A501" t="s">
        <v>575</v>
      </c>
      <c r="B501" s="1">
        <v>45826</v>
      </c>
      <c r="C501" t="s">
        <v>48</v>
      </c>
      <c r="D501" t="s">
        <v>49</v>
      </c>
      <c r="E501" t="s">
        <v>65</v>
      </c>
      <c r="F501" t="s">
        <v>23</v>
      </c>
      <c r="G501">
        <v>80855.66</v>
      </c>
      <c r="H501">
        <v>44764.62</v>
      </c>
      <c r="I501">
        <v>36091.040000000001</v>
      </c>
      <c r="J501">
        <v>25962.62</v>
      </c>
      <c r="K501">
        <v>6789</v>
      </c>
      <c r="L501">
        <v>56081.09</v>
      </c>
      <c r="M501">
        <v>1437</v>
      </c>
      <c r="N501">
        <v>6.7000000000000004E-2</v>
      </c>
      <c r="O501">
        <v>0.44640000000000002</v>
      </c>
      <c r="P501">
        <v>0.1211</v>
      </c>
      <c r="Q501" t="s">
        <v>34</v>
      </c>
      <c r="R501">
        <v>2025</v>
      </c>
      <c r="S501" t="s">
        <v>25</v>
      </c>
    </row>
    <row r="502" spans="1:19" x14ac:dyDescent="0.3">
      <c r="A502" t="s">
        <v>576</v>
      </c>
      <c r="B502" s="1">
        <v>44788</v>
      </c>
      <c r="C502" t="s">
        <v>54</v>
      </c>
      <c r="D502" t="s">
        <v>55</v>
      </c>
      <c r="E502" t="s">
        <v>22</v>
      </c>
      <c r="F502" t="s">
        <v>23</v>
      </c>
      <c r="G502">
        <v>153461.29999999999</v>
      </c>
      <c r="H502">
        <v>110407.18</v>
      </c>
      <c r="I502">
        <v>43054.12</v>
      </c>
      <c r="J502">
        <v>188944.23</v>
      </c>
      <c r="K502">
        <v>9436.0300000000007</v>
      </c>
      <c r="L502">
        <v>202659.73</v>
      </c>
      <c r="M502">
        <v>952</v>
      </c>
      <c r="N502">
        <v>-0.1181</v>
      </c>
      <c r="O502">
        <v>0.28060000000000002</v>
      </c>
      <c r="P502">
        <v>4.6600000000000003E-2</v>
      </c>
      <c r="Q502" t="s">
        <v>76</v>
      </c>
      <c r="R502">
        <v>2022</v>
      </c>
      <c r="S502" t="s">
        <v>25</v>
      </c>
    </row>
    <row r="503" spans="1:19" x14ac:dyDescent="0.3">
      <c r="A503" t="s">
        <v>577</v>
      </c>
      <c r="B503" s="1">
        <v>45701</v>
      </c>
      <c r="C503" t="s">
        <v>20</v>
      </c>
      <c r="D503" t="s">
        <v>21</v>
      </c>
      <c r="E503" t="s">
        <v>38</v>
      </c>
      <c r="F503" t="s">
        <v>23</v>
      </c>
      <c r="G503">
        <v>47808.85</v>
      </c>
      <c r="H503">
        <v>30413.97</v>
      </c>
      <c r="I503">
        <v>17394.88</v>
      </c>
      <c r="J503">
        <v>33493.93</v>
      </c>
      <c r="K503">
        <v>5581.75</v>
      </c>
      <c r="L503">
        <v>89760.42</v>
      </c>
      <c r="M503">
        <v>904</v>
      </c>
      <c r="N503">
        <v>-9.0800000000000006E-2</v>
      </c>
      <c r="O503">
        <v>0.36380000000000001</v>
      </c>
      <c r="P503">
        <v>6.2199999999999998E-2</v>
      </c>
      <c r="Q503" t="s">
        <v>106</v>
      </c>
      <c r="R503">
        <v>2025</v>
      </c>
      <c r="S503" t="s">
        <v>25</v>
      </c>
    </row>
    <row r="504" spans="1:19" x14ac:dyDescent="0.3">
      <c r="A504" t="s">
        <v>578</v>
      </c>
      <c r="B504" s="1">
        <v>45025</v>
      </c>
      <c r="C504" t="s">
        <v>78</v>
      </c>
      <c r="D504" t="s">
        <v>79</v>
      </c>
      <c r="E504" t="s">
        <v>38</v>
      </c>
      <c r="F504" t="s">
        <v>23</v>
      </c>
      <c r="G504">
        <v>35783.040000000001</v>
      </c>
      <c r="H504">
        <v>31963.77</v>
      </c>
      <c r="I504">
        <v>3819.27</v>
      </c>
      <c r="J504">
        <v>30467.13</v>
      </c>
      <c r="K504">
        <v>37174.199999999997</v>
      </c>
      <c r="L504">
        <v>132894.01999999999</v>
      </c>
      <c r="M504">
        <v>994</v>
      </c>
      <c r="N504">
        <v>-1.43E-2</v>
      </c>
      <c r="O504">
        <v>0.1067</v>
      </c>
      <c r="P504">
        <v>0.2797</v>
      </c>
      <c r="Q504" t="s">
        <v>39</v>
      </c>
      <c r="R504">
        <v>2023</v>
      </c>
      <c r="S504" t="s">
        <v>25</v>
      </c>
    </row>
    <row r="505" spans="1:19" x14ac:dyDescent="0.3">
      <c r="A505" t="s">
        <v>579</v>
      </c>
      <c r="B505" s="1">
        <v>45920</v>
      </c>
      <c r="C505" t="s">
        <v>68</v>
      </c>
      <c r="D505" t="s">
        <v>69</v>
      </c>
      <c r="E505" t="s">
        <v>22</v>
      </c>
      <c r="F505" t="s">
        <v>23</v>
      </c>
      <c r="G505">
        <v>143319.79999999999</v>
      </c>
      <c r="H505">
        <v>109441.98</v>
      </c>
      <c r="I505">
        <v>33877.82</v>
      </c>
      <c r="J505">
        <v>44886.63</v>
      </c>
      <c r="K505">
        <v>16692.2</v>
      </c>
      <c r="L505">
        <v>333676.46999999997</v>
      </c>
      <c r="M505">
        <v>708</v>
      </c>
      <c r="N505">
        <v>1.24E-2</v>
      </c>
      <c r="O505">
        <v>0.2364</v>
      </c>
      <c r="P505">
        <v>0.05</v>
      </c>
      <c r="Q505" t="s">
        <v>24</v>
      </c>
      <c r="R505">
        <v>2025</v>
      </c>
      <c r="S505" t="s">
        <v>25</v>
      </c>
    </row>
    <row r="506" spans="1:19" x14ac:dyDescent="0.3">
      <c r="A506" t="s">
        <v>580</v>
      </c>
      <c r="B506" s="1">
        <v>45040</v>
      </c>
      <c r="C506" t="s">
        <v>85</v>
      </c>
      <c r="D506" t="s">
        <v>86</v>
      </c>
      <c r="E506" t="s">
        <v>38</v>
      </c>
      <c r="F506" t="s">
        <v>23</v>
      </c>
      <c r="G506">
        <v>37136.269999999997</v>
      </c>
      <c r="H506">
        <v>26360.95</v>
      </c>
      <c r="I506">
        <v>10775.32</v>
      </c>
      <c r="K506">
        <v>31357.05</v>
      </c>
      <c r="L506">
        <v>48096.95</v>
      </c>
      <c r="M506">
        <v>3610</v>
      </c>
      <c r="N506">
        <v>-9.98E-2</v>
      </c>
      <c r="O506">
        <v>0.29020000000000001</v>
      </c>
      <c r="P506">
        <v>0.65200000000000002</v>
      </c>
      <c r="Q506" t="s">
        <v>39</v>
      </c>
      <c r="R506">
        <v>2023</v>
      </c>
      <c r="S506" t="s">
        <v>82</v>
      </c>
    </row>
    <row r="507" spans="1:19" x14ac:dyDescent="0.3">
      <c r="A507" t="s">
        <v>581</v>
      </c>
      <c r="B507" s="1">
        <v>45960</v>
      </c>
      <c r="C507" t="s">
        <v>78</v>
      </c>
      <c r="D507" t="s">
        <v>79</v>
      </c>
      <c r="E507" t="s">
        <v>38</v>
      </c>
      <c r="F507" t="s">
        <v>23</v>
      </c>
      <c r="G507">
        <v>36960.81</v>
      </c>
      <c r="H507">
        <v>30479.75</v>
      </c>
      <c r="I507">
        <v>6481.06</v>
      </c>
      <c r="J507">
        <v>28927.54</v>
      </c>
      <c r="K507">
        <v>8926.02</v>
      </c>
      <c r="L507">
        <v>162622</v>
      </c>
      <c r="M507">
        <v>502</v>
      </c>
      <c r="N507">
        <v>5.1900000000000002E-2</v>
      </c>
      <c r="O507">
        <v>0.17530000000000001</v>
      </c>
      <c r="P507">
        <v>5.4899999999999997E-2</v>
      </c>
      <c r="Q507" t="s">
        <v>66</v>
      </c>
      <c r="R507">
        <v>2025</v>
      </c>
      <c r="S507" t="s">
        <v>25</v>
      </c>
    </row>
    <row r="508" spans="1:19" x14ac:dyDescent="0.3">
      <c r="A508" t="s">
        <v>582</v>
      </c>
      <c r="B508" s="1">
        <v>45126</v>
      </c>
      <c r="C508" t="s">
        <v>20</v>
      </c>
      <c r="D508" t="s">
        <v>21</v>
      </c>
      <c r="E508" t="s">
        <v>38</v>
      </c>
      <c r="F508" t="s">
        <v>23</v>
      </c>
      <c r="G508">
        <v>60012.26</v>
      </c>
      <c r="H508">
        <v>51239.83</v>
      </c>
      <c r="I508">
        <v>8772.43</v>
      </c>
      <c r="J508">
        <v>16504.560000000001</v>
      </c>
      <c r="K508">
        <v>25908.13</v>
      </c>
      <c r="L508">
        <v>102327.16</v>
      </c>
      <c r="M508">
        <v>3117</v>
      </c>
      <c r="N508">
        <v>3.0099999999999998E-2</v>
      </c>
      <c r="O508">
        <v>0.1462</v>
      </c>
      <c r="P508">
        <v>0.25319999999999998</v>
      </c>
      <c r="Q508" t="s">
        <v>56</v>
      </c>
      <c r="R508">
        <v>2023</v>
      </c>
      <c r="S508" t="s">
        <v>25</v>
      </c>
    </row>
    <row r="509" spans="1:19" x14ac:dyDescent="0.3">
      <c r="A509" t="s">
        <v>583</v>
      </c>
      <c r="B509" s="1">
        <v>44740</v>
      </c>
      <c r="C509" t="s">
        <v>85</v>
      </c>
      <c r="D509" t="s">
        <v>86</v>
      </c>
      <c r="E509" t="s">
        <v>22</v>
      </c>
      <c r="F509" t="s">
        <v>23</v>
      </c>
      <c r="G509">
        <v>29947.119999999999</v>
      </c>
      <c r="H509">
        <v>25214.44</v>
      </c>
      <c r="I509">
        <v>4732.68</v>
      </c>
      <c r="J509">
        <v>6068.73</v>
      </c>
      <c r="K509">
        <v>101287.06</v>
      </c>
      <c r="L509">
        <v>143270.76999999999</v>
      </c>
      <c r="M509">
        <v>728</v>
      </c>
      <c r="N509">
        <v>-9.4399999999999998E-2</v>
      </c>
      <c r="O509">
        <v>0.158</v>
      </c>
      <c r="P509">
        <v>0.70699999999999996</v>
      </c>
      <c r="Q509" t="s">
        <v>58</v>
      </c>
      <c r="R509">
        <v>2022</v>
      </c>
      <c r="S509" t="s">
        <v>82</v>
      </c>
    </row>
    <row r="510" spans="1:19" x14ac:dyDescent="0.3">
      <c r="A510" t="s">
        <v>584</v>
      </c>
      <c r="B510" s="1">
        <v>45164</v>
      </c>
      <c r="C510" t="s">
        <v>85</v>
      </c>
      <c r="D510" t="s">
        <v>86</v>
      </c>
      <c r="E510" t="s">
        <v>51</v>
      </c>
      <c r="F510" t="s">
        <v>23</v>
      </c>
      <c r="G510">
        <v>87305.600000000006</v>
      </c>
      <c r="H510">
        <v>76422.960000000006</v>
      </c>
      <c r="I510">
        <v>10882.64</v>
      </c>
      <c r="J510">
        <v>21366.240000000002</v>
      </c>
      <c r="K510">
        <v>287934.06</v>
      </c>
      <c r="L510">
        <v>155520.17000000001</v>
      </c>
      <c r="M510">
        <v>1307</v>
      </c>
      <c r="N510">
        <v>-4.7300000000000002E-2</v>
      </c>
      <c r="O510">
        <v>0.1246</v>
      </c>
      <c r="P510">
        <v>1.8513999999999999</v>
      </c>
      <c r="Q510" t="s">
        <v>56</v>
      </c>
      <c r="R510">
        <v>2023</v>
      </c>
      <c r="S510" t="s">
        <v>82</v>
      </c>
    </row>
    <row r="511" spans="1:19" x14ac:dyDescent="0.3">
      <c r="A511" t="s">
        <v>585</v>
      </c>
      <c r="B511" s="1">
        <v>45264</v>
      </c>
      <c r="C511" t="s">
        <v>54</v>
      </c>
      <c r="D511" t="s">
        <v>55</v>
      </c>
      <c r="E511" t="s">
        <v>32</v>
      </c>
      <c r="F511" t="s">
        <v>33</v>
      </c>
      <c r="G511">
        <v>147726.68</v>
      </c>
      <c r="H511">
        <v>119592.82</v>
      </c>
      <c r="I511">
        <v>28133.86</v>
      </c>
      <c r="J511">
        <v>23873.62</v>
      </c>
      <c r="K511">
        <v>15761.47</v>
      </c>
      <c r="L511">
        <v>81066.990000000005</v>
      </c>
      <c r="M511">
        <v>557</v>
      </c>
      <c r="N511">
        <v>-0.1774</v>
      </c>
      <c r="O511">
        <v>0.19040000000000001</v>
      </c>
      <c r="P511">
        <v>0.19439999999999999</v>
      </c>
      <c r="Q511" t="s">
        <v>44</v>
      </c>
      <c r="R511">
        <v>2023</v>
      </c>
      <c r="S511" t="s">
        <v>25</v>
      </c>
    </row>
    <row r="512" spans="1:19" x14ac:dyDescent="0.3">
      <c r="A512" t="s">
        <v>586</v>
      </c>
      <c r="B512" s="1">
        <v>45237</v>
      </c>
      <c r="C512" t="s">
        <v>61</v>
      </c>
      <c r="D512" t="s">
        <v>74</v>
      </c>
      <c r="E512" t="s">
        <v>38</v>
      </c>
      <c r="F512" t="s">
        <v>23</v>
      </c>
      <c r="G512">
        <v>45000.3</v>
      </c>
      <c r="H512">
        <v>40943.53</v>
      </c>
      <c r="I512">
        <v>4056.77</v>
      </c>
      <c r="J512">
        <v>33877.620000000003</v>
      </c>
      <c r="K512">
        <v>20319.18</v>
      </c>
      <c r="L512">
        <v>45219.29</v>
      </c>
      <c r="M512">
        <v>1662</v>
      </c>
      <c r="N512">
        <v>-7.1499999999999994E-2</v>
      </c>
      <c r="O512">
        <v>9.01E-2</v>
      </c>
      <c r="P512">
        <v>0.44929999999999998</v>
      </c>
      <c r="Q512" t="s">
        <v>44</v>
      </c>
      <c r="R512">
        <v>2023</v>
      </c>
      <c r="S512" t="s">
        <v>40</v>
      </c>
    </row>
    <row r="513" spans="1:19" x14ac:dyDescent="0.3">
      <c r="A513" t="s">
        <v>587</v>
      </c>
      <c r="B513" s="1">
        <v>44797</v>
      </c>
      <c r="C513" t="s">
        <v>61</v>
      </c>
      <c r="D513" t="s">
        <v>74</v>
      </c>
      <c r="E513" t="s">
        <v>22</v>
      </c>
      <c r="F513" t="s">
        <v>23</v>
      </c>
      <c r="G513">
        <v>65630.100000000006</v>
      </c>
      <c r="H513">
        <v>52291.85</v>
      </c>
      <c r="I513">
        <v>13338.25</v>
      </c>
      <c r="J513">
        <v>23650.57</v>
      </c>
      <c r="K513">
        <v>37922.74</v>
      </c>
      <c r="L513">
        <v>58628.35</v>
      </c>
      <c r="M513">
        <v>1473</v>
      </c>
      <c r="N513">
        <v>8.6999999999999994E-3</v>
      </c>
      <c r="O513">
        <v>0.20319999999999999</v>
      </c>
      <c r="P513">
        <v>0.64680000000000004</v>
      </c>
      <c r="Q513" t="s">
        <v>76</v>
      </c>
      <c r="R513">
        <v>2022</v>
      </c>
      <c r="S513" t="s">
        <v>82</v>
      </c>
    </row>
    <row r="514" spans="1:19" x14ac:dyDescent="0.3">
      <c r="A514" t="s">
        <v>588</v>
      </c>
      <c r="B514" s="1">
        <v>44919</v>
      </c>
      <c r="C514" t="s">
        <v>54</v>
      </c>
      <c r="D514" t="s">
        <v>55</v>
      </c>
      <c r="E514" t="s">
        <v>22</v>
      </c>
      <c r="F514" t="s">
        <v>23</v>
      </c>
      <c r="G514">
        <v>89505.72</v>
      </c>
      <c r="H514">
        <v>55602.96</v>
      </c>
      <c r="I514">
        <v>33902.76</v>
      </c>
      <c r="J514">
        <v>10882.68</v>
      </c>
      <c r="K514">
        <v>41835.839999999997</v>
      </c>
      <c r="L514">
        <v>110607.77</v>
      </c>
      <c r="M514">
        <v>375</v>
      </c>
      <c r="N514">
        <v>-4.7100000000000003E-2</v>
      </c>
      <c r="O514">
        <v>0.37880000000000003</v>
      </c>
      <c r="P514">
        <v>0.37819999999999998</v>
      </c>
      <c r="Q514" t="s">
        <v>46</v>
      </c>
      <c r="R514">
        <v>2022</v>
      </c>
      <c r="S514" t="s">
        <v>40</v>
      </c>
    </row>
    <row r="515" spans="1:19" x14ac:dyDescent="0.3">
      <c r="A515" t="s">
        <v>589</v>
      </c>
      <c r="B515" s="1">
        <v>45979</v>
      </c>
      <c r="C515" t="s">
        <v>78</v>
      </c>
      <c r="D515" t="s">
        <v>79</v>
      </c>
      <c r="E515" t="s">
        <v>38</v>
      </c>
      <c r="F515" t="s">
        <v>23</v>
      </c>
      <c r="G515">
        <v>31954.99</v>
      </c>
      <c r="H515">
        <v>19800.78</v>
      </c>
      <c r="I515">
        <v>12154.21</v>
      </c>
      <c r="J515">
        <v>41544.269999999997</v>
      </c>
      <c r="K515">
        <v>67490.2</v>
      </c>
      <c r="L515">
        <v>116333.77</v>
      </c>
      <c r="M515">
        <v>1588</v>
      </c>
      <c r="N515">
        <v>3.1699999999999999E-2</v>
      </c>
      <c r="O515">
        <v>0.38040000000000002</v>
      </c>
      <c r="P515">
        <v>0.58009999999999995</v>
      </c>
      <c r="Q515" t="s">
        <v>66</v>
      </c>
      <c r="R515">
        <v>2025</v>
      </c>
      <c r="S515" t="s">
        <v>40</v>
      </c>
    </row>
    <row r="516" spans="1:19" x14ac:dyDescent="0.3">
      <c r="A516" t="s">
        <v>590</v>
      </c>
      <c r="B516" s="1">
        <v>45834</v>
      </c>
      <c r="C516" t="s">
        <v>48</v>
      </c>
      <c r="D516" t="s">
        <v>49</v>
      </c>
      <c r="E516" t="s">
        <v>32</v>
      </c>
      <c r="F516" t="s">
        <v>33</v>
      </c>
      <c r="G516">
        <v>26675.93</v>
      </c>
      <c r="H516">
        <v>14934.39</v>
      </c>
      <c r="I516">
        <v>11741.54</v>
      </c>
      <c r="J516">
        <v>52231.25</v>
      </c>
      <c r="K516">
        <v>48906.14</v>
      </c>
      <c r="L516">
        <v>223149.95</v>
      </c>
      <c r="M516">
        <v>1809</v>
      </c>
      <c r="N516">
        <v>4.9000000000000002E-2</v>
      </c>
      <c r="O516">
        <v>0.44019999999999998</v>
      </c>
      <c r="P516">
        <v>0.21920000000000001</v>
      </c>
      <c r="Q516" t="s">
        <v>34</v>
      </c>
      <c r="R516">
        <v>2025</v>
      </c>
      <c r="S516" t="s">
        <v>25</v>
      </c>
    </row>
    <row r="517" spans="1:19" x14ac:dyDescent="0.3">
      <c r="A517" t="s">
        <v>591</v>
      </c>
      <c r="B517" s="1">
        <v>45627</v>
      </c>
      <c r="C517" t="s">
        <v>27</v>
      </c>
      <c r="D517" t="s">
        <v>28</v>
      </c>
      <c r="E517" t="s">
        <v>22</v>
      </c>
      <c r="F517" t="s">
        <v>23</v>
      </c>
      <c r="G517">
        <v>41563.85</v>
      </c>
      <c r="H517">
        <v>24857.14</v>
      </c>
      <c r="I517">
        <v>16706.71</v>
      </c>
      <c r="J517">
        <v>25846.34</v>
      </c>
      <c r="K517">
        <v>53106.97</v>
      </c>
      <c r="L517">
        <v>107746.86</v>
      </c>
      <c r="M517">
        <v>942</v>
      </c>
      <c r="N517">
        <v>3.9100000000000003E-2</v>
      </c>
      <c r="O517">
        <v>0.40200000000000002</v>
      </c>
      <c r="P517">
        <v>0.4929</v>
      </c>
      <c r="Q517" t="s">
        <v>52</v>
      </c>
      <c r="R517">
        <v>2024</v>
      </c>
      <c r="S517" t="s">
        <v>40</v>
      </c>
    </row>
    <row r="518" spans="1:19" x14ac:dyDescent="0.3">
      <c r="A518" t="s">
        <v>592</v>
      </c>
      <c r="B518" s="1">
        <v>45710</v>
      </c>
      <c r="C518" t="s">
        <v>42</v>
      </c>
      <c r="D518" t="s">
        <v>43</v>
      </c>
      <c r="E518" t="s">
        <v>38</v>
      </c>
      <c r="F518" t="s">
        <v>23</v>
      </c>
      <c r="G518">
        <v>90225.79</v>
      </c>
      <c r="H518">
        <v>70264.73</v>
      </c>
      <c r="I518">
        <v>19961.060000000001</v>
      </c>
      <c r="J518">
        <v>80714.36</v>
      </c>
      <c r="K518">
        <v>47370.22</v>
      </c>
      <c r="L518">
        <v>205504.55</v>
      </c>
      <c r="N518">
        <v>4.3700000000000003E-2</v>
      </c>
      <c r="O518">
        <v>0.22120000000000001</v>
      </c>
      <c r="P518">
        <v>0.23050000000000001</v>
      </c>
      <c r="Q518" t="s">
        <v>106</v>
      </c>
      <c r="R518">
        <v>2025</v>
      </c>
      <c r="S518" t="s">
        <v>25</v>
      </c>
    </row>
    <row r="519" spans="1:19" x14ac:dyDescent="0.3">
      <c r="A519" t="s">
        <v>593</v>
      </c>
      <c r="B519" s="1">
        <v>45794</v>
      </c>
      <c r="C519" t="s">
        <v>42</v>
      </c>
      <c r="D519" t="s">
        <v>43</v>
      </c>
      <c r="E519" t="s">
        <v>22</v>
      </c>
      <c r="F519" t="s">
        <v>23</v>
      </c>
      <c r="G519">
        <v>53674.54</v>
      </c>
      <c r="H519">
        <v>48465.78</v>
      </c>
      <c r="I519">
        <v>5208.76</v>
      </c>
      <c r="J519">
        <v>31303.61</v>
      </c>
      <c r="K519">
        <v>44568.37</v>
      </c>
      <c r="L519">
        <v>68533.88</v>
      </c>
      <c r="M519">
        <v>655</v>
      </c>
      <c r="N519">
        <v>6.1100000000000002E-2</v>
      </c>
      <c r="O519">
        <v>9.7000000000000003E-2</v>
      </c>
      <c r="P519">
        <v>0.65029999999999999</v>
      </c>
      <c r="Q519" t="s">
        <v>34</v>
      </c>
      <c r="R519">
        <v>2025</v>
      </c>
      <c r="S519" t="s">
        <v>82</v>
      </c>
    </row>
    <row r="520" spans="1:19" x14ac:dyDescent="0.3">
      <c r="A520" t="s">
        <v>594</v>
      </c>
      <c r="B520" s="1">
        <v>45406</v>
      </c>
      <c r="C520" t="s">
        <v>36</v>
      </c>
      <c r="D520" t="s">
        <v>37</v>
      </c>
      <c r="E520" t="s">
        <v>38</v>
      </c>
      <c r="F520" t="s">
        <v>23</v>
      </c>
      <c r="G520">
        <v>54201.24</v>
      </c>
      <c r="H520">
        <v>45031.55</v>
      </c>
      <c r="I520">
        <v>9169.69</v>
      </c>
      <c r="J520">
        <v>25301</v>
      </c>
      <c r="K520">
        <v>54443.43</v>
      </c>
      <c r="L520">
        <v>85234.7</v>
      </c>
      <c r="M520">
        <v>1072</v>
      </c>
      <c r="N520">
        <v>-6.1800000000000001E-2</v>
      </c>
      <c r="O520">
        <v>0.16919999999999999</v>
      </c>
      <c r="P520">
        <v>0.63870000000000005</v>
      </c>
      <c r="Q520" t="s">
        <v>111</v>
      </c>
      <c r="R520">
        <v>2024</v>
      </c>
      <c r="S520" t="s">
        <v>82</v>
      </c>
    </row>
    <row r="521" spans="1:19" x14ac:dyDescent="0.3">
      <c r="A521" t="s">
        <v>595</v>
      </c>
      <c r="B521" s="1">
        <v>45856</v>
      </c>
      <c r="C521" t="s">
        <v>85</v>
      </c>
      <c r="D521" t="s">
        <v>86</v>
      </c>
      <c r="E521" t="s">
        <v>22</v>
      </c>
      <c r="F521" t="s">
        <v>23</v>
      </c>
      <c r="G521">
        <v>127625.65</v>
      </c>
      <c r="H521">
        <v>105838.18</v>
      </c>
      <c r="I521">
        <v>21787.47</v>
      </c>
      <c r="J521">
        <v>106315.24</v>
      </c>
      <c r="K521">
        <v>17922.52</v>
      </c>
      <c r="L521">
        <v>121160.57</v>
      </c>
      <c r="M521">
        <v>995</v>
      </c>
      <c r="N521">
        <v>6.6E-3</v>
      </c>
      <c r="O521">
        <v>0.17069999999999999</v>
      </c>
      <c r="P521">
        <v>0.1479</v>
      </c>
      <c r="Q521" t="s">
        <v>24</v>
      </c>
      <c r="R521">
        <v>2025</v>
      </c>
      <c r="S521" t="s">
        <v>25</v>
      </c>
    </row>
    <row r="522" spans="1:19" x14ac:dyDescent="0.3">
      <c r="A522" t="s">
        <v>596</v>
      </c>
      <c r="B522" s="1">
        <v>44858</v>
      </c>
      <c r="C522" t="s">
        <v>68</v>
      </c>
      <c r="D522" t="s">
        <v>69</v>
      </c>
      <c r="E522" t="s">
        <v>51</v>
      </c>
      <c r="F522" t="s">
        <v>23</v>
      </c>
      <c r="G522">
        <v>128608.92</v>
      </c>
      <c r="H522">
        <v>82741.759999999995</v>
      </c>
      <c r="I522">
        <v>45867.16</v>
      </c>
      <c r="J522">
        <v>8358.33</v>
      </c>
      <c r="K522">
        <v>22668.82</v>
      </c>
      <c r="L522">
        <v>87941.19</v>
      </c>
      <c r="M522">
        <v>1225</v>
      </c>
      <c r="N522">
        <v>2.9899999999999999E-2</v>
      </c>
      <c r="O522">
        <v>0.35659999999999997</v>
      </c>
      <c r="P522">
        <v>0.25779999999999997</v>
      </c>
      <c r="Q522" t="s">
        <v>46</v>
      </c>
      <c r="R522">
        <v>2022</v>
      </c>
      <c r="S522" t="s">
        <v>25</v>
      </c>
    </row>
    <row r="523" spans="1:19" x14ac:dyDescent="0.3">
      <c r="A523" t="s">
        <v>597</v>
      </c>
      <c r="B523" s="1">
        <v>44837</v>
      </c>
      <c r="C523" t="s">
        <v>20</v>
      </c>
      <c r="D523" t="s">
        <v>21</v>
      </c>
      <c r="E523" t="s">
        <v>38</v>
      </c>
      <c r="F523" t="s">
        <v>23</v>
      </c>
      <c r="G523">
        <v>112144.79</v>
      </c>
      <c r="H523">
        <v>89763.31</v>
      </c>
      <c r="I523">
        <v>22381.48</v>
      </c>
      <c r="J523">
        <v>31298.560000000001</v>
      </c>
      <c r="K523">
        <v>12805.92</v>
      </c>
      <c r="L523">
        <v>69743.95</v>
      </c>
      <c r="M523">
        <v>693</v>
      </c>
      <c r="N523">
        <v>-1.0699999999999999E-2</v>
      </c>
      <c r="O523">
        <v>0.1996</v>
      </c>
      <c r="P523">
        <v>0.18360000000000001</v>
      </c>
      <c r="Q523" t="s">
        <v>46</v>
      </c>
      <c r="R523">
        <v>2022</v>
      </c>
      <c r="S523" t="s">
        <v>25</v>
      </c>
    </row>
    <row r="524" spans="1:19" x14ac:dyDescent="0.3">
      <c r="A524" t="s">
        <v>598</v>
      </c>
      <c r="B524" s="1">
        <v>45156</v>
      </c>
      <c r="C524" t="s">
        <v>78</v>
      </c>
      <c r="D524" t="s">
        <v>79</v>
      </c>
      <c r="E524" t="s">
        <v>32</v>
      </c>
      <c r="F524" t="s">
        <v>33</v>
      </c>
      <c r="G524">
        <v>55752.09</v>
      </c>
      <c r="H524">
        <v>33351.94</v>
      </c>
      <c r="I524">
        <v>22400.15</v>
      </c>
      <c r="J524">
        <v>41807.78</v>
      </c>
      <c r="K524">
        <v>10776.82</v>
      </c>
      <c r="L524">
        <v>131688.1</v>
      </c>
      <c r="M524">
        <v>1645</v>
      </c>
      <c r="N524">
        <v>-8.4599999999999995E-2</v>
      </c>
      <c r="O524">
        <v>0.40179999999999999</v>
      </c>
      <c r="P524">
        <v>8.1799999999999998E-2</v>
      </c>
      <c r="Q524" t="s">
        <v>56</v>
      </c>
      <c r="R524">
        <v>2023</v>
      </c>
      <c r="S524" t="s">
        <v>25</v>
      </c>
    </row>
    <row r="525" spans="1:19" x14ac:dyDescent="0.3">
      <c r="A525" t="s">
        <v>599</v>
      </c>
      <c r="B525" s="1">
        <v>44945</v>
      </c>
      <c r="C525" t="s">
        <v>85</v>
      </c>
      <c r="D525" t="s">
        <v>86</v>
      </c>
      <c r="E525" t="s">
        <v>38</v>
      </c>
      <c r="F525" t="s">
        <v>23</v>
      </c>
      <c r="G525">
        <v>96266.07</v>
      </c>
      <c r="H525">
        <v>57954.01</v>
      </c>
      <c r="I525">
        <v>38312.06</v>
      </c>
      <c r="J525">
        <v>4712.84</v>
      </c>
      <c r="K525">
        <v>6125.63</v>
      </c>
      <c r="L525">
        <v>35678.300000000003</v>
      </c>
      <c r="M525">
        <v>2153</v>
      </c>
      <c r="N525">
        <v>-1.5900000000000001E-2</v>
      </c>
      <c r="O525">
        <v>0.39800000000000002</v>
      </c>
      <c r="P525">
        <v>0.17169999999999999</v>
      </c>
      <c r="Q525" t="s">
        <v>118</v>
      </c>
      <c r="R525">
        <v>2023</v>
      </c>
      <c r="S525" t="s">
        <v>25</v>
      </c>
    </row>
    <row r="526" spans="1:19" x14ac:dyDescent="0.3">
      <c r="A526" t="s">
        <v>600</v>
      </c>
      <c r="B526" s="1">
        <v>45056</v>
      </c>
      <c r="C526" t="s">
        <v>61</v>
      </c>
      <c r="D526" t="s">
        <v>74</v>
      </c>
      <c r="E526" t="s">
        <v>22</v>
      </c>
      <c r="F526" t="s">
        <v>23</v>
      </c>
      <c r="G526">
        <v>58853.17</v>
      </c>
      <c r="H526">
        <v>37238.559999999998</v>
      </c>
      <c r="I526">
        <v>21614.61</v>
      </c>
      <c r="J526">
        <v>49139</v>
      </c>
      <c r="K526">
        <v>33778.959999999999</v>
      </c>
      <c r="L526">
        <v>125274.99</v>
      </c>
      <c r="M526">
        <v>681</v>
      </c>
      <c r="N526">
        <v>-0.2102</v>
      </c>
      <c r="O526">
        <v>0.36730000000000002</v>
      </c>
      <c r="P526">
        <v>0.26960000000000001</v>
      </c>
      <c r="Q526" t="s">
        <v>39</v>
      </c>
      <c r="R526">
        <v>2023</v>
      </c>
      <c r="S526" t="s">
        <v>25</v>
      </c>
    </row>
    <row r="527" spans="1:19" x14ac:dyDescent="0.3">
      <c r="A527" t="s">
        <v>601</v>
      </c>
      <c r="B527" s="1">
        <v>45974</v>
      </c>
      <c r="C527" t="s">
        <v>20</v>
      </c>
      <c r="D527" t="s">
        <v>21</v>
      </c>
      <c r="E527" t="s">
        <v>38</v>
      </c>
      <c r="F527" t="s">
        <v>23</v>
      </c>
      <c r="G527">
        <v>93026.32</v>
      </c>
      <c r="H527">
        <v>59867.07</v>
      </c>
      <c r="I527">
        <v>33159.25</v>
      </c>
      <c r="J527">
        <v>49464.959999999999</v>
      </c>
      <c r="K527">
        <v>24295.09</v>
      </c>
      <c r="L527">
        <v>99561.08</v>
      </c>
      <c r="M527">
        <v>997</v>
      </c>
      <c r="N527">
        <v>6.4100000000000004E-2</v>
      </c>
      <c r="O527">
        <v>0.35649999999999998</v>
      </c>
      <c r="P527">
        <v>0.24399999999999999</v>
      </c>
      <c r="Q527" t="s">
        <v>66</v>
      </c>
      <c r="R527">
        <v>2025</v>
      </c>
      <c r="S527" t="s">
        <v>25</v>
      </c>
    </row>
    <row r="528" spans="1:19" x14ac:dyDescent="0.3">
      <c r="A528" t="s">
        <v>602</v>
      </c>
      <c r="B528" s="1">
        <v>45193</v>
      </c>
      <c r="C528" t="s">
        <v>78</v>
      </c>
      <c r="D528" t="s">
        <v>79</v>
      </c>
      <c r="E528" t="s">
        <v>38</v>
      </c>
      <c r="F528" t="s">
        <v>23</v>
      </c>
      <c r="G528">
        <v>111386.53</v>
      </c>
      <c r="H528">
        <v>73608.210000000006</v>
      </c>
      <c r="I528">
        <v>37778.32</v>
      </c>
      <c r="J528">
        <v>68267.759999999995</v>
      </c>
      <c r="K528">
        <v>13050.16</v>
      </c>
      <c r="L528">
        <v>124045.95</v>
      </c>
      <c r="M528">
        <v>1297</v>
      </c>
      <c r="N528">
        <v>2.18E-2</v>
      </c>
      <c r="O528">
        <v>0.3392</v>
      </c>
      <c r="P528">
        <v>0.1052</v>
      </c>
      <c r="Q528" t="s">
        <v>56</v>
      </c>
      <c r="R528">
        <v>2023</v>
      </c>
      <c r="S528" t="s">
        <v>25</v>
      </c>
    </row>
    <row r="529" spans="1:19" x14ac:dyDescent="0.3">
      <c r="A529" t="s">
        <v>603</v>
      </c>
      <c r="B529" s="1">
        <v>45546</v>
      </c>
      <c r="C529" t="s">
        <v>42</v>
      </c>
      <c r="E529" t="s">
        <v>22</v>
      </c>
      <c r="F529" t="s">
        <v>23</v>
      </c>
      <c r="G529">
        <v>225269.67</v>
      </c>
      <c r="H529">
        <v>143635.35</v>
      </c>
      <c r="I529">
        <v>81634.320000000007</v>
      </c>
      <c r="J529">
        <v>18316.080000000002</v>
      </c>
      <c r="K529">
        <v>29092.59</v>
      </c>
      <c r="L529">
        <v>71792.03</v>
      </c>
      <c r="M529">
        <v>714</v>
      </c>
      <c r="N529">
        <v>-3.5000000000000001E-3</v>
      </c>
      <c r="O529">
        <v>0.3624</v>
      </c>
      <c r="P529">
        <v>0.4052</v>
      </c>
      <c r="Q529" t="s">
        <v>72</v>
      </c>
      <c r="R529">
        <v>2024</v>
      </c>
      <c r="S529" t="s">
        <v>40</v>
      </c>
    </row>
    <row r="530" spans="1:19" x14ac:dyDescent="0.3">
      <c r="A530" t="s">
        <v>604</v>
      </c>
      <c r="B530" s="1">
        <v>45103</v>
      </c>
      <c r="C530" t="s">
        <v>48</v>
      </c>
      <c r="D530" t="s">
        <v>49</v>
      </c>
      <c r="E530" t="s">
        <v>38</v>
      </c>
      <c r="F530" t="s">
        <v>23</v>
      </c>
      <c r="G530">
        <v>111909.85</v>
      </c>
      <c r="H530">
        <v>69987.25</v>
      </c>
      <c r="I530">
        <v>41922.6</v>
      </c>
      <c r="J530">
        <v>20611.07</v>
      </c>
      <c r="K530">
        <v>19384.96</v>
      </c>
      <c r="L530">
        <v>70598.23</v>
      </c>
      <c r="M530">
        <v>465</v>
      </c>
      <c r="N530">
        <v>-0.12590000000000001</v>
      </c>
      <c r="O530">
        <v>0.37459999999999999</v>
      </c>
      <c r="P530">
        <v>0.27460000000000001</v>
      </c>
      <c r="Q530" t="s">
        <v>39</v>
      </c>
      <c r="R530">
        <v>2023</v>
      </c>
      <c r="S530" t="s">
        <v>25</v>
      </c>
    </row>
    <row r="531" spans="1:19" x14ac:dyDescent="0.3">
      <c r="A531" t="s">
        <v>605</v>
      </c>
      <c r="B531" s="1">
        <v>45726</v>
      </c>
      <c r="C531" t="s">
        <v>42</v>
      </c>
      <c r="D531" t="s">
        <v>43</v>
      </c>
      <c r="E531" t="s">
        <v>32</v>
      </c>
      <c r="F531" t="s">
        <v>33</v>
      </c>
      <c r="G531">
        <v>95112.73</v>
      </c>
      <c r="H531">
        <v>77913.16</v>
      </c>
      <c r="I531">
        <v>17199.57</v>
      </c>
      <c r="J531">
        <v>17350.79</v>
      </c>
      <c r="K531">
        <v>15569.07</v>
      </c>
      <c r="L531">
        <v>123566.11</v>
      </c>
      <c r="M531">
        <v>832</v>
      </c>
      <c r="N531">
        <v>-0.1351</v>
      </c>
      <c r="O531">
        <v>0.18079999999999999</v>
      </c>
      <c r="P531">
        <v>0.126</v>
      </c>
      <c r="Q531" t="s">
        <v>106</v>
      </c>
      <c r="R531">
        <v>2025</v>
      </c>
      <c r="S531" t="s">
        <v>25</v>
      </c>
    </row>
    <row r="532" spans="1:19" x14ac:dyDescent="0.3">
      <c r="A532" t="s">
        <v>606</v>
      </c>
      <c r="B532" s="1">
        <v>45329</v>
      </c>
      <c r="C532" t="s">
        <v>61</v>
      </c>
      <c r="D532" t="s">
        <v>74</v>
      </c>
      <c r="E532" t="s">
        <v>22</v>
      </c>
      <c r="F532" t="s">
        <v>23</v>
      </c>
      <c r="G532">
        <v>73140.97</v>
      </c>
      <c r="H532">
        <v>43686.400000000001</v>
      </c>
      <c r="I532">
        <v>29454.57</v>
      </c>
      <c r="J532">
        <v>104403.12</v>
      </c>
      <c r="K532">
        <v>6943.3</v>
      </c>
      <c r="L532">
        <v>205294.84</v>
      </c>
      <c r="M532">
        <v>938</v>
      </c>
      <c r="N532">
        <v>-1.54E-2</v>
      </c>
      <c r="O532">
        <v>0.4027</v>
      </c>
      <c r="P532">
        <v>3.3799999999999997E-2</v>
      </c>
      <c r="Q532" t="s">
        <v>80</v>
      </c>
      <c r="R532">
        <v>2024</v>
      </c>
      <c r="S532" t="s">
        <v>25</v>
      </c>
    </row>
    <row r="533" spans="1:19" x14ac:dyDescent="0.3">
      <c r="A533" t="s">
        <v>607</v>
      </c>
      <c r="B533" s="1">
        <v>45372</v>
      </c>
      <c r="C533" t="s">
        <v>102</v>
      </c>
      <c r="D533" t="s">
        <v>103</v>
      </c>
      <c r="E533" t="s">
        <v>32</v>
      </c>
      <c r="F533" t="s">
        <v>33</v>
      </c>
      <c r="G533">
        <v>129417.15</v>
      </c>
      <c r="H533">
        <v>110138.55</v>
      </c>
      <c r="I533">
        <v>19278.599999999999</v>
      </c>
      <c r="J533">
        <v>27654.39</v>
      </c>
      <c r="K533">
        <v>12309.54</v>
      </c>
      <c r="L533">
        <v>139763.32999999999</v>
      </c>
      <c r="M533">
        <v>783</v>
      </c>
      <c r="N533">
        <v>1.61E-2</v>
      </c>
      <c r="O533">
        <v>0.14899999999999999</v>
      </c>
      <c r="P533">
        <v>8.8099999999999998E-2</v>
      </c>
      <c r="Q533" t="s">
        <v>80</v>
      </c>
      <c r="R533">
        <v>2024</v>
      </c>
      <c r="S533" t="s">
        <v>25</v>
      </c>
    </row>
    <row r="534" spans="1:19" x14ac:dyDescent="0.3">
      <c r="A534" t="s">
        <v>608</v>
      </c>
      <c r="B534" s="1">
        <v>45052</v>
      </c>
      <c r="C534" t="s">
        <v>36</v>
      </c>
      <c r="D534" t="s">
        <v>37</v>
      </c>
      <c r="E534" t="s">
        <v>22</v>
      </c>
      <c r="F534" t="s">
        <v>23</v>
      </c>
      <c r="G534">
        <v>41389.379999999997</v>
      </c>
      <c r="H534">
        <v>30513.77</v>
      </c>
      <c r="I534">
        <v>10875.61</v>
      </c>
      <c r="J534">
        <v>73417.100000000006</v>
      </c>
      <c r="K534">
        <v>85268.13</v>
      </c>
      <c r="L534">
        <v>114187.82</v>
      </c>
      <c r="M534">
        <v>920</v>
      </c>
      <c r="N534">
        <v>-1.32E-2</v>
      </c>
      <c r="O534">
        <v>0.26279999999999998</v>
      </c>
      <c r="P534">
        <v>0.74670000000000003</v>
      </c>
      <c r="Q534" t="s">
        <v>39</v>
      </c>
      <c r="R534">
        <v>2023</v>
      </c>
      <c r="S534" t="s">
        <v>82</v>
      </c>
    </row>
    <row r="535" spans="1:19" x14ac:dyDescent="0.3">
      <c r="A535" t="s">
        <v>609</v>
      </c>
      <c r="B535" s="1">
        <v>45243</v>
      </c>
      <c r="C535" t="s">
        <v>30</v>
      </c>
      <c r="D535" t="s">
        <v>31</v>
      </c>
      <c r="E535" t="s">
        <v>32</v>
      </c>
      <c r="F535" t="s">
        <v>33</v>
      </c>
      <c r="G535">
        <v>125658.02</v>
      </c>
      <c r="H535">
        <v>75877.509999999995</v>
      </c>
      <c r="I535">
        <v>49780.51</v>
      </c>
      <c r="J535">
        <v>59439.62</v>
      </c>
      <c r="K535">
        <v>20121.97</v>
      </c>
      <c r="L535">
        <v>152955.9</v>
      </c>
      <c r="M535">
        <v>881</v>
      </c>
      <c r="N535">
        <v>2.2599999999999999E-2</v>
      </c>
      <c r="O535">
        <v>0.3962</v>
      </c>
      <c r="P535">
        <v>0.13159999999999999</v>
      </c>
      <c r="Q535" t="s">
        <v>44</v>
      </c>
      <c r="R535">
        <v>2023</v>
      </c>
      <c r="S535" t="s">
        <v>25</v>
      </c>
    </row>
    <row r="536" spans="1:19" x14ac:dyDescent="0.3">
      <c r="A536" t="s">
        <v>610</v>
      </c>
      <c r="B536" s="1">
        <v>44667</v>
      </c>
      <c r="C536" t="s">
        <v>36</v>
      </c>
      <c r="D536" t="s">
        <v>37</v>
      </c>
      <c r="E536" t="s">
        <v>32</v>
      </c>
      <c r="F536" t="s">
        <v>33</v>
      </c>
      <c r="G536">
        <v>149110.88</v>
      </c>
      <c r="H536">
        <v>104941.59</v>
      </c>
      <c r="I536">
        <v>44169.29</v>
      </c>
      <c r="J536">
        <v>44255.06</v>
      </c>
      <c r="K536">
        <v>43481.69</v>
      </c>
      <c r="L536">
        <v>88770.38</v>
      </c>
      <c r="M536">
        <v>686</v>
      </c>
      <c r="N536">
        <v>0.15609999999999999</v>
      </c>
      <c r="O536">
        <v>0.29620000000000002</v>
      </c>
      <c r="P536">
        <v>0.48980000000000001</v>
      </c>
      <c r="Q536" t="s">
        <v>58</v>
      </c>
      <c r="R536">
        <v>2022</v>
      </c>
      <c r="S536" t="s">
        <v>40</v>
      </c>
    </row>
    <row r="537" spans="1:19" x14ac:dyDescent="0.3">
      <c r="A537" t="s">
        <v>611</v>
      </c>
      <c r="B537" s="1">
        <v>44678</v>
      </c>
      <c r="C537" t="s">
        <v>54</v>
      </c>
      <c r="D537" t="s">
        <v>227</v>
      </c>
      <c r="E537" t="s">
        <v>22</v>
      </c>
      <c r="F537" t="s">
        <v>23</v>
      </c>
      <c r="G537">
        <v>28224.54</v>
      </c>
      <c r="H537">
        <v>25921.1</v>
      </c>
      <c r="I537">
        <v>2303.44</v>
      </c>
      <c r="J537">
        <v>82484.88</v>
      </c>
      <c r="K537">
        <v>5356.84</v>
      </c>
      <c r="L537">
        <v>89641.23</v>
      </c>
      <c r="M537">
        <v>1295</v>
      </c>
      <c r="N537">
        <v>1.9599999999999999E-2</v>
      </c>
      <c r="O537">
        <v>8.1600000000000006E-2</v>
      </c>
      <c r="P537">
        <v>5.9799999999999999E-2</v>
      </c>
      <c r="Q537" t="s">
        <v>58</v>
      </c>
      <c r="R537">
        <v>2022</v>
      </c>
      <c r="S537" t="s">
        <v>25</v>
      </c>
    </row>
    <row r="538" spans="1:19" x14ac:dyDescent="0.3">
      <c r="A538" t="s">
        <v>612</v>
      </c>
      <c r="B538" s="1">
        <v>45801</v>
      </c>
      <c r="C538" t="s">
        <v>68</v>
      </c>
      <c r="D538" t="s">
        <v>69</v>
      </c>
      <c r="E538" t="s">
        <v>32</v>
      </c>
      <c r="F538" t="s">
        <v>33</v>
      </c>
      <c r="G538">
        <v>204301.52</v>
      </c>
      <c r="H538">
        <v>159137.88</v>
      </c>
      <c r="I538">
        <v>45163.64</v>
      </c>
      <c r="J538">
        <v>52834.59</v>
      </c>
      <c r="K538">
        <v>46686.14</v>
      </c>
      <c r="L538">
        <v>93416.85</v>
      </c>
      <c r="M538">
        <v>553</v>
      </c>
      <c r="N538">
        <v>-0.2155</v>
      </c>
      <c r="O538">
        <v>0.22109999999999999</v>
      </c>
      <c r="P538">
        <v>0.49980000000000002</v>
      </c>
      <c r="Q538" t="s">
        <v>34</v>
      </c>
      <c r="R538">
        <v>2025</v>
      </c>
      <c r="S538" t="s">
        <v>40</v>
      </c>
    </row>
    <row r="539" spans="1:19" x14ac:dyDescent="0.3">
      <c r="A539" t="s">
        <v>613</v>
      </c>
      <c r="B539" s="1">
        <v>45863</v>
      </c>
      <c r="C539" t="s">
        <v>36</v>
      </c>
      <c r="D539" t="s">
        <v>37</v>
      </c>
      <c r="E539" t="s">
        <v>22</v>
      </c>
      <c r="F539" t="s">
        <v>23</v>
      </c>
      <c r="G539">
        <v>68445.2</v>
      </c>
      <c r="H539">
        <v>41429.29</v>
      </c>
      <c r="I539">
        <v>27015.91</v>
      </c>
      <c r="J539">
        <v>63172.37</v>
      </c>
      <c r="K539">
        <v>25373.8</v>
      </c>
      <c r="L539">
        <v>169180.15</v>
      </c>
      <c r="M539">
        <v>695</v>
      </c>
      <c r="N539">
        <v>-5.8400000000000001E-2</v>
      </c>
      <c r="O539">
        <v>0.3947</v>
      </c>
      <c r="P539">
        <v>0.15</v>
      </c>
      <c r="Q539" t="s">
        <v>24</v>
      </c>
      <c r="R539">
        <v>2025</v>
      </c>
      <c r="S539" t="s">
        <v>25</v>
      </c>
    </row>
    <row r="540" spans="1:19" x14ac:dyDescent="0.3">
      <c r="A540" t="s">
        <v>614</v>
      </c>
      <c r="B540" s="1">
        <v>45459</v>
      </c>
      <c r="C540" t="s">
        <v>78</v>
      </c>
      <c r="D540" t="s">
        <v>79</v>
      </c>
      <c r="E540" t="s">
        <v>38</v>
      </c>
      <c r="F540" t="s">
        <v>23</v>
      </c>
      <c r="G540">
        <v>59261.73</v>
      </c>
      <c r="H540">
        <v>51345.02</v>
      </c>
      <c r="I540">
        <v>7916.71</v>
      </c>
      <c r="J540">
        <v>31050.94</v>
      </c>
      <c r="K540">
        <v>77875.259999999995</v>
      </c>
      <c r="L540">
        <v>51518.63</v>
      </c>
      <c r="M540">
        <v>700</v>
      </c>
      <c r="N540">
        <v>0.13700000000000001</v>
      </c>
      <c r="O540">
        <v>0.1336</v>
      </c>
      <c r="P540">
        <v>1.5116000000000001</v>
      </c>
      <c r="Q540" t="s">
        <v>111</v>
      </c>
      <c r="R540">
        <v>2024</v>
      </c>
      <c r="S540" t="s">
        <v>82</v>
      </c>
    </row>
    <row r="541" spans="1:19" x14ac:dyDescent="0.3">
      <c r="A541" t="s">
        <v>615</v>
      </c>
      <c r="B541" s="1">
        <v>44694</v>
      </c>
      <c r="C541" t="s">
        <v>78</v>
      </c>
      <c r="D541" t="s">
        <v>79</v>
      </c>
      <c r="E541" t="s">
        <v>38</v>
      </c>
      <c r="F541" t="s">
        <v>23</v>
      </c>
      <c r="G541">
        <v>99146.93</v>
      </c>
      <c r="H541">
        <v>54709.4</v>
      </c>
      <c r="I541">
        <v>44437.53</v>
      </c>
      <c r="J541">
        <v>32398.79</v>
      </c>
      <c r="K541">
        <v>13350.2</v>
      </c>
      <c r="L541">
        <v>84265.24</v>
      </c>
      <c r="M541">
        <v>733</v>
      </c>
      <c r="N541">
        <v>1.06E-2</v>
      </c>
      <c r="O541">
        <v>0.44819999999999999</v>
      </c>
      <c r="P541">
        <v>0.15840000000000001</v>
      </c>
      <c r="Q541" t="s">
        <v>58</v>
      </c>
      <c r="R541">
        <v>2022</v>
      </c>
      <c r="S541" t="s">
        <v>25</v>
      </c>
    </row>
    <row r="542" spans="1:19" x14ac:dyDescent="0.3">
      <c r="A542" t="s">
        <v>616</v>
      </c>
      <c r="B542" s="1">
        <v>44917</v>
      </c>
      <c r="C542" t="s">
        <v>102</v>
      </c>
      <c r="D542" t="s">
        <v>103</v>
      </c>
      <c r="E542" t="s">
        <v>32</v>
      </c>
      <c r="F542" t="s">
        <v>33</v>
      </c>
      <c r="G542">
        <v>94712.74</v>
      </c>
      <c r="H542">
        <v>53548.42</v>
      </c>
      <c r="I542">
        <v>41164.32</v>
      </c>
      <c r="J542">
        <v>66945.94</v>
      </c>
      <c r="K542">
        <v>14185.92</v>
      </c>
      <c r="L542">
        <v>115835.97</v>
      </c>
      <c r="M542">
        <v>558</v>
      </c>
      <c r="N542">
        <v>8.9899999999999994E-2</v>
      </c>
      <c r="O542">
        <v>0.43459999999999999</v>
      </c>
      <c r="P542">
        <v>0.1225</v>
      </c>
      <c r="Q542" t="s">
        <v>46</v>
      </c>
      <c r="R542">
        <v>2022</v>
      </c>
      <c r="S542" t="s">
        <v>25</v>
      </c>
    </row>
    <row r="543" spans="1:19" x14ac:dyDescent="0.3">
      <c r="A543" t="s">
        <v>617</v>
      </c>
      <c r="B543" s="1">
        <v>44727</v>
      </c>
      <c r="C543" t="s">
        <v>102</v>
      </c>
      <c r="D543" t="s">
        <v>103</v>
      </c>
      <c r="E543" t="s">
        <v>38</v>
      </c>
      <c r="F543" t="s">
        <v>23</v>
      </c>
      <c r="G543">
        <v>61219.97</v>
      </c>
      <c r="H543">
        <v>55875.26</v>
      </c>
      <c r="I543">
        <v>5344.71</v>
      </c>
      <c r="J543">
        <v>69200.3</v>
      </c>
      <c r="K543">
        <v>74613.33</v>
      </c>
      <c r="L543">
        <v>177553.61</v>
      </c>
      <c r="M543">
        <v>1280</v>
      </c>
      <c r="N543">
        <v>2.9700000000000001E-2</v>
      </c>
      <c r="O543">
        <v>8.7300000000000003E-2</v>
      </c>
      <c r="P543">
        <v>0.42020000000000002</v>
      </c>
      <c r="Q543" t="s">
        <v>58</v>
      </c>
      <c r="R543">
        <v>2022</v>
      </c>
      <c r="S543" t="s">
        <v>40</v>
      </c>
    </row>
    <row r="544" spans="1:19" x14ac:dyDescent="0.3">
      <c r="A544" t="s">
        <v>618</v>
      </c>
      <c r="B544" s="1">
        <v>45322</v>
      </c>
      <c r="C544" t="s">
        <v>85</v>
      </c>
      <c r="D544" t="s">
        <v>86</v>
      </c>
      <c r="E544" t="s">
        <v>22</v>
      </c>
      <c r="F544" t="s">
        <v>23</v>
      </c>
      <c r="G544">
        <v>76229.56</v>
      </c>
      <c r="H544">
        <v>42973.04</v>
      </c>
      <c r="I544">
        <v>33256.519999999997</v>
      </c>
      <c r="J544">
        <v>14811.11</v>
      </c>
      <c r="K544">
        <v>32543.03</v>
      </c>
      <c r="L544">
        <v>53599.96</v>
      </c>
      <c r="M544">
        <v>552</v>
      </c>
      <c r="N544">
        <v>0.1066</v>
      </c>
      <c r="O544">
        <v>0.43630000000000002</v>
      </c>
      <c r="P544">
        <v>0.60709999999999997</v>
      </c>
      <c r="Q544" t="s">
        <v>80</v>
      </c>
      <c r="R544">
        <v>2024</v>
      </c>
      <c r="S544" t="s">
        <v>82</v>
      </c>
    </row>
    <row r="545" spans="1:19" x14ac:dyDescent="0.3">
      <c r="A545" t="s">
        <v>619</v>
      </c>
      <c r="B545" s="1">
        <v>45523</v>
      </c>
      <c r="C545" t="s">
        <v>30</v>
      </c>
      <c r="D545" t="s">
        <v>31</v>
      </c>
      <c r="E545" t="s">
        <v>65</v>
      </c>
      <c r="F545" t="s">
        <v>23</v>
      </c>
      <c r="G545">
        <v>105672.42</v>
      </c>
      <c r="H545">
        <v>91359</v>
      </c>
      <c r="I545">
        <v>14313.42</v>
      </c>
      <c r="J545">
        <v>22279.46</v>
      </c>
      <c r="K545">
        <v>28710.63</v>
      </c>
      <c r="L545">
        <v>80475.94</v>
      </c>
      <c r="M545">
        <v>2630</v>
      </c>
      <c r="N545">
        <v>9.8799999999999999E-2</v>
      </c>
      <c r="O545">
        <v>0.13550000000000001</v>
      </c>
      <c r="P545">
        <v>0.35680000000000001</v>
      </c>
      <c r="Q545" t="s">
        <v>72</v>
      </c>
      <c r="R545">
        <v>2024</v>
      </c>
      <c r="S545" t="s">
        <v>40</v>
      </c>
    </row>
    <row r="546" spans="1:19" x14ac:dyDescent="0.3">
      <c r="A546" t="s">
        <v>620</v>
      </c>
      <c r="B546" s="1">
        <v>44592</v>
      </c>
      <c r="C546" t="s">
        <v>27</v>
      </c>
      <c r="D546" t="s">
        <v>28</v>
      </c>
      <c r="E546" t="s">
        <v>51</v>
      </c>
      <c r="F546" t="s">
        <v>23</v>
      </c>
      <c r="G546">
        <v>24182.560000000001</v>
      </c>
      <c r="H546">
        <v>19575.89</v>
      </c>
      <c r="I546">
        <v>4606.67</v>
      </c>
      <c r="J546">
        <v>33287.599999999999</v>
      </c>
      <c r="K546">
        <v>7014.25</v>
      </c>
      <c r="L546">
        <v>165333.1</v>
      </c>
      <c r="M546">
        <v>1319</v>
      </c>
      <c r="N546">
        <v>5.3100000000000001E-2</v>
      </c>
      <c r="O546">
        <v>0.1905</v>
      </c>
      <c r="P546">
        <v>4.24E-2</v>
      </c>
      <c r="Q546" t="s">
        <v>90</v>
      </c>
      <c r="R546">
        <v>2022</v>
      </c>
      <c r="S546" t="s">
        <v>25</v>
      </c>
    </row>
    <row r="547" spans="1:19" x14ac:dyDescent="0.3">
      <c r="A547" t="s">
        <v>621</v>
      </c>
      <c r="B547" s="1">
        <v>45971</v>
      </c>
      <c r="C547" t="s">
        <v>42</v>
      </c>
      <c r="D547" t="s">
        <v>43</v>
      </c>
      <c r="E547" t="s">
        <v>22</v>
      </c>
      <c r="F547" t="s">
        <v>23</v>
      </c>
      <c r="G547">
        <v>45698.720000000001</v>
      </c>
      <c r="H547">
        <v>30603.24</v>
      </c>
      <c r="I547">
        <v>15095.48</v>
      </c>
      <c r="J547">
        <v>52257.95</v>
      </c>
      <c r="K547">
        <v>30361.9</v>
      </c>
      <c r="L547">
        <v>213551.91</v>
      </c>
      <c r="M547">
        <v>764</v>
      </c>
      <c r="N547">
        <v>4.3700000000000003E-2</v>
      </c>
      <c r="O547">
        <v>0.33029999999999998</v>
      </c>
      <c r="P547">
        <v>0.14219999999999999</v>
      </c>
      <c r="Q547" t="s">
        <v>66</v>
      </c>
      <c r="R547">
        <v>2025</v>
      </c>
      <c r="S547" t="s">
        <v>25</v>
      </c>
    </row>
    <row r="548" spans="1:19" x14ac:dyDescent="0.3">
      <c r="A548" t="s">
        <v>622</v>
      </c>
      <c r="B548" s="1">
        <v>45876</v>
      </c>
      <c r="C548" t="s">
        <v>78</v>
      </c>
      <c r="D548" t="s">
        <v>79</v>
      </c>
      <c r="E548" t="s">
        <v>38</v>
      </c>
      <c r="F548" t="s">
        <v>23</v>
      </c>
      <c r="G548">
        <v>43736</v>
      </c>
      <c r="H548">
        <v>34198.410000000003</v>
      </c>
      <c r="I548">
        <v>9537.59</v>
      </c>
      <c r="J548">
        <v>33651.26</v>
      </c>
      <c r="K548">
        <v>49745.1</v>
      </c>
      <c r="L548">
        <v>71136.45</v>
      </c>
      <c r="M548">
        <v>222</v>
      </c>
      <c r="N548">
        <v>1.9599999999999999E-2</v>
      </c>
      <c r="O548">
        <v>0.21809999999999999</v>
      </c>
      <c r="P548">
        <v>0.69930000000000003</v>
      </c>
      <c r="Q548" t="s">
        <v>24</v>
      </c>
      <c r="R548">
        <v>2025</v>
      </c>
      <c r="S548" t="s">
        <v>82</v>
      </c>
    </row>
    <row r="549" spans="1:19" x14ac:dyDescent="0.3">
      <c r="A549" t="s">
        <v>623</v>
      </c>
      <c r="B549" s="1">
        <v>44777</v>
      </c>
      <c r="C549" t="s">
        <v>85</v>
      </c>
      <c r="D549" t="s">
        <v>86</v>
      </c>
      <c r="E549" t="s">
        <v>22</v>
      </c>
      <c r="F549" t="s">
        <v>23</v>
      </c>
      <c r="G549">
        <v>268140.57</v>
      </c>
      <c r="H549">
        <v>156354.12</v>
      </c>
      <c r="I549">
        <v>111786.45</v>
      </c>
      <c r="J549">
        <v>135865.1</v>
      </c>
      <c r="K549">
        <v>65065.31</v>
      </c>
      <c r="L549">
        <v>185269.24</v>
      </c>
      <c r="M549">
        <v>807</v>
      </c>
      <c r="N549">
        <v>-2.0500000000000001E-2</v>
      </c>
      <c r="O549">
        <v>0.41689999999999999</v>
      </c>
      <c r="P549">
        <v>0.35120000000000001</v>
      </c>
      <c r="Q549" t="s">
        <v>76</v>
      </c>
      <c r="R549">
        <v>2022</v>
      </c>
      <c r="S549" t="s">
        <v>40</v>
      </c>
    </row>
    <row r="550" spans="1:19" x14ac:dyDescent="0.3">
      <c r="A550" t="s">
        <v>624</v>
      </c>
      <c r="B550" s="1">
        <v>45032</v>
      </c>
      <c r="C550" t="s">
        <v>36</v>
      </c>
      <c r="D550" t="s">
        <v>37</v>
      </c>
      <c r="E550" t="s">
        <v>38</v>
      </c>
      <c r="F550" t="s">
        <v>23</v>
      </c>
      <c r="G550">
        <v>86072.92</v>
      </c>
      <c r="H550">
        <v>58679.77</v>
      </c>
      <c r="I550">
        <v>27393.15</v>
      </c>
      <c r="J550">
        <v>18613.05</v>
      </c>
      <c r="K550">
        <v>15798.37</v>
      </c>
      <c r="L550">
        <v>121504.27</v>
      </c>
      <c r="M550">
        <v>506</v>
      </c>
      <c r="N550">
        <v>6.0199999999999997E-2</v>
      </c>
      <c r="O550">
        <v>0.31830000000000003</v>
      </c>
      <c r="P550">
        <v>0.13</v>
      </c>
      <c r="Q550" t="s">
        <v>39</v>
      </c>
      <c r="R550">
        <v>2023</v>
      </c>
      <c r="S550" t="s">
        <v>25</v>
      </c>
    </row>
    <row r="551" spans="1:19" x14ac:dyDescent="0.3">
      <c r="A551" t="s">
        <v>625</v>
      </c>
      <c r="B551" s="1">
        <v>45539</v>
      </c>
      <c r="C551" t="s">
        <v>78</v>
      </c>
      <c r="D551" t="s">
        <v>480</v>
      </c>
      <c r="E551" t="s">
        <v>22</v>
      </c>
      <c r="F551" t="s">
        <v>23</v>
      </c>
      <c r="G551">
        <v>38315.949999999997</v>
      </c>
      <c r="H551">
        <v>27134.99</v>
      </c>
      <c r="I551">
        <v>11180.96</v>
      </c>
      <c r="J551">
        <v>39131.53</v>
      </c>
      <c r="K551">
        <v>40032.620000000003</v>
      </c>
      <c r="L551">
        <v>70996.539999999994</v>
      </c>
      <c r="M551">
        <v>748</v>
      </c>
      <c r="N551">
        <v>2.9899999999999999E-2</v>
      </c>
      <c r="O551">
        <v>0.2918</v>
      </c>
      <c r="P551">
        <v>0.56389999999999996</v>
      </c>
      <c r="Q551" t="s">
        <v>72</v>
      </c>
      <c r="R551">
        <v>2024</v>
      </c>
      <c r="S551" t="s">
        <v>40</v>
      </c>
    </row>
    <row r="552" spans="1:19" x14ac:dyDescent="0.3">
      <c r="A552" t="s">
        <v>626</v>
      </c>
      <c r="B552" s="1">
        <v>44962</v>
      </c>
      <c r="C552" t="s">
        <v>48</v>
      </c>
      <c r="D552" t="s">
        <v>49</v>
      </c>
      <c r="E552" t="s">
        <v>38</v>
      </c>
      <c r="F552" t="s">
        <v>23</v>
      </c>
      <c r="G552">
        <v>17340.27</v>
      </c>
      <c r="H552">
        <v>11838.71</v>
      </c>
      <c r="I552">
        <v>5501.56</v>
      </c>
      <c r="J552">
        <v>24714.81</v>
      </c>
      <c r="K552">
        <v>195610.6</v>
      </c>
      <c r="L552">
        <v>138832.56</v>
      </c>
      <c r="M552">
        <v>687</v>
      </c>
      <c r="N552">
        <v>9.3100000000000002E-2</v>
      </c>
      <c r="O552">
        <v>0.31730000000000003</v>
      </c>
      <c r="P552">
        <v>1.409</v>
      </c>
      <c r="Q552" t="s">
        <v>118</v>
      </c>
      <c r="R552">
        <v>2023</v>
      </c>
      <c r="S552" t="s">
        <v>82</v>
      </c>
    </row>
    <row r="553" spans="1:19" x14ac:dyDescent="0.3">
      <c r="A553" t="s">
        <v>627</v>
      </c>
      <c r="B553" s="1">
        <v>45362</v>
      </c>
      <c r="C553" t="s">
        <v>68</v>
      </c>
      <c r="D553" t="s">
        <v>69</v>
      </c>
      <c r="E553" t="s">
        <v>32</v>
      </c>
      <c r="F553" t="s">
        <v>33</v>
      </c>
      <c r="G553">
        <v>58663.05</v>
      </c>
      <c r="H553">
        <v>39499.06</v>
      </c>
      <c r="I553">
        <v>19163.990000000002</v>
      </c>
      <c r="J553">
        <v>74365.66</v>
      </c>
      <c r="K553">
        <v>243817.24</v>
      </c>
      <c r="L553">
        <v>121975.37</v>
      </c>
      <c r="M553">
        <v>1247</v>
      </c>
      <c r="N553">
        <v>-3.8800000000000001E-2</v>
      </c>
      <c r="O553">
        <v>0.32669999999999999</v>
      </c>
      <c r="P553">
        <v>1.9988999999999999</v>
      </c>
      <c r="Q553" t="s">
        <v>80</v>
      </c>
      <c r="R553">
        <v>2024</v>
      </c>
      <c r="S553" t="s">
        <v>82</v>
      </c>
    </row>
    <row r="554" spans="1:19" x14ac:dyDescent="0.3">
      <c r="A554" t="s">
        <v>628</v>
      </c>
      <c r="B554" s="1">
        <v>45482</v>
      </c>
      <c r="C554" t="s">
        <v>27</v>
      </c>
      <c r="D554" t="s">
        <v>28</v>
      </c>
      <c r="E554" t="s">
        <v>32</v>
      </c>
      <c r="F554" t="s">
        <v>33</v>
      </c>
      <c r="G554">
        <v>61534.73</v>
      </c>
      <c r="H554">
        <v>55457.19</v>
      </c>
      <c r="I554">
        <v>6077.54</v>
      </c>
      <c r="J554">
        <v>24836.89</v>
      </c>
      <c r="K554">
        <v>13258.55</v>
      </c>
      <c r="L554">
        <v>65357.03</v>
      </c>
      <c r="M554">
        <v>383</v>
      </c>
      <c r="N554">
        <v>-1.89E-2</v>
      </c>
      <c r="O554">
        <v>9.8799999999999999E-2</v>
      </c>
      <c r="P554">
        <v>0.2029</v>
      </c>
      <c r="Q554" t="s">
        <v>72</v>
      </c>
      <c r="R554">
        <v>2024</v>
      </c>
      <c r="S554" t="s">
        <v>25</v>
      </c>
    </row>
    <row r="555" spans="1:19" x14ac:dyDescent="0.3">
      <c r="A555" t="s">
        <v>629</v>
      </c>
      <c r="B555" s="1">
        <v>45579</v>
      </c>
      <c r="C555" t="s">
        <v>20</v>
      </c>
      <c r="D555" t="s">
        <v>21</v>
      </c>
      <c r="E555" t="s">
        <v>38</v>
      </c>
      <c r="F555" t="s">
        <v>23</v>
      </c>
      <c r="G555">
        <v>54138.13</v>
      </c>
      <c r="H555">
        <v>35755.120000000003</v>
      </c>
      <c r="I555">
        <v>18383.009999999998</v>
      </c>
      <c r="J555">
        <v>27933.52</v>
      </c>
      <c r="K555">
        <v>10321.82</v>
      </c>
      <c r="L555">
        <v>175789.66</v>
      </c>
      <c r="M555">
        <v>617</v>
      </c>
      <c r="N555">
        <v>-3.39E-2</v>
      </c>
      <c r="O555">
        <v>0.33960000000000001</v>
      </c>
      <c r="P555">
        <v>5.8700000000000002E-2</v>
      </c>
      <c r="Q555" t="s">
        <v>52</v>
      </c>
      <c r="R555">
        <v>2024</v>
      </c>
      <c r="S555" t="s">
        <v>25</v>
      </c>
    </row>
    <row r="556" spans="1:19" x14ac:dyDescent="0.3">
      <c r="A556" t="s">
        <v>630</v>
      </c>
      <c r="B556" s="1">
        <v>44965</v>
      </c>
      <c r="C556" t="s">
        <v>85</v>
      </c>
      <c r="D556" t="s">
        <v>86</v>
      </c>
      <c r="E556" t="s">
        <v>32</v>
      </c>
      <c r="F556" t="s">
        <v>33</v>
      </c>
      <c r="H556">
        <v>46855.12</v>
      </c>
      <c r="J556">
        <v>37320.589999999997</v>
      </c>
      <c r="K556">
        <v>25529.82</v>
      </c>
      <c r="L556">
        <v>55309.14</v>
      </c>
      <c r="M556">
        <v>1408</v>
      </c>
      <c r="N556">
        <v>-6.2100000000000002E-2</v>
      </c>
      <c r="P556">
        <v>0.46160000000000001</v>
      </c>
      <c r="Q556" t="s">
        <v>118</v>
      </c>
      <c r="R556">
        <v>2023</v>
      </c>
      <c r="S556" t="s">
        <v>40</v>
      </c>
    </row>
    <row r="557" spans="1:19" x14ac:dyDescent="0.3">
      <c r="A557" t="s">
        <v>631</v>
      </c>
      <c r="B557" s="1">
        <v>44787</v>
      </c>
      <c r="C557" t="s">
        <v>27</v>
      </c>
      <c r="D557" t="s">
        <v>28</v>
      </c>
      <c r="E557" t="s">
        <v>65</v>
      </c>
      <c r="F557" t="s">
        <v>23</v>
      </c>
      <c r="G557">
        <v>36569.11</v>
      </c>
      <c r="H557">
        <v>31185.08</v>
      </c>
      <c r="I557">
        <v>5384.03</v>
      </c>
      <c r="J557">
        <v>173738.45</v>
      </c>
      <c r="K557">
        <v>12403.4</v>
      </c>
      <c r="L557">
        <v>264913.63</v>
      </c>
      <c r="M557">
        <v>791</v>
      </c>
      <c r="N557">
        <v>0.1048</v>
      </c>
      <c r="O557">
        <v>0.1472</v>
      </c>
      <c r="P557">
        <v>4.6800000000000001E-2</v>
      </c>
      <c r="Q557" t="s">
        <v>76</v>
      </c>
      <c r="R557">
        <v>2022</v>
      </c>
      <c r="S557" t="s">
        <v>25</v>
      </c>
    </row>
    <row r="558" spans="1:19" x14ac:dyDescent="0.3">
      <c r="A558" t="s">
        <v>632</v>
      </c>
      <c r="B558" s="1">
        <v>45179</v>
      </c>
      <c r="C558" t="s">
        <v>54</v>
      </c>
      <c r="D558" t="s">
        <v>55</v>
      </c>
      <c r="E558" t="s">
        <v>51</v>
      </c>
      <c r="F558" t="s">
        <v>23</v>
      </c>
      <c r="G558">
        <v>80295.27</v>
      </c>
      <c r="H558">
        <v>51125.36</v>
      </c>
      <c r="I558">
        <v>29169.91</v>
      </c>
      <c r="J558">
        <v>9717.73</v>
      </c>
      <c r="K558">
        <v>94724.67</v>
      </c>
      <c r="L558">
        <v>100716.62</v>
      </c>
      <c r="M558">
        <v>856</v>
      </c>
      <c r="N558">
        <v>7.0000000000000001E-3</v>
      </c>
      <c r="O558">
        <v>0.36330000000000001</v>
      </c>
      <c r="P558">
        <v>0.9405</v>
      </c>
      <c r="Q558" t="s">
        <v>56</v>
      </c>
      <c r="R558">
        <v>2023</v>
      </c>
      <c r="S558" t="s">
        <v>82</v>
      </c>
    </row>
    <row r="559" spans="1:19" x14ac:dyDescent="0.3">
      <c r="A559" t="s">
        <v>633</v>
      </c>
      <c r="B559" s="1">
        <v>44698</v>
      </c>
      <c r="C559" t="s">
        <v>68</v>
      </c>
      <c r="D559" t="s">
        <v>69</v>
      </c>
      <c r="E559" t="s">
        <v>51</v>
      </c>
      <c r="F559" t="s">
        <v>23</v>
      </c>
      <c r="G559">
        <v>128630.87</v>
      </c>
      <c r="H559">
        <v>73222.97</v>
      </c>
      <c r="I559">
        <v>55407.9</v>
      </c>
      <c r="J559">
        <v>14322.18</v>
      </c>
      <c r="K559">
        <v>28013.14</v>
      </c>
      <c r="L559">
        <v>197342.41</v>
      </c>
      <c r="M559">
        <v>623</v>
      </c>
      <c r="N559">
        <v>-2.4799999999999999E-2</v>
      </c>
      <c r="O559">
        <v>0.43080000000000002</v>
      </c>
      <c r="P559">
        <v>0.14199999999999999</v>
      </c>
      <c r="Q559" t="s">
        <v>58</v>
      </c>
      <c r="R559">
        <v>2022</v>
      </c>
      <c r="S559" t="s">
        <v>25</v>
      </c>
    </row>
    <row r="560" spans="1:19" x14ac:dyDescent="0.3">
      <c r="A560" t="s">
        <v>634</v>
      </c>
      <c r="B560" s="1">
        <v>45024</v>
      </c>
      <c r="C560" t="s">
        <v>54</v>
      </c>
      <c r="D560" t="s">
        <v>55</v>
      </c>
      <c r="E560" t="s">
        <v>32</v>
      </c>
      <c r="F560" t="s">
        <v>33</v>
      </c>
      <c r="G560">
        <v>64212.61</v>
      </c>
      <c r="H560">
        <v>42764.74</v>
      </c>
      <c r="I560">
        <v>21447.87</v>
      </c>
      <c r="J560">
        <v>39126.53</v>
      </c>
      <c r="K560">
        <v>90012.08</v>
      </c>
      <c r="L560">
        <v>199715.48</v>
      </c>
      <c r="M560">
        <v>668</v>
      </c>
      <c r="N560">
        <v>3.5299999999999998E-2</v>
      </c>
      <c r="O560">
        <v>0.33400000000000002</v>
      </c>
      <c r="P560">
        <v>0.45069999999999999</v>
      </c>
      <c r="Q560" t="s">
        <v>39</v>
      </c>
      <c r="R560">
        <v>2023</v>
      </c>
      <c r="S560" t="s">
        <v>40</v>
      </c>
    </row>
    <row r="561" spans="1:19" x14ac:dyDescent="0.3">
      <c r="A561" t="s">
        <v>635</v>
      </c>
      <c r="B561" s="1">
        <v>45404</v>
      </c>
      <c r="C561" t="s">
        <v>54</v>
      </c>
      <c r="D561" t="s">
        <v>55</v>
      </c>
      <c r="E561" t="s">
        <v>22</v>
      </c>
      <c r="F561" t="s">
        <v>23</v>
      </c>
      <c r="G561">
        <v>93790.68</v>
      </c>
      <c r="H561">
        <v>77277.89</v>
      </c>
      <c r="I561">
        <v>16512.79</v>
      </c>
      <c r="J561">
        <v>32338.92</v>
      </c>
      <c r="K561">
        <v>34790.550000000003</v>
      </c>
      <c r="L561">
        <v>74157.509999999995</v>
      </c>
      <c r="M561">
        <v>1134</v>
      </c>
      <c r="N561">
        <v>-6.3299999999999995E-2</v>
      </c>
      <c r="O561">
        <v>0.17610000000000001</v>
      </c>
      <c r="P561">
        <v>0.46910000000000002</v>
      </c>
      <c r="Q561" t="s">
        <v>111</v>
      </c>
      <c r="R561">
        <v>2024</v>
      </c>
      <c r="S561" t="s">
        <v>40</v>
      </c>
    </row>
    <row r="562" spans="1:19" x14ac:dyDescent="0.3">
      <c r="A562" t="s">
        <v>636</v>
      </c>
      <c r="B562" s="1">
        <v>45663</v>
      </c>
      <c r="C562" t="s">
        <v>30</v>
      </c>
      <c r="D562" t="s">
        <v>31</v>
      </c>
      <c r="E562" t="s">
        <v>38</v>
      </c>
      <c r="F562" t="s">
        <v>23</v>
      </c>
      <c r="G562">
        <v>271911.98</v>
      </c>
      <c r="H562">
        <v>169962.14</v>
      </c>
      <c r="I562">
        <v>101949.84</v>
      </c>
      <c r="J562">
        <v>34271.53</v>
      </c>
      <c r="K562">
        <v>25181.95</v>
      </c>
      <c r="L562">
        <v>323455.63</v>
      </c>
      <c r="M562">
        <v>1149</v>
      </c>
      <c r="N562">
        <v>3.44E-2</v>
      </c>
      <c r="O562">
        <v>0.37490000000000001</v>
      </c>
      <c r="P562">
        <v>7.7899999999999997E-2</v>
      </c>
      <c r="Q562" t="s">
        <v>106</v>
      </c>
      <c r="R562">
        <v>2025</v>
      </c>
      <c r="S562" t="s">
        <v>25</v>
      </c>
    </row>
    <row r="563" spans="1:19" x14ac:dyDescent="0.3">
      <c r="A563" t="s">
        <v>637</v>
      </c>
      <c r="B563" s="1">
        <v>45082</v>
      </c>
      <c r="C563" t="s">
        <v>36</v>
      </c>
      <c r="D563" t="s">
        <v>37</v>
      </c>
      <c r="E563" t="s">
        <v>32</v>
      </c>
      <c r="F563" t="s">
        <v>33</v>
      </c>
      <c r="G563">
        <v>89536.83</v>
      </c>
      <c r="H563">
        <v>70763.72</v>
      </c>
      <c r="I563">
        <v>18773.11</v>
      </c>
      <c r="J563">
        <v>12486.31</v>
      </c>
      <c r="K563">
        <v>19867.09</v>
      </c>
      <c r="L563">
        <v>27223.439999999999</v>
      </c>
      <c r="M563">
        <v>617</v>
      </c>
      <c r="N563">
        <v>-9.5500000000000002E-2</v>
      </c>
      <c r="O563">
        <v>0.2097</v>
      </c>
      <c r="P563">
        <v>0.7298</v>
      </c>
      <c r="Q563" t="s">
        <v>39</v>
      </c>
      <c r="R563">
        <v>2023</v>
      </c>
      <c r="S563" t="s">
        <v>82</v>
      </c>
    </row>
    <row r="564" spans="1:19" x14ac:dyDescent="0.3">
      <c r="A564" t="s">
        <v>638</v>
      </c>
      <c r="B564" s="1">
        <v>45279</v>
      </c>
      <c r="C564" t="s">
        <v>68</v>
      </c>
      <c r="D564" t="s">
        <v>69</v>
      </c>
      <c r="E564" t="s">
        <v>22</v>
      </c>
      <c r="F564" t="s">
        <v>23</v>
      </c>
      <c r="G564">
        <v>32566.76</v>
      </c>
      <c r="H564">
        <v>20293.830000000002</v>
      </c>
      <c r="I564">
        <v>12272.93</v>
      </c>
      <c r="K564">
        <v>53902.41</v>
      </c>
      <c r="L564">
        <v>55618.27</v>
      </c>
      <c r="M564">
        <v>779</v>
      </c>
      <c r="N564">
        <v>-7.9000000000000008E-3</v>
      </c>
      <c r="O564">
        <v>0.37690000000000001</v>
      </c>
      <c r="P564">
        <v>0.96909999999999996</v>
      </c>
      <c r="Q564" t="s">
        <v>44</v>
      </c>
      <c r="R564">
        <v>2023</v>
      </c>
      <c r="S564" t="s">
        <v>82</v>
      </c>
    </row>
    <row r="565" spans="1:19" x14ac:dyDescent="0.3">
      <c r="A565" t="s">
        <v>639</v>
      </c>
      <c r="B565" s="1">
        <v>45743</v>
      </c>
      <c r="C565" t="s">
        <v>36</v>
      </c>
      <c r="D565" t="s">
        <v>37</v>
      </c>
      <c r="E565" t="s">
        <v>32</v>
      </c>
      <c r="F565" t="s">
        <v>33</v>
      </c>
      <c r="G565">
        <v>106903.89</v>
      </c>
      <c r="H565">
        <v>70553.279999999999</v>
      </c>
      <c r="I565">
        <v>36350.61</v>
      </c>
      <c r="J565">
        <v>50498.879999999997</v>
      </c>
      <c r="K565">
        <v>59577.05</v>
      </c>
      <c r="L565">
        <v>218283.4</v>
      </c>
      <c r="M565">
        <v>611</v>
      </c>
      <c r="N565">
        <v>4.5699999999999998E-2</v>
      </c>
      <c r="O565">
        <v>0.34</v>
      </c>
      <c r="P565">
        <v>0.27289999999999998</v>
      </c>
      <c r="Q565" t="s">
        <v>106</v>
      </c>
      <c r="R565">
        <v>2025</v>
      </c>
      <c r="S565" t="s">
        <v>25</v>
      </c>
    </row>
    <row r="566" spans="1:19" x14ac:dyDescent="0.3">
      <c r="A566" t="s">
        <v>640</v>
      </c>
      <c r="B566" s="1">
        <v>45405</v>
      </c>
      <c r="C566" t="s">
        <v>48</v>
      </c>
      <c r="D566" t="s">
        <v>49</v>
      </c>
      <c r="E566" t="s">
        <v>51</v>
      </c>
      <c r="F566" t="s">
        <v>23</v>
      </c>
      <c r="G566">
        <v>44282.65</v>
      </c>
      <c r="H566">
        <v>39429.93</v>
      </c>
      <c r="I566">
        <v>4852.72</v>
      </c>
      <c r="J566">
        <v>101383.38</v>
      </c>
      <c r="K566">
        <v>15449.8</v>
      </c>
      <c r="L566">
        <v>173840.93</v>
      </c>
      <c r="M566">
        <v>569</v>
      </c>
      <c r="N566">
        <v>-0.11650000000000001</v>
      </c>
      <c r="O566">
        <v>0.1096</v>
      </c>
      <c r="P566">
        <v>8.8900000000000007E-2</v>
      </c>
      <c r="Q566" t="s">
        <v>111</v>
      </c>
      <c r="R566">
        <v>2024</v>
      </c>
      <c r="S566" t="s">
        <v>25</v>
      </c>
    </row>
    <row r="567" spans="1:19" x14ac:dyDescent="0.3">
      <c r="A567" t="s">
        <v>641</v>
      </c>
      <c r="B567" s="1">
        <v>44679</v>
      </c>
      <c r="C567" t="s">
        <v>102</v>
      </c>
      <c r="D567" t="s">
        <v>103</v>
      </c>
      <c r="E567" t="s">
        <v>22</v>
      </c>
      <c r="F567" t="s">
        <v>23</v>
      </c>
      <c r="G567">
        <v>61994.42</v>
      </c>
      <c r="H567">
        <v>42141.49</v>
      </c>
      <c r="I567">
        <v>19852.93</v>
      </c>
      <c r="J567">
        <v>16702.05</v>
      </c>
      <c r="K567">
        <v>46015.29</v>
      </c>
      <c r="L567">
        <v>110870.73</v>
      </c>
      <c r="M567">
        <v>752</v>
      </c>
      <c r="N567">
        <v>-6.6299999999999998E-2</v>
      </c>
      <c r="O567">
        <v>0.32019999999999998</v>
      </c>
      <c r="P567">
        <v>0.41499999999999998</v>
      </c>
      <c r="Q567" t="s">
        <v>58</v>
      </c>
      <c r="R567">
        <v>2022</v>
      </c>
      <c r="S567" t="s">
        <v>40</v>
      </c>
    </row>
    <row r="568" spans="1:19" x14ac:dyDescent="0.3">
      <c r="A568" t="s">
        <v>642</v>
      </c>
      <c r="B568" s="1">
        <v>45299</v>
      </c>
      <c r="C568" t="s">
        <v>61</v>
      </c>
      <c r="D568" t="s">
        <v>74</v>
      </c>
      <c r="E568" t="s">
        <v>38</v>
      </c>
      <c r="F568" t="s">
        <v>23</v>
      </c>
      <c r="G568">
        <v>34117.32</v>
      </c>
      <c r="H568">
        <v>28981.53</v>
      </c>
      <c r="I568">
        <v>5135.79</v>
      </c>
      <c r="J568">
        <v>9756.9500000000007</v>
      </c>
      <c r="K568">
        <v>18146.259999999998</v>
      </c>
      <c r="L568">
        <v>64018.66</v>
      </c>
      <c r="M568">
        <v>820</v>
      </c>
      <c r="N568">
        <v>-3.44E-2</v>
      </c>
      <c r="O568">
        <v>0.15049999999999999</v>
      </c>
      <c r="P568">
        <v>0.28349999999999997</v>
      </c>
      <c r="Q568" t="s">
        <v>80</v>
      </c>
      <c r="R568">
        <v>2024</v>
      </c>
      <c r="S568" t="s">
        <v>25</v>
      </c>
    </row>
    <row r="569" spans="1:19" x14ac:dyDescent="0.3">
      <c r="A569" t="s">
        <v>643</v>
      </c>
      <c r="B569" s="1">
        <v>45229</v>
      </c>
      <c r="C569" t="s">
        <v>78</v>
      </c>
      <c r="D569" t="s">
        <v>79</v>
      </c>
      <c r="E569" t="s">
        <v>32</v>
      </c>
      <c r="F569" t="s">
        <v>33</v>
      </c>
      <c r="G569">
        <v>73150.31</v>
      </c>
      <c r="H569">
        <v>50619.71</v>
      </c>
      <c r="I569">
        <v>22530.6</v>
      </c>
      <c r="J569">
        <v>29003.82</v>
      </c>
      <c r="K569">
        <v>11959.79</v>
      </c>
      <c r="L569">
        <v>44117.27</v>
      </c>
      <c r="M569">
        <v>1848</v>
      </c>
      <c r="N569">
        <v>-6.93E-2</v>
      </c>
      <c r="O569">
        <v>0.308</v>
      </c>
      <c r="P569">
        <v>0.27110000000000001</v>
      </c>
      <c r="Q569" t="s">
        <v>44</v>
      </c>
      <c r="R569">
        <v>2023</v>
      </c>
      <c r="S569" t="s">
        <v>25</v>
      </c>
    </row>
    <row r="570" spans="1:19" x14ac:dyDescent="0.3">
      <c r="A570" t="s">
        <v>644</v>
      </c>
      <c r="B570" s="1">
        <v>44964</v>
      </c>
      <c r="C570" t="s">
        <v>20</v>
      </c>
      <c r="D570" t="s">
        <v>21</v>
      </c>
      <c r="E570" t="s">
        <v>38</v>
      </c>
      <c r="F570" t="s">
        <v>23</v>
      </c>
      <c r="G570">
        <v>128336.27</v>
      </c>
      <c r="H570">
        <v>99394.52</v>
      </c>
      <c r="I570">
        <v>28941.75</v>
      </c>
      <c r="J570">
        <v>57928.79</v>
      </c>
      <c r="K570">
        <v>38480.82</v>
      </c>
      <c r="L570">
        <v>99041.57</v>
      </c>
      <c r="M570">
        <v>733</v>
      </c>
      <c r="N570">
        <v>2.7900000000000001E-2</v>
      </c>
      <c r="O570">
        <v>0.22550000000000001</v>
      </c>
      <c r="P570">
        <v>0.38850000000000001</v>
      </c>
      <c r="Q570" t="s">
        <v>118</v>
      </c>
      <c r="R570">
        <v>2023</v>
      </c>
      <c r="S570" t="s">
        <v>40</v>
      </c>
    </row>
    <row r="571" spans="1:19" x14ac:dyDescent="0.3">
      <c r="A571" t="s">
        <v>645</v>
      </c>
      <c r="B571" s="1">
        <v>44896</v>
      </c>
      <c r="C571" t="s">
        <v>30</v>
      </c>
      <c r="D571" t="s">
        <v>31</v>
      </c>
      <c r="E571" t="s">
        <v>22</v>
      </c>
      <c r="F571" t="s">
        <v>23</v>
      </c>
      <c r="G571">
        <v>149157.14000000001</v>
      </c>
      <c r="H571">
        <v>116230.04</v>
      </c>
      <c r="I571">
        <v>32927.1</v>
      </c>
      <c r="J571">
        <v>7087.74</v>
      </c>
      <c r="K571">
        <v>58433.14</v>
      </c>
      <c r="L571">
        <v>92352.320000000007</v>
      </c>
      <c r="M571">
        <v>761</v>
      </c>
      <c r="N571">
        <v>-1.0699999999999999E-2</v>
      </c>
      <c r="O571">
        <v>0.2208</v>
      </c>
      <c r="P571">
        <v>0.63270000000000004</v>
      </c>
      <c r="Q571" t="s">
        <v>46</v>
      </c>
      <c r="R571">
        <v>2022</v>
      </c>
      <c r="S571" t="s">
        <v>82</v>
      </c>
    </row>
    <row r="572" spans="1:19" x14ac:dyDescent="0.3">
      <c r="A572" t="s">
        <v>646</v>
      </c>
      <c r="B572" s="1">
        <v>44666</v>
      </c>
      <c r="C572" t="s">
        <v>85</v>
      </c>
      <c r="D572" t="s">
        <v>86</v>
      </c>
      <c r="E572" t="s">
        <v>38</v>
      </c>
      <c r="F572" t="s">
        <v>23</v>
      </c>
      <c r="G572">
        <v>132558.92000000001</v>
      </c>
      <c r="H572">
        <v>75401.600000000006</v>
      </c>
      <c r="I572">
        <v>57157.32</v>
      </c>
      <c r="J572">
        <v>30935.78</v>
      </c>
      <c r="K572">
        <v>19765.71</v>
      </c>
      <c r="L572">
        <v>146855.20000000001</v>
      </c>
      <c r="M572">
        <v>1539</v>
      </c>
      <c r="N572">
        <v>0.10340000000000001</v>
      </c>
      <c r="O572">
        <v>0.43120000000000003</v>
      </c>
      <c r="P572">
        <v>0.1346</v>
      </c>
      <c r="Q572" t="s">
        <v>58</v>
      </c>
      <c r="R572">
        <v>2022</v>
      </c>
      <c r="S572" t="s">
        <v>25</v>
      </c>
    </row>
    <row r="573" spans="1:19" x14ac:dyDescent="0.3">
      <c r="A573" t="s">
        <v>647</v>
      </c>
      <c r="B573" s="1">
        <v>44797</v>
      </c>
      <c r="C573" t="s">
        <v>48</v>
      </c>
      <c r="D573" t="s">
        <v>49</v>
      </c>
      <c r="E573" t="s">
        <v>22</v>
      </c>
      <c r="F573" t="s">
        <v>23</v>
      </c>
      <c r="G573">
        <v>32260.77</v>
      </c>
      <c r="H573">
        <v>22095.07</v>
      </c>
      <c r="I573">
        <v>10165.700000000001</v>
      </c>
      <c r="J573">
        <v>57005.99</v>
      </c>
      <c r="K573">
        <v>19760.93</v>
      </c>
      <c r="L573">
        <v>139946.34</v>
      </c>
      <c r="M573">
        <v>1000</v>
      </c>
      <c r="N573">
        <v>0.104</v>
      </c>
      <c r="O573">
        <v>0.31509999999999999</v>
      </c>
      <c r="P573">
        <v>0.14119999999999999</v>
      </c>
      <c r="Q573" t="s">
        <v>76</v>
      </c>
      <c r="R573">
        <v>2022</v>
      </c>
      <c r="S573" t="s">
        <v>25</v>
      </c>
    </row>
    <row r="574" spans="1:19" x14ac:dyDescent="0.3">
      <c r="A574" t="s">
        <v>648</v>
      </c>
      <c r="B574" s="1">
        <v>45061</v>
      </c>
      <c r="C574" t="s">
        <v>54</v>
      </c>
      <c r="D574" t="s">
        <v>55</v>
      </c>
      <c r="E574" t="s">
        <v>38</v>
      </c>
      <c r="F574" t="s">
        <v>23</v>
      </c>
      <c r="G574">
        <v>90441.27</v>
      </c>
      <c r="H574">
        <v>78779.56</v>
      </c>
      <c r="I574">
        <v>11661.71</v>
      </c>
      <c r="J574">
        <v>12425.31</v>
      </c>
      <c r="K574">
        <v>39480.15</v>
      </c>
      <c r="L574">
        <v>69247.66</v>
      </c>
      <c r="M574">
        <v>538</v>
      </c>
      <c r="N574">
        <v>-1.4E-3</v>
      </c>
      <c r="O574">
        <v>0.12889999999999999</v>
      </c>
      <c r="P574">
        <v>0.57010000000000005</v>
      </c>
      <c r="Q574" t="s">
        <v>39</v>
      </c>
      <c r="R574">
        <v>2023</v>
      </c>
      <c r="S574" t="s">
        <v>40</v>
      </c>
    </row>
    <row r="575" spans="1:19" x14ac:dyDescent="0.3">
      <c r="A575" t="s">
        <v>649</v>
      </c>
      <c r="B575" s="1">
        <v>44998</v>
      </c>
      <c r="C575" t="s">
        <v>30</v>
      </c>
      <c r="D575" t="s">
        <v>31</v>
      </c>
      <c r="E575" t="s">
        <v>51</v>
      </c>
      <c r="F575" t="s">
        <v>23</v>
      </c>
      <c r="G575">
        <v>141012.75</v>
      </c>
      <c r="H575">
        <v>114191.84</v>
      </c>
      <c r="I575">
        <v>26820.91</v>
      </c>
      <c r="J575">
        <v>14080.16</v>
      </c>
      <c r="K575">
        <v>25151.56</v>
      </c>
      <c r="L575">
        <v>72957.58</v>
      </c>
      <c r="M575">
        <v>556</v>
      </c>
      <c r="N575">
        <v>4.1099999999999998E-2</v>
      </c>
      <c r="O575">
        <v>0.19020000000000001</v>
      </c>
      <c r="P575">
        <v>0.34470000000000001</v>
      </c>
      <c r="Q575" t="s">
        <v>118</v>
      </c>
      <c r="R575">
        <v>2023</v>
      </c>
      <c r="S575" t="s">
        <v>40</v>
      </c>
    </row>
    <row r="576" spans="1:19" x14ac:dyDescent="0.3">
      <c r="A576" t="s">
        <v>650</v>
      </c>
      <c r="B576" s="1">
        <v>45804</v>
      </c>
      <c r="C576" t="s">
        <v>102</v>
      </c>
      <c r="D576" t="s">
        <v>103</v>
      </c>
      <c r="E576" t="s">
        <v>32</v>
      </c>
      <c r="F576" t="s">
        <v>33</v>
      </c>
      <c r="G576">
        <v>148244.25</v>
      </c>
      <c r="H576">
        <v>130276.69</v>
      </c>
      <c r="I576">
        <v>17967.560000000001</v>
      </c>
      <c r="J576">
        <v>40973.120000000003</v>
      </c>
      <c r="K576">
        <v>110237.48</v>
      </c>
      <c r="L576">
        <v>95503.55</v>
      </c>
      <c r="M576">
        <v>544</v>
      </c>
      <c r="N576">
        <v>-8.6900000000000005E-2</v>
      </c>
      <c r="O576">
        <v>0.1212</v>
      </c>
      <c r="P576">
        <v>1.1543000000000001</v>
      </c>
      <c r="Q576" t="s">
        <v>34</v>
      </c>
      <c r="R576">
        <v>2025</v>
      </c>
      <c r="S576" t="s">
        <v>82</v>
      </c>
    </row>
    <row r="577" spans="1:19" x14ac:dyDescent="0.3">
      <c r="A577" t="s">
        <v>651</v>
      </c>
      <c r="B577" s="1">
        <v>44966</v>
      </c>
      <c r="C577" t="s">
        <v>48</v>
      </c>
      <c r="D577" t="s">
        <v>49</v>
      </c>
      <c r="E577" t="s">
        <v>22</v>
      </c>
      <c r="F577" t="s">
        <v>23</v>
      </c>
      <c r="G577">
        <v>50813.62</v>
      </c>
      <c r="H577">
        <v>40826.32</v>
      </c>
      <c r="I577">
        <v>9987.2999999999993</v>
      </c>
      <c r="J577">
        <v>27586.12</v>
      </c>
      <c r="K577">
        <v>12793.45</v>
      </c>
      <c r="L577">
        <v>195976.73</v>
      </c>
      <c r="M577">
        <v>845</v>
      </c>
      <c r="N577">
        <v>-4.7500000000000001E-2</v>
      </c>
      <c r="O577">
        <v>0.19650000000000001</v>
      </c>
      <c r="P577">
        <v>6.5299999999999997E-2</v>
      </c>
      <c r="Q577" t="s">
        <v>118</v>
      </c>
      <c r="R577">
        <v>2023</v>
      </c>
      <c r="S577" t="s">
        <v>25</v>
      </c>
    </row>
    <row r="578" spans="1:19" x14ac:dyDescent="0.3">
      <c r="A578" t="s">
        <v>652</v>
      </c>
      <c r="B578" s="1">
        <v>44930</v>
      </c>
      <c r="C578" t="s">
        <v>102</v>
      </c>
      <c r="D578" t="s">
        <v>103</v>
      </c>
      <c r="E578" t="s">
        <v>38</v>
      </c>
      <c r="F578" t="s">
        <v>23</v>
      </c>
      <c r="G578">
        <v>153292.19</v>
      </c>
      <c r="H578">
        <v>133739.88</v>
      </c>
      <c r="I578">
        <v>19552.310000000001</v>
      </c>
      <c r="J578">
        <v>14680.96</v>
      </c>
      <c r="K578">
        <v>8382.49</v>
      </c>
      <c r="L578">
        <v>49791.45</v>
      </c>
      <c r="M578">
        <v>610</v>
      </c>
      <c r="N578">
        <v>-2.3999999999999998E-3</v>
      </c>
      <c r="O578">
        <v>0.1275</v>
      </c>
      <c r="P578">
        <v>0.16839999999999999</v>
      </c>
      <c r="Q578" t="s">
        <v>118</v>
      </c>
      <c r="R578">
        <v>2023</v>
      </c>
      <c r="S578" t="s">
        <v>25</v>
      </c>
    </row>
    <row r="579" spans="1:19" x14ac:dyDescent="0.3">
      <c r="A579" t="s">
        <v>653</v>
      </c>
      <c r="B579" s="1">
        <v>44617</v>
      </c>
      <c r="C579" t="s">
        <v>102</v>
      </c>
      <c r="D579" t="s">
        <v>103</v>
      </c>
      <c r="E579" t="s">
        <v>38</v>
      </c>
      <c r="F579" t="s">
        <v>23</v>
      </c>
      <c r="G579">
        <v>91765.43</v>
      </c>
      <c r="H579">
        <v>73043.69</v>
      </c>
      <c r="I579">
        <v>18721.740000000002</v>
      </c>
      <c r="J579">
        <v>38571.25</v>
      </c>
      <c r="K579">
        <v>34441.120000000003</v>
      </c>
      <c r="L579">
        <v>73762.63</v>
      </c>
      <c r="M579">
        <v>1513</v>
      </c>
      <c r="N579">
        <v>4.8500000000000001E-2</v>
      </c>
      <c r="O579">
        <v>0.20399999999999999</v>
      </c>
      <c r="P579">
        <v>0.46689999999999998</v>
      </c>
      <c r="Q579" t="s">
        <v>90</v>
      </c>
      <c r="R579">
        <v>2022</v>
      </c>
      <c r="S579" t="s">
        <v>40</v>
      </c>
    </row>
    <row r="580" spans="1:19" x14ac:dyDescent="0.3">
      <c r="A580" t="s">
        <v>654</v>
      </c>
      <c r="B580" s="1">
        <v>44583</v>
      </c>
      <c r="C580" t="s">
        <v>42</v>
      </c>
      <c r="D580" t="s">
        <v>43</v>
      </c>
      <c r="E580" t="s">
        <v>38</v>
      </c>
      <c r="F580" t="s">
        <v>23</v>
      </c>
      <c r="G580">
        <v>218266.16</v>
      </c>
      <c r="H580">
        <v>141709.88</v>
      </c>
      <c r="I580">
        <v>76556.28</v>
      </c>
      <c r="J580">
        <v>19711.48</v>
      </c>
      <c r="K580">
        <v>21373.69</v>
      </c>
      <c r="L580">
        <v>202887.46</v>
      </c>
      <c r="M580">
        <v>1169</v>
      </c>
      <c r="N580">
        <v>4.8999999999999998E-3</v>
      </c>
      <c r="O580">
        <v>0.35070000000000001</v>
      </c>
      <c r="P580">
        <v>0.1053</v>
      </c>
      <c r="Q580" t="s">
        <v>90</v>
      </c>
      <c r="R580">
        <v>2022</v>
      </c>
      <c r="S580" t="s">
        <v>25</v>
      </c>
    </row>
    <row r="581" spans="1:19" x14ac:dyDescent="0.3">
      <c r="A581" t="s">
        <v>655</v>
      </c>
      <c r="B581" s="1">
        <v>45000</v>
      </c>
      <c r="C581" t="s">
        <v>68</v>
      </c>
      <c r="D581" t="s">
        <v>69</v>
      </c>
      <c r="E581" t="s">
        <v>51</v>
      </c>
      <c r="F581" t="s">
        <v>23</v>
      </c>
      <c r="G581">
        <v>99720.93</v>
      </c>
      <c r="H581">
        <v>88275.66</v>
      </c>
      <c r="I581">
        <v>11445.27</v>
      </c>
      <c r="J581">
        <v>24863.59</v>
      </c>
      <c r="K581">
        <v>153025.49</v>
      </c>
      <c r="L581">
        <v>125956.1</v>
      </c>
      <c r="M581">
        <v>1280</v>
      </c>
      <c r="N581">
        <v>-3.78E-2</v>
      </c>
      <c r="O581">
        <v>0.1148</v>
      </c>
      <c r="P581">
        <v>1.2149000000000001</v>
      </c>
      <c r="Q581" t="s">
        <v>118</v>
      </c>
      <c r="R581">
        <v>2023</v>
      </c>
      <c r="S581" t="s">
        <v>82</v>
      </c>
    </row>
    <row r="582" spans="1:19" x14ac:dyDescent="0.3">
      <c r="A582" t="s">
        <v>656</v>
      </c>
      <c r="B582" s="1">
        <v>45861</v>
      </c>
      <c r="C582" t="s">
        <v>102</v>
      </c>
      <c r="D582" t="s">
        <v>103</v>
      </c>
      <c r="E582" t="s">
        <v>32</v>
      </c>
      <c r="F582" t="s">
        <v>33</v>
      </c>
      <c r="G582">
        <v>83557.850000000006</v>
      </c>
      <c r="H582">
        <v>51914.13</v>
      </c>
      <c r="I582">
        <v>31643.72</v>
      </c>
      <c r="J582">
        <v>55113.919999999998</v>
      </c>
      <c r="K582">
        <v>97639.42</v>
      </c>
      <c r="L582">
        <v>178670.85</v>
      </c>
      <c r="M582">
        <v>2019</v>
      </c>
      <c r="N582">
        <v>2.5999999999999999E-2</v>
      </c>
      <c r="O582">
        <v>0.37869999999999998</v>
      </c>
      <c r="P582">
        <v>0.54649999999999999</v>
      </c>
      <c r="Q582" t="s">
        <v>24</v>
      </c>
      <c r="R582">
        <v>2025</v>
      </c>
      <c r="S582" t="s">
        <v>40</v>
      </c>
    </row>
    <row r="583" spans="1:19" x14ac:dyDescent="0.3">
      <c r="A583" t="s">
        <v>657</v>
      </c>
      <c r="B583" s="1">
        <v>44924</v>
      </c>
      <c r="C583" t="s">
        <v>27</v>
      </c>
      <c r="D583" t="s">
        <v>28</v>
      </c>
      <c r="E583" t="s">
        <v>51</v>
      </c>
      <c r="F583" t="s">
        <v>23</v>
      </c>
      <c r="G583">
        <v>144060.68</v>
      </c>
      <c r="H583">
        <v>126782.3</v>
      </c>
      <c r="I583">
        <v>17278.38</v>
      </c>
      <c r="J583">
        <v>85278.82</v>
      </c>
      <c r="K583">
        <v>28286.15</v>
      </c>
      <c r="L583">
        <v>307137.02</v>
      </c>
      <c r="M583">
        <v>796</v>
      </c>
      <c r="N583">
        <v>0.10059999999999999</v>
      </c>
      <c r="O583">
        <v>0.11990000000000001</v>
      </c>
      <c r="P583">
        <v>9.2100000000000001E-2</v>
      </c>
      <c r="Q583" t="s">
        <v>46</v>
      </c>
      <c r="R583">
        <v>2022</v>
      </c>
      <c r="S583" t="s">
        <v>25</v>
      </c>
    </row>
    <row r="584" spans="1:19" x14ac:dyDescent="0.3">
      <c r="A584" t="s">
        <v>658</v>
      </c>
      <c r="B584" s="1">
        <v>45164</v>
      </c>
      <c r="C584" t="s">
        <v>102</v>
      </c>
      <c r="D584" t="s">
        <v>103</v>
      </c>
      <c r="E584" t="s">
        <v>32</v>
      </c>
      <c r="F584" t="s">
        <v>33</v>
      </c>
      <c r="G584">
        <v>39053.4</v>
      </c>
      <c r="H584">
        <v>27879.9</v>
      </c>
      <c r="I584">
        <v>11173.5</v>
      </c>
      <c r="J584">
        <v>42249.8</v>
      </c>
      <c r="K584">
        <v>67807.199999999997</v>
      </c>
      <c r="L584">
        <v>111990.99</v>
      </c>
      <c r="M584">
        <v>1294</v>
      </c>
      <c r="N584">
        <v>1.8E-3</v>
      </c>
      <c r="O584">
        <v>0.28610000000000002</v>
      </c>
      <c r="P584">
        <v>0.60550000000000004</v>
      </c>
      <c r="Q584" t="s">
        <v>56</v>
      </c>
      <c r="R584">
        <v>2023</v>
      </c>
      <c r="S584" t="s">
        <v>82</v>
      </c>
    </row>
    <row r="585" spans="1:19" x14ac:dyDescent="0.3">
      <c r="A585" t="s">
        <v>659</v>
      </c>
      <c r="B585" s="1">
        <v>44815</v>
      </c>
      <c r="C585" t="s">
        <v>48</v>
      </c>
      <c r="D585" t="s">
        <v>49</v>
      </c>
      <c r="E585" t="s">
        <v>32</v>
      </c>
      <c r="F585" t="s">
        <v>33</v>
      </c>
      <c r="G585">
        <v>91315.8</v>
      </c>
      <c r="H585">
        <v>52242.87</v>
      </c>
      <c r="I585">
        <v>39072.93</v>
      </c>
      <c r="J585">
        <v>27175.73</v>
      </c>
      <c r="K585">
        <v>20731.63</v>
      </c>
      <c r="L585">
        <v>131515.62</v>
      </c>
      <c r="M585">
        <v>951</v>
      </c>
      <c r="N585">
        <v>-0.1389</v>
      </c>
      <c r="O585">
        <v>0.4279</v>
      </c>
      <c r="P585">
        <v>0.15759999999999999</v>
      </c>
      <c r="Q585" t="s">
        <v>76</v>
      </c>
      <c r="R585">
        <v>2022</v>
      </c>
      <c r="S585" t="s">
        <v>25</v>
      </c>
    </row>
    <row r="586" spans="1:19" x14ac:dyDescent="0.3">
      <c r="A586" t="s">
        <v>660</v>
      </c>
      <c r="B586" s="1">
        <v>45917</v>
      </c>
      <c r="C586" t="s">
        <v>78</v>
      </c>
      <c r="D586" t="s">
        <v>79</v>
      </c>
      <c r="E586" t="s">
        <v>22</v>
      </c>
      <c r="F586" t="s">
        <v>23</v>
      </c>
      <c r="G586">
        <v>61925.14</v>
      </c>
      <c r="H586">
        <v>41184.720000000001</v>
      </c>
      <c r="I586">
        <v>20740.419999999998</v>
      </c>
      <c r="J586">
        <v>28323.88</v>
      </c>
      <c r="K586">
        <v>33363.5</v>
      </c>
      <c r="L586">
        <v>107800.93</v>
      </c>
      <c r="M586">
        <v>1301</v>
      </c>
      <c r="N586">
        <v>5.8999999999999997E-2</v>
      </c>
      <c r="O586">
        <v>0.33489999999999998</v>
      </c>
      <c r="P586">
        <v>0.3095</v>
      </c>
      <c r="Q586" t="s">
        <v>24</v>
      </c>
      <c r="R586">
        <v>2025</v>
      </c>
      <c r="S586" t="s">
        <v>40</v>
      </c>
    </row>
    <row r="587" spans="1:19" x14ac:dyDescent="0.3">
      <c r="A587" t="s">
        <v>661</v>
      </c>
      <c r="B587" s="1">
        <v>46012</v>
      </c>
      <c r="C587" t="s">
        <v>85</v>
      </c>
      <c r="D587" t="s">
        <v>86</v>
      </c>
      <c r="E587" t="s">
        <v>51</v>
      </c>
      <c r="F587" t="s">
        <v>23</v>
      </c>
      <c r="G587">
        <v>56640.67</v>
      </c>
      <c r="H587">
        <v>43448.88</v>
      </c>
      <c r="I587">
        <v>13191.79</v>
      </c>
      <c r="J587">
        <v>17857.03</v>
      </c>
      <c r="K587">
        <v>34022.75</v>
      </c>
      <c r="L587">
        <v>58810.58</v>
      </c>
      <c r="M587">
        <v>1613</v>
      </c>
      <c r="N587">
        <v>-2.87E-2</v>
      </c>
      <c r="O587">
        <v>0.2329</v>
      </c>
      <c r="P587">
        <v>0.57850000000000001</v>
      </c>
      <c r="Q587" t="s">
        <v>66</v>
      </c>
      <c r="R587">
        <v>2025</v>
      </c>
      <c r="S587" t="s">
        <v>40</v>
      </c>
    </row>
    <row r="588" spans="1:19" x14ac:dyDescent="0.3">
      <c r="A588" t="s">
        <v>662</v>
      </c>
      <c r="B588" s="1">
        <v>44976</v>
      </c>
      <c r="C588" t="s">
        <v>61</v>
      </c>
      <c r="D588" t="s">
        <v>74</v>
      </c>
      <c r="E588" t="s">
        <v>144</v>
      </c>
      <c r="F588" t="s">
        <v>23</v>
      </c>
      <c r="G588">
        <v>199466.89</v>
      </c>
      <c r="H588">
        <v>151194.62</v>
      </c>
      <c r="I588">
        <v>48272.27</v>
      </c>
      <c r="J588">
        <v>34883.599999999999</v>
      </c>
      <c r="K588">
        <v>12150.53</v>
      </c>
      <c r="L588">
        <v>101183.48</v>
      </c>
      <c r="M588">
        <v>932</v>
      </c>
      <c r="N588">
        <v>-7.0199999999999999E-2</v>
      </c>
      <c r="O588">
        <v>0.24199999999999999</v>
      </c>
      <c r="P588">
        <v>0.1201</v>
      </c>
      <c r="Q588" t="s">
        <v>118</v>
      </c>
      <c r="R588">
        <v>2023</v>
      </c>
      <c r="S588" t="s">
        <v>25</v>
      </c>
    </row>
    <row r="589" spans="1:19" x14ac:dyDescent="0.3">
      <c r="A589" t="s">
        <v>663</v>
      </c>
      <c r="B589" s="1">
        <v>45964</v>
      </c>
      <c r="C589" t="s">
        <v>85</v>
      </c>
      <c r="D589" t="s">
        <v>86</v>
      </c>
      <c r="E589" t="s">
        <v>38</v>
      </c>
      <c r="F589" t="s">
        <v>23</v>
      </c>
      <c r="G589">
        <v>35735.46</v>
      </c>
      <c r="H589">
        <v>21558.53</v>
      </c>
      <c r="I589">
        <v>14176.93</v>
      </c>
      <c r="J589">
        <v>49055.93</v>
      </c>
      <c r="K589">
        <v>6851.41</v>
      </c>
      <c r="L589">
        <v>88484.63</v>
      </c>
      <c r="M589">
        <v>702</v>
      </c>
      <c r="N589">
        <v>1.9400000000000001E-2</v>
      </c>
      <c r="O589">
        <v>0.3967</v>
      </c>
      <c r="P589">
        <v>7.7399999999999997E-2</v>
      </c>
      <c r="Q589" t="s">
        <v>66</v>
      </c>
      <c r="R589">
        <v>2025</v>
      </c>
      <c r="S589" t="s">
        <v>25</v>
      </c>
    </row>
    <row r="590" spans="1:19" x14ac:dyDescent="0.3">
      <c r="A590" t="s">
        <v>664</v>
      </c>
      <c r="B590" s="1">
        <v>44879</v>
      </c>
      <c r="C590" t="s">
        <v>61</v>
      </c>
      <c r="D590" t="s">
        <v>74</v>
      </c>
      <c r="E590" t="s">
        <v>144</v>
      </c>
      <c r="F590" t="s">
        <v>33</v>
      </c>
      <c r="G590">
        <v>379288.32000000001</v>
      </c>
      <c r="H590">
        <v>217376.78</v>
      </c>
      <c r="I590">
        <v>161911.54</v>
      </c>
      <c r="J590">
        <v>32382.47</v>
      </c>
      <c r="K590">
        <v>12805.18</v>
      </c>
      <c r="L590">
        <v>138372.4</v>
      </c>
      <c r="M590">
        <v>1232</v>
      </c>
      <c r="N590">
        <v>3.6400000000000002E-2</v>
      </c>
      <c r="O590">
        <v>0.4269</v>
      </c>
      <c r="P590">
        <v>9.2499999999999999E-2</v>
      </c>
      <c r="Q590" t="s">
        <v>46</v>
      </c>
      <c r="R590">
        <v>2022</v>
      </c>
      <c r="S590" t="s">
        <v>25</v>
      </c>
    </row>
    <row r="591" spans="1:19" x14ac:dyDescent="0.3">
      <c r="A591" t="s">
        <v>665</v>
      </c>
      <c r="B591" s="1">
        <v>45413</v>
      </c>
      <c r="C591" t="s">
        <v>54</v>
      </c>
      <c r="D591" t="s">
        <v>55</v>
      </c>
      <c r="E591" t="s">
        <v>38</v>
      </c>
      <c r="F591" t="s">
        <v>23</v>
      </c>
      <c r="G591">
        <v>122320.58</v>
      </c>
      <c r="H591">
        <v>83415.94</v>
      </c>
      <c r="I591">
        <v>38904.639999999999</v>
      </c>
      <c r="J591">
        <v>45181.47</v>
      </c>
      <c r="K591">
        <v>13190.63</v>
      </c>
      <c r="L591">
        <v>147868.21</v>
      </c>
      <c r="M591">
        <v>1689</v>
      </c>
      <c r="N591">
        <v>-8.0999999999999996E-3</v>
      </c>
      <c r="O591">
        <v>0.31809999999999999</v>
      </c>
      <c r="P591">
        <v>8.9200000000000002E-2</v>
      </c>
      <c r="Q591" t="s">
        <v>111</v>
      </c>
      <c r="R591">
        <v>2024</v>
      </c>
      <c r="S591" t="s">
        <v>25</v>
      </c>
    </row>
    <row r="592" spans="1:19" x14ac:dyDescent="0.3">
      <c r="A592" t="s">
        <v>666</v>
      </c>
      <c r="B592" s="1">
        <v>45875</v>
      </c>
      <c r="C592" t="s">
        <v>78</v>
      </c>
      <c r="D592" t="s">
        <v>79</v>
      </c>
      <c r="E592" t="s">
        <v>22</v>
      </c>
      <c r="F592" t="s">
        <v>23</v>
      </c>
      <c r="G592">
        <v>112066.9</v>
      </c>
      <c r="H592">
        <v>84031.05</v>
      </c>
      <c r="I592">
        <v>28035.85</v>
      </c>
      <c r="J592">
        <v>85485.81</v>
      </c>
      <c r="K592">
        <v>52843.56</v>
      </c>
      <c r="L592">
        <v>205363.45</v>
      </c>
      <c r="M592">
        <v>469</v>
      </c>
      <c r="N592">
        <v>0.11</v>
      </c>
      <c r="O592">
        <v>0.25019999999999998</v>
      </c>
      <c r="P592">
        <v>0.25729999999999997</v>
      </c>
      <c r="Q592" t="s">
        <v>24</v>
      </c>
      <c r="R592">
        <v>2025</v>
      </c>
      <c r="S592" t="s">
        <v>25</v>
      </c>
    </row>
    <row r="593" spans="1:19" x14ac:dyDescent="0.3">
      <c r="A593" t="s">
        <v>667</v>
      </c>
      <c r="B593" s="1">
        <v>45345</v>
      </c>
      <c r="C593" t="s">
        <v>30</v>
      </c>
      <c r="D593" t="s">
        <v>31</v>
      </c>
      <c r="E593" t="s">
        <v>51</v>
      </c>
      <c r="F593" t="s">
        <v>23</v>
      </c>
      <c r="G593">
        <v>111221.01</v>
      </c>
      <c r="H593">
        <v>76957.75</v>
      </c>
      <c r="I593">
        <v>34263.26</v>
      </c>
      <c r="J593">
        <v>32575.34</v>
      </c>
      <c r="K593">
        <v>102610.05</v>
      </c>
      <c r="L593">
        <v>71055.98</v>
      </c>
      <c r="M593">
        <v>440</v>
      </c>
      <c r="N593">
        <v>7.1300000000000002E-2</v>
      </c>
      <c r="O593">
        <v>0.30809999999999998</v>
      </c>
      <c r="P593">
        <v>1.4440999999999999</v>
      </c>
      <c r="Q593" t="s">
        <v>80</v>
      </c>
      <c r="R593">
        <v>2024</v>
      </c>
      <c r="S593" t="s">
        <v>82</v>
      </c>
    </row>
    <row r="594" spans="1:19" x14ac:dyDescent="0.3">
      <c r="A594" t="s">
        <v>668</v>
      </c>
      <c r="B594" s="1">
        <v>45350</v>
      </c>
      <c r="C594" t="s">
        <v>20</v>
      </c>
      <c r="D594" t="s">
        <v>21</v>
      </c>
      <c r="E594" t="s">
        <v>38</v>
      </c>
      <c r="F594" t="s">
        <v>23</v>
      </c>
      <c r="G594">
        <v>59198.07</v>
      </c>
      <c r="H594">
        <v>33124.9</v>
      </c>
      <c r="I594">
        <v>26073.17</v>
      </c>
      <c r="J594">
        <v>17051.919999999998</v>
      </c>
      <c r="K594">
        <v>46692.160000000003</v>
      </c>
      <c r="L594">
        <v>52908.21</v>
      </c>
      <c r="M594">
        <v>793</v>
      </c>
      <c r="N594">
        <v>8.8999999999999999E-3</v>
      </c>
      <c r="O594">
        <v>0.44040000000000001</v>
      </c>
      <c r="P594">
        <v>0.88249999999999995</v>
      </c>
      <c r="Q594" t="s">
        <v>80</v>
      </c>
      <c r="R594">
        <v>2024</v>
      </c>
      <c r="S594" t="s">
        <v>82</v>
      </c>
    </row>
    <row r="595" spans="1:19" x14ac:dyDescent="0.3">
      <c r="A595" t="s">
        <v>669</v>
      </c>
      <c r="B595" s="1">
        <v>45805</v>
      </c>
      <c r="C595" t="s">
        <v>36</v>
      </c>
      <c r="D595" t="s">
        <v>480</v>
      </c>
      <c r="E595" t="s">
        <v>22</v>
      </c>
      <c r="F595" t="s">
        <v>23</v>
      </c>
      <c r="G595">
        <v>58742.14</v>
      </c>
      <c r="H595">
        <v>49323.07</v>
      </c>
      <c r="I595">
        <v>9419.07</v>
      </c>
      <c r="J595">
        <v>36190.120000000003</v>
      </c>
      <c r="K595">
        <v>36831.449999999997</v>
      </c>
      <c r="L595">
        <v>120326.07</v>
      </c>
      <c r="M595">
        <v>440</v>
      </c>
      <c r="N595">
        <v>1.38E-2</v>
      </c>
      <c r="O595">
        <v>0.1603</v>
      </c>
      <c r="P595">
        <v>0.30609999999999998</v>
      </c>
      <c r="Q595" t="s">
        <v>34</v>
      </c>
      <c r="R595">
        <v>2025</v>
      </c>
      <c r="S595" t="s">
        <v>40</v>
      </c>
    </row>
    <row r="596" spans="1:19" x14ac:dyDescent="0.3">
      <c r="A596" t="s">
        <v>670</v>
      </c>
      <c r="B596" s="1">
        <v>45898</v>
      </c>
      <c r="C596" t="s">
        <v>68</v>
      </c>
      <c r="D596" t="s">
        <v>69</v>
      </c>
      <c r="E596" t="s">
        <v>38</v>
      </c>
      <c r="F596" t="s">
        <v>23</v>
      </c>
      <c r="G596">
        <v>54773.68</v>
      </c>
      <c r="H596">
        <v>34417.879999999997</v>
      </c>
      <c r="I596">
        <v>20355.8</v>
      </c>
      <c r="J596">
        <v>22233.15</v>
      </c>
      <c r="K596">
        <v>16995.759999999998</v>
      </c>
      <c r="L596">
        <v>111761.48</v>
      </c>
      <c r="M596">
        <v>1429</v>
      </c>
      <c r="N596">
        <v>-2.06E-2</v>
      </c>
      <c r="O596">
        <v>0.37159999999999999</v>
      </c>
      <c r="P596">
        <v>0.15210000000000001</v>
      </c>
      <c r="Q596" t="s">
        <v>24</v>
      </c>
      <c r="R596">
        <v>2025</v>
      </c>
      <c r="S596" t="s">
        <v>25</v>
      </c>
    </row>
    <row r="597" spans="1:19" x14ac:dyDescent="0.3">
      <c r="A597" t="s">
        <v>671</v>
      </c>
      <c r="B597" s="1">
        <v>45276</v>
      </c>
      <c r="C597" t="s">
        <v>68</v>
      </c>
      <c r="D597" t="s">
        <v>69</v>
      </c>
      <c r="E597" t="s">
        <v>38</v>
      </c>
      <c r="F597" t="s">
        <v>23</v>
      </c>
      <c r="G597">
        <v>67454.880000000005</v>
      </c>
      <c r="H597">
        <v>53805.16</v>
      </c>
      <c r="I597">
        <v>13649.72</v>
      </c>
      <c r="J597">
        <v>28340.04</v>
      </c>
      <c r="K597">
        <v>24792.43</v>
      </c>
      <c r="L597">
        <v>154141.70000000001</v>
      </c>
      <c r="M597">
        <v>518</v>
      </c>
      <c r="N597">
        <v>4.1500000000000002E-2</v>
      </c>
      <c r="O597">
        <v>0.2024</v>
      </c>
      <c r="P597">
        <v>0.1608</v>
      </c>
      <c r="Q597" t="s">
        <v>44</v>
      </c>
      <c r="R597">
        <v>2023</v>
      </c>
      <c r="S597" t="s">
        <v>25</v>
      </c>
    </row>
    <row r="598" spans="1:19" x14ac:dyDescent="0.3">
      <c r="A598" t="s">
        <v>672</v>
      </c>
      <c r="B598" s="1">
        <v>45359</v>
      </c>
      <c r="C598" t="s">
        <v>48</v>
      </c>
      <c r="D598" t="s">
        <v>49</v>
      </c>
      <c r="E598" t="s">
        <v>32</v>
      </c>
      <c r="F598" t="s">
        <v>33</v>
      </c>
      <c r="G598">
        <v>41562.910000000003</v>
      </c>
      <c r="H598">
        <v>31458.16</v>
      </c>
      <c r="I598">
        <v>10104.75</v>
      </c>
      <c r="J598">
        <v>32610.61</v>
      </c>
      <c r="K598">
        <v>10571.09</v>
      </c>
      <c r="L598">
        <v>92896.63</v>
      </c>
      <c r="M598">
        <v>376</v>
      </c>
      <c r="N598">
        <v>-4.0599999999999997E-2</v>
      </c>
      <c r="O598">
        <v>0.24310000000000001</v>
      </c>
      <c r="P598">
        <v>0.1138</v>
      </c>
      <c r="Q598" t="s">
        <v>80</v>
      </c>
      <c r="R598">
        <v>2024</v>
      </c>
      <c r="S598" t="s">
        <v>25</v>
      </c>
    </row>
    <row r="599" spans="1:19" x14ac:dyDescent="0.3">
      <c r="A599" t="s">
        <v>673</v>
      </c>
      <c r="B599" s="1">
        <v>45637</v>
      </c>
      <c r="C599" t="s">
        <v>27</v>
      </c>
      <c r="D599" t="s">
        <v>28</v>
      </c>
      <c r="E599" t="s">
        <v>32</v>
      </c>
      <c r="F599" t="s">
        <v>33</v>
      </c>
      <c r="G599">
        <v>97332.36</v>
      </c>
      <c r="H599">
        <v>53590.46</v>
      </c>
      <c r="I599">
        <v>43741.9</v>
      </c>
      <c r="J599">
        <v>9650.01</v>
      </c>
      <c r="K599">
        <v>44489.78</v>
      </c>
      <c r="L599">
        <v>55446.91</v>
      </c>
      <c r="M599">
        <v>1921</v>
      </c>
      <c r="N599">
        <v>0.1201</v>
      </c>
      <c r="O599">
        <v>0.44940000000000002</v>
      </c>
      <c r="P599">
        <v>0.8024</v>
      </c>
      <c r="Q599" t="s">
        <v>52</v>
      </c>
      <c r="R599">
        <v>2024</v>
      </c>
      <c r="S599" t="s">
        <v>82</v>
      </c>
    </row>
    <row r="600" spans="1:19" x14ac:dyDescent="0.3">
      <c r="A600" t="s">
        <v>674</v>
      </c>
      <c r="B600" s="1">
        <v>45591</v>
      </c>
      <c r="C600" t="s">
        <v>68</v>
      </c>
      <c r="D600" t="s">
        <v>69</v>
      </c>
      <c r="E600" t="s">
        <v>32</v>
      </c>
      <c r="F600" t="s">
        <v>33</v>
      </c>
      <c r="G600">
        <v>104536.76</v>
      </c>
      <c r="H600">
        <v>72443.05</v>
      </c>
      <c r="I600">
        <v>32093.71</v>
      </c>
      <c r="J600">
        <v>115960.06</v>
      </c>
      <c r="K600">
        <v>93250.1</v>
      </c>
      <c r="L600">
        <v>129369.17</v>
      </c>
      <c r="M600">
        <v>1104</v>
      </c>
      <c r="N600">
        <v>2.7E-2</v>
      </c>
      <c r="O600">
        <v>0.307</v>
      </c>
      <c r="P600">
        <v>0.7208</v>
      </c>
      <c r="Q600" t="s">
        <v>52</v>
      </c>
      <c r="R600">
        <v>2024</v>
      </c>
      <c r="S600" t="s">
        <v>82</v>
      </c>
    </row>
    <row r="601" spans="1:19" x14ac:dyDescent="0.3">
      <c r="A601" t="s">
        <v>675</v>
      </c>
      <c r="B601" s="1">
        <v>45081</v>
      </c>
      <c r="C601" t="s">
        <v>42</v>
      </c>
      <c r="D601" t="s">
        <v>43</v>
      </c>
      <c r="E601" t="s">
        <v>32</v>
      </c>
      <c r="F601" t="s">
        <v>33</v>
      </c>
      <c r="G601">
        <v>139335.19</v>
      </c>
      <c r="H601">
        <v>125193.37</v>
      </c>
      <c r="I601">
        <v>14141.82</v>
      </c>
      <c r="J601">
        <v>37247.85</v>
      </c>
      <c r="K601">
        <v>20027.240000000002</v>
      </c>
      <c r="L601">
        <v>107535.86</v>
      </c>
      <c r="M601">
        <v>594</v>
      </c>
      <c r="N601">
        <v>0.13980000000000001</v>
      </c>
      <c r="O601">
        <v>0.10150000000000001</v>
      </c>
      <c r="P601">
        <v>0.1862</v>
      </c>
      <c r="Q601" t="s">
        <v>39</v>
      </c>
      <c r="R601">
        <v>2023</v>
      </c>
      <c r="S601" t="s">
        <v>25</v>
      </c>
    </row>
    <row r="602" spans="1:19" x14ac:dyDescent="0.3">
      <c r="A602" t="s">
        <v>676</v>
      </c>
      <c r="B602" s="1">
        <v>45291</v>
      </c>
      <c r="C602" t="s">
        <v>54</v>
      </c>
      <c r="D602" t="s">
        <v>55</v>
      </c>
      <c r="E602" t="s">
        <v>116</v>
      </c>
      <c r="F602" t="s">
        <v>23</v>
      </c>
      <c r="G602">
        <v>45233.34</v>
      </c>
      <c r="H602">
        <v>27844.27</v>
      </c>
      <c r="I602">
        <v>17389.07</v>
      </c>
      <c r="J602">
        <v>13357.47</v>
      </c>
      <c r="K602">
        <v>55683.42</v>
      </c>
      <c r="L602">
        <v>201461.33</v>
      </c>
      <c r="M602">
        <v>301</v>
      </c>
      <c r="N602">
        <v>-1.84E-2</v>
      </c>
      <c r="O602">
        <v>0.38440000000000002</v>
      </c>
      <c r="P602">
        <v>0.27639999999999998</v>
      </c>
      <c r="Q602" t="s">
        <v>44</v>
      </c>
      <c r="R602">
        <v>2023</v>
      </c>
      <c r="S602" t="s">
        <v>25</v>
      </c>
    </row>
    <row r="603" spans="1:19" x14ac:dyDescent="0.3">
      <c r="A603" t="s">
        <v>677</v>
      </c>
      <c r="B603" s="1">
        <v>45038</v>
      </c>
      <c r="C603" t="s">
        <v>36</v>
      </c>
      <c r="D603" t="s">
        <v>37</v>
      </c>
      <c r="E603" t="s">
        <v>38</v>
      </c>
      <c r="F603" t="s">
        <v>23</v>
      </c>
      <c r="G603">
        <v>67593.47</v>
      </c>
      <c r="H603">
        <v>50948.95</v>
      </c>
      <c r="I603">
        <v>16644.52</v>
      </c>
      <c r="J603">
        <v>62021.81</v>
      </c>
      <c r="K603">
        <v>3390.55</v>
      </c>
      <c r="L603">
        <v>343176.24</v>
      </c>
      <c r="M603">
        <v>1260</v>
      </c>
      <c r="N603">
        <v>-3.2899999999999999E-2</v>
      </c>
      <c r="O603">
        <v>0.2462</v>
      </c>
      <c r="P603">
        <v>9.9000000000000008E-3</v>
      </c>
      <c r="Q603" t="s">
        <v>39</v>
      </c>
      <c r="R603">
        <v>2023</v>
      </c>
      <c r="S603" t="s">
        <v>25</v>
      </c>
    </row>
    <row r="604" spans="1:19" x14ac:dyDescent="0.3">
      <c r="A604" t="s">
        <v>678</v>
      </c>
      <c r="B604" s="1">
        <v>45116</v>
      </c>
      <c r="C604" t="s">
        <v>42</v>
      </c>
      <c r="D604" t="s">
        <v>43</v>
      </c>
      <c r="E604" t="s">
        <v>51</v>
      </c>
      <c r="F604" t="s">
        <v>23</v>
      </c>
      <c r="G604">
        <v>49657.84</v>
      </c>
      <c r="H604">
        <v>39673.910000000003</v>
      </c>
      <c r="I604">
        <v>9983.93</v>
      </c>
      <c r="J604">
        <v>36288.089999999997</v>
      </c>
      <c r="K604">
        <v>140544.73000000001</v>
      </c>
      <c r="L604">
        <v>116280.07</v>
      </c>
      <c r="M604">
        <v>444</v>
      </c>
      <c r="N604">
        <v>0.14649999999999999</v>
      </c>
      <c r="O604">
        <v>0.2011</v>
      </c>
      <c r="P604">
        <v>1.2087000000000001</v>
      </c>
      <c r="Q604" t="s">
        <v>56</v>
      </c>
      <c r="R604">
        <v>2023</v>
      </c>
      <c r="S604" t="s">
        <v>82</v>
      </c>
    </row>
    <row r="605" spans="1:19" x14ac:dyDescent="0.3">
      <c r="A605" t="s">
        <v>679</v>
      </c>
      <c r="B605" s="1">
        <v>44737</v>
      </c>
      <c r="C605" t="s">
        <v>102</v>
      </c>
      <c r="D605" t="s">
        <v>103</v>
      </c>
      <c r="E605" t="s">
        <v>22</v>
      </c>
      <c r="F605" t="s">
        <v>23</v>
      </c>
      <c r="G605">
        <v>294606.64</v>
      </c>
      <c r="H605">
        <v>247000.78</v>
      </c>
      <c r="I605">
        <v>47605.86</v>
      </c>
      <c r="J605">
        <v>41859.99</v>
      </c>
      <c r="K605">
        <v>20055.79</v>
      </c>
      <c r="L605">
        <v>94042.32</v>
      </c>
      <c r="M605">
        <v>1578</v>
      </c>
      <c r="N605">
        <v>-4.9700000000000001E-2</v>
      </c>
      <c r="O605">
        <v>0.16159999999999999</v>
      </c>
      <c r="P605">
        <v>0.21329999999999999</v>
      </c>
      <c r="Q605" t="s">
        <v>58</v>
      </c>
      <c r="R605">
        <v>2022</v>
      </c>
      <c r="S605" t="s">
        <v>25</v>
      </c>
    </row>
    <row r="606" spans="1:19" x14ac:dyDescent="0.3">
      <c r="A606" t="s">
        <v>680</v>
      </c>
      <c r="B606" s="1">
        <v>45726</v>
      </c>
      <c r="C606" t="s">
        <v>20</v>
      </c>
      <c r="D606" t="s">
        <v>21</v>
      </c>
      <c r="E606" t="s">
        <v>32</v>
      </c>
      <c r="F606" t="s">
        <v>33</v>
      </c>
      <c r="G606">
        <v>308061.25</v>
      </c>
      <c r="H606">
        <v>207959.69</v>
      </c>
      <c r="I606">
        <v>100101.56</v>
      </c>
      <c r="J606">
        <v>43223.87</v>
      </c>
      <c r="K606">
        <v>31067.93</v>
      </c>
      <c r="L606">
        <v>155461.42000000001</v>
      </c>
      <c r="M606">
        <v>857</v>
      </c>
      <c r="N606">
        <v>-5.3199999999999997E-2</v>
      </c>
      <c r="O606">
        <v>0.32490000000000002</v>
      </c>
      <c r="P606">
        <v>0.19980000000000001</v>
      </c>
      <c r="Q606" t="s">
        <v>106</v>
      </c>
      <c r="R606">
        <v>2025</v>
      </c>
      <c r="S606" t="s">
        <v>25</v>
      </c>
    </row>
    <row r="607" spans="1:19" x14ac:dyDescent="0.3">
      <c r="A607" t="s">
        <v>681</v>
      </c>
      <c r="B607" s="1">
        <v>45372</v>
      </c>
      <c r="C607" t="s">
        <v>85</v>
      </c>
      <c r="D607" t="s">
        <v>86</v>
      </c>
      <c r="E607" t="s">
        <v>38</v>
      </c>
      <c r="F607" t="s">
        <v>23</v>
      </c>
      <c r="G607">
        <v>137562.97</v>
      </c>
      <c r="H607">
        <v>89283.5</v>
      </c>
      <c r="I607">
        <v>48279.47</v>
      </c>
      <c r="J607">
        <v>32555.02</v>
      </c>
      <c r="K607">
        <v>54278.33</v>
      </c>
      <c r="L607">
        <v>84213.74</v>
      </c>
      <c r="M607">
        <v>1032</v>
      </c>
      <c r="N607">
        <v>5.96E-2</v>
      </c>
      <c r="O607">
        <v>0.35099999999999998</v>
      </c>
      <c r="P607">
        <v>0.64449999999999996</v>
      </c>
      <c r="Q607" t="s">
        <v>80</v>
      </c>
      <c r="R607">
        <v>2024</v>
      </c>
      <c r="S607" t="s">
        <v>82</v>
      </c>
    </row>
    <row r="608" spans="1:19" x14ac:dyDescent="0.3">
      <c r="A608" t="s">
        <v>682</v>
      </c>
      <c r="B608" s="1">
        <v>45472</v>
      </c>
      <c r="C608" t="s">
        <v>68</v>
      </c>
      <c r="D608" t="s">
        <v>69</v>
      </c>
      <c r="E608" t="s">
        <v>32</v>
      </c>
      <c r="F608" t="s">
        <v>33</v>
      </c>
      <c r="G608">
        <v>56353.81</v>
      </c>
      <c r="H608">
        <v>34712.97</v>
      </c>
      <c r="I608">
        <v>21640.84</v>
      </c>
      <c r="J608">
        <v>58164.800000000003</v>
      </c>
      <c r="K608">
        <v>18519.75</v>
      </c>
      <c r="L608">
        <v>77852.740000000005</v>
      </c>
      <c r="M608">
        <v>621</v>
      </c>
      <c r="N608">
        <v>-7.4999999999999997E-2</v>
      </c>
      <c r="O608">
        <v>0.38400000000000001</v>
      </c>
      <c r="P608">
        <v>0.2379</v>
      </c>
      <c r="Q608" t="s">
        <v>111</v>
      </c>
      <c r="R608">
        <v>2024</v>
      </c>
      <c r="S608" t="s">
        <v>25</v>
      </c>
    </row>
    <row r="609" spans="1:19" x14ac:dyDescent="0.3">
      <c r="A609" t="s">
        <v>683</v>
      </c>
      <c r="B609" s="1">
        <v>45650</v>
      </c>
      <c r="C609" t="s">
        <v>61</v>
      </c>
      <c r="E609" t="s">
        <v>22</v>
      </c>
      <c r="F609" t="s">
        <v>23</v>
      </c>
      <c r="G609">
        <v>25398.54</v>
      </c>
      <c r="H609">
        <v>17227.47</v>
      </c>
      <c r="I609">
        <v>8171.07</v>
      </c>
      <c r="J609">
        <v>135376.24</v>
      </c>
      <c r="K609">
        <v>38909.14</v>
      </c>
      <c r="L609">
        <v>209734.39999999999</v>
      </c>
      <c r="M609">
        <v>636</v>
      </c>
      <c r="N609">
        <v>9.7699999999999995E-2</v>
      </c>
      <c r="O609">
        <v>0.32169999999999999</v>
      </c>
      <c r="P609">
        <v>0.1855</v>
      </c>
      <c r="Q609" t="s">
        <v>52</v>
      </c>
      <c r="R609">
        <v>2024</v>
      </c>
      <c r="S609" t="s">
        <v>25</v>
      </c>
    </row>
    <row r="610" spans="1:19" x14ac:dyDescent="0.3">
      <c r="A610" t="s">
        <v>684</v>
      </c>
      <c r="B610" s="1">
        <v>45871</v>
      </c>
      <c r="C610" t="s">
        <v>85</v>
      </c>
      <c r="D610" t="s">
        <v>86</v>
      </c>
      <c r="E610" t="s">
        <v>32</v>
      </c>
      <c r="F610" t="s">
        <v>33</v>
      </c>
      <c r="G610">
        <v>129610.96</v>
      </c>
      <c r="H610">
        <v>113166.57</v>
      </c>
      <c r="I610">
        <v>16444.39</v>
      </c>
      <c r="J610">
        <v>12965.13</v>
      </c>
      <c r="K610">
        <v>126967.89</v>
      </c>
      <c r="L610">
        <v>170207.63</v>
      </c>
      <c r="M610">
        <v>1452</v>
      </c>
      <c r="N610">
        <v>1.4999999999999999E-2</v>
      </c>
      <c r="O610">
        <v>0.12690000000000001</v>
      </c>
      <c r="P610">
        <v>0.746</v>
      </c>
      <c r="Q610" t="s">
        <v>24</v>
      </c>
      <c r="R610">
        <v>2025</v>
      </c>
      <c r="S610" t="s">
        <v>82</v>
      </c>
    </row>
    <row r="611" spans="1:19" x14ac:dyDescent="0.3">
      <c r="A611" t="s">
        <v>685</v>
      </c>
      <c r="B611" s="1">
        <v>44882</v>
      </c>
      <c r="C611" t="s">
        <v>68</v>
      </c>
      <c r="D611" t="s">
        <v>69</v>
      </c>
      <c r="E611" t="s">
        <v>32</v>
      </c>
      <c r="F611" t="s">
        <v>33</v>
      </c>
      <c r="G611">
        <v>102184.63</v>
      </c>
      <c r="H611">
        <v>67898.25</v>
      </c>
      <c r="I611">
        <v>34286.379999999997</v>
      </c>
      <c r="J611">
        <v>25240.71</v>
      </c>
      <c r="K611">
        <v>8296.66</v>
      </c>
      <c r="L611">
        <v>48464.28</v>
      </c>
      <c r="M611">
        <v>633</v>
      </c>
      <c r="N611">
        <v>1.5900000000000001E-2</v>
      </c>
      <c r="O611">
        <v>0.33550000000000002</v>
      </c>
      <c r="P611">
        <v>0.17119999999999999</v>
      </c>
      <c r="Q611" t="s">
        <v>46</v>
      </c>
      <c r="R611">
        <v>2022</v>
      </c>
      <c r="S611" t="s">
        <v>25</v>
      </c>
    </row>
    <row r="612" spans="1:19" x14ac:dyDescent="0.3">
      <c r="A612" t="s">
        <v>686</v>
      </c>
      <c r="B612" s="1">
        <v>45277</v>
      </c>
      <c r="C612" t="s">
        <v>54</v>
      </c>
      <c r="E612" t="s">
        <v>22</v>
      </c>
      <c r="F612" t="s">
        <v>23</v>
      </c>
      <c r="G612">
        <v>142554.76</v>
      </c>
      <c r="H612">
        <v>108041.47</v>
      </c>
      <c r="I612">
        <v>34513.29</v>
      </c>
      <c r="J612">
        <v>49996.3</v>
      </c>
      <c r="K612">
        <v>51957.11</v>
      </c>
      <c r="L612">
        <v>199980.65</v>
      </c>
      <c r="M612">
        <v>1486</v>
      </c>
      <c r="N612">
        <v>-2.93E-2</v>
      </c>
      <c r="O612">
        <v>0.24210000000000001</v>
      </c>
      <c r="P612">
        <v>0.25979999999999998</v>
      </c>
      <c r="Q612" t="s">
        <v>44</v>
      </c>
      <c r="R612">
        <v>2023</v>
      </c>
      <c r="S612" t="s">
        <v>25</v>
      </c>
    </row>
    <row r="613" spans="1:19" x14ac:dyDescent="0.3">
      <c r="A613" t="s">
        <v>687</v>
      </c>
      <c r="B613" s="1">
        <v>44937</v>
      </c>
      <c r="C613" t="s">
        <v>68</v>
      </c>
      <c r="D613" t="s">
        <v>69</v>
      </c>
      <c r="E613" t="s">
        <v>38</v>
      </c>
      <c r="F613" t="s">
        <v>23</v>
      </c>
      <c r="G613">
        <v>46793.11</v>
      </c>
      <c r="H613">
        <v>30978.17</v>
      </c>
      <c r="I613">
        <v>15814.94</v>
      </c>
      <c r="J613">
        <v>87104.03</v>
      </c>
      <c r="K613">
        <v>77512.58</v>
      </c>
      <c r="L613">
        <v>139845.53</v>
      </c>
      <c r="M613">
        <v>930</v>
      </c>
      <c r="N613">
        <v>6.6900000000000001E-2</v>
      </c>
      <c r="O613">
        <v>0.33800000000000002</v>
      </c>
      <c r="P613">
        <v>0.55430000000000001</v>
      </c>
      <c r="Q613" t="s">
        <v>118</v>
      </c>
      <c r="R613">
        <v>2023</v>
      </c>
      <c r="S613" t="s">
        <v>40</v>
      </c>
    </row>
    <row r="614" spans="1:19" x14ac:dyDescent="0.3">
      <c r="A614" t="s">
        <v>688</v>
      </c>
      <c r="B614" s="1">
        <v>45118</v>
      </c>
      <c r="C614" t="s">
        <v>42</v>
      </c>
      <c r="D614" t="s">
        <v>43</v>
      </c>
      <c r="E614" t="s">
        <v>38</v>
      </c>
      <c r="F614" t="s">
        <v>23</v>
      </c>
      <c r="G614">
        <v>63854.71</v>
      </c>
      <c r="H614">
        <v>51868.73</v>
      </c>
      <c r="I614">
        <v>11985.98</v>
      </c>
      <c r="J614">
        <v>26400.34</v>
      </c>
      <c r="K614">
        <v>33767.199999999997</v>
      </c>
      <c r="L614">
        <v>99033.82</v>
      </c>
      <c r="M614">
        <v>620</v>
      </c>
      <c r="N614">
        <v>-2.7000000000000001E-3</v>
      </c>
      <c r="O614">
        <v>0.18770000000000001</v>
      </c>
      <c r="P614">
        <v>0.34100000000000003</v>
      </c>
      <c r="Q614" t="s">
        <v>56</v>
      </c>
      <c r="R614">
        <v>2023</v>
      </c>
      <c r="S614" t="s">
        <v>40</v>
      </c>
    </row>
    <row r="615" spans="1:19" x14ac:dyDescent="0.3">
      <c r="A615" t="s">
        <v>689</v>
      </c>
      <c r="B615" s="1">
        <v>45345</v>
      </c>
      <c r="C615" t="s">
        <v>20</v>
      </c>
      <c r="D615" t="s">
        <v>21</v>
      </c>
      <c r="E615" t="s">
        <v>32</v>
      </c>
      <c r="F615" t="s">
        <v>33</v>
      </c>
      <c r="G615">
        <v>61263.13</v>
      </c>
      <c r="H615">
        <v>47205.919999999998</v>
      </c>
      <c r="I615">
        <v>14057.21</v>
      </c>
      <c r="J615">
        <v>77933.17</v>
      </c>
      <c r="K615">
        <v>21847.89</v>
      </c>
      <c r="L615">
        <v>114528.56</v>
      </c>
      <c r="M615">
        <v>827</v>
      </c>
      <c r="N615">
        <v>0.1129</v>
      </c>
      <c r="O615">
        <v>0.22950000000000001</v>
      </c>
      <c r="P615">
        <v>0.1908</v>
      </c>
      <c r="Q615" t="s">
        <v>80</v>
      </c>
      <c r="R615">
        <v>2024</v>
      </c>
      <c r="S615" t="s">
        <v>25</v>
      </c>
    </row>
    <row r="616" spans="1:19" x14ac:dyDescent="0.3">
      <c r="A616" t="s">
        <v>690</v>
      </c>
      <c r="B616" s="1">
        <v>44763</v>
      </c>
      <c r="C616" t="s">
        <v>68</v>
      </c>
      <c r="D616" t="s">
        <v>69</v>
      </c>
      <c r="E616" t="s">
        <v>38</v>
      </c>
      <c r="F616" t="s">
        <v>23</v>
      </c>
      <c r="G616">
        <v>38565.14</v>
      </c>
      <c r="H616">
        <v>29246.67</v>
      </c>
      <c r="I616">
        <v>9318.4699999999993</v>
      </c>
      <c r="J616">
        <v>23959.27</v>
      </c>
      <c r="K616">
        <v>64046.11</v>
      </c>
      <c r="L616">
        <v>94062.720000000001</v>
      </c>
      <c r="M616">
        <v>981</v>
      </c>
      <c r="N616">
        <v>9.2999999999999992E-3</v>
      </c>
      <c r="O616">
        <v>0.24160000000000001</v>
      </c>
      <c r="P616">
        <v>0.68089999999999995</v>
      </c>
      <c r="Q616" t="s">
        <v>76</v>
      </c>
      <c r="R616">
        <v>2022</v>
      </c>
      <c r="S616" t="s">
        <v>82</v>
      </c>
    </row>
    <row r="617" spans="1:19" x14ac:dyDescent="0.3">
      <c r="A617" t="s">
        <v>691</v>
      </c>
      <c r="B617" s="1">
        <v>45002</v>
      </c>
      <c r="C617" t="s">
        <v>27</v>
      </c>
      <c r="D617" t="s">
        <v>28</v>
      </c>
      <c r="E617" t="s">
        <v>32</v>
      </c>
      <c r="F617" t="s">
        <v>33</v>
      </c>
      <c r="G617">
        <v>50138.84</v>
      </c>
      <c r="H617">
        <v>37191.879999999997</v>
      </c>
      <c r="I617">
        <v>12946.96</v>
      </c>
      <c r="J617">
        <v>41646.81</v>
      </c>
      <c r="K617">
        <v>10202.44</v>
      </c>
      <c r="L617">
        <v>118045.25</v>
      </c>
      <c r="M617">
        <v>648</v>
      </c>
      <c r="N617">
        <v>5.7000000000000002E-3</v>
      </c>
      <c r="O617">
        <v>0.25819999999999999</v>
      </c>
      <c r="P617">
        <v>8.6400000000000005E-2</v>
      </c>
      <c r="Q617" t="s">
        <v>118</v>
      </c>
      <c r="R617">
        <v>2023</v>
      </c>
      <c r="S617" t="s">
        <v>25</v>
      </c>
    </row>
    <row r="618" spans="1:19" x14ac:dyDescent="0.3">
      <c r="A618" t="s">
        <v>692</v>
      </c>
      <c r="B618" s="1">
        <v>45143</v>
      </c>
      <c r="C618" t="s">
        <v>48</v>
      </c>
      <c r="D618" t="s">
        <v>49</v>
      </c>
      <c r="E618" t="s">
        <v>38</v>
      </c>
      <c r="F618" t="s">
        <v>23</v>
      </c>
      <c r="G618">
        <v>310403.74</v>
      </c>
      <c r="H618">
        <v>230456.99</v>
      </c>
      <c r="I618">
        <v>79946.75</v>
      </c>
      <c r="J618">
        <v>103399.64</v>
      </c>
      <c r="K618">
        <v>8352.98</v>
      </c>
      <c r="L618">
        <v>203622</v>
      </c>
      <c r="M618">
        <v>938</v>
      </c>
      <c r="N618">
        <v>-0.1283</v>
      </c>
      <c r="O618">
        <v>0.2576</v>
      </c>
      <c r="P618">
        <v>4.1000000000000002E-2</v>
      </c>
      <c r="Q618" t="s">
        <v>56</v>
      </c>
      <c r="R618">
        <v>2023</v>
      </c>
      <c r="S618" t="s">
        <v>25</v>
      </c>
    </row>
    <row r="619" spans="1:19" x14ac:dyDescent="0.3">
      <c r="A619" t="s">
        <v>693</v>
      </c>
      <c r="B619" s="1">
        <v>45277</v>
      </c>
      <c r="C619" t="s">
        <v>42</v>
      </c>
      <c r="D619" t="s">
        <v>43</v>
      </c>
      <c r="E619" t="s">
        <v>22</v>
      </c>
      <c r="F619" t="s">
        <v>23</v>
      </c>
      <c r="G619">
        <v>24191.67</v>
      </c>
      <c r="H619">
        <v>19900.400000000001</v>
      </c>
      <c r="I619">
        <v>4291.2700000000004</v>
      </c>
      <c r="J619">
        <v>22182.6</v>
      </c>
      <c r="K619">
        <v>33145.379999999997</v>
      </c>
      <c r="L619">
        <v>80951.929999999993</v>
      </c>
      <c r="M619">
        <v>836</v>
      </c>
      <c r="N619">
        <v>-2.6499999999999999E-2</v>
      </c>
      <c r="O619">
        <v>0.1774</v>
      </c>
      <c r="P619">
        <v>0.40939999999999999</v>
      </c>
      <c r="Q619" t="s">
        <v>44</v>
      </c>
      <c r="R619">
        <v>2023</v>
      </c>
      <c r="S619" t="s">
        <v>40</v>
      </c>
    </row>
    <row r="620" spans="1:19" x14ac:dyDescent="0.3">
      <c r="A620" t="s">
        <v>694</v>
      </c>
      <c r="B620" s="1">
        <v>45461</v>
      </c>
      <c r="C620" t="s">
        <v>20</v>
      </c>
      <c r="D620" t="s">
        <v>21</v>
      </c>
      <c r="E620" t="s">
        <v>32</v>
      </c>
      <c r="F620" t="s">
        <v>33</v>
      </c>
      <c r="G620">
        <v>46975.01</v>
      </c>
      <c r="H620">
        <v>39364.370000000003</v>
      </c>
      <c r="I620">
        <v>7610.64</v>
      </c>
      <c r="J620">
        <v>11207.66</v>
      </c>
      <c r="K620">
        <v>5439.31</v>
      </c>
      <c r="L620">
        <v>186453.16</v>
      </c>
      <c r="M620">
        <v>623</v>
      </c>
      <c r="N620">
        <v>-1.7100000000000001E-2</v>
      </c>
      <c r="O620">
        <v>0.16200000000000001</v>
      </c>
      <c r="P620">
        <v>2.92E-2</v>
      </c>
      <c r="Q620" t="s">
        <v>111</v>
      </c>
      <c r="R620">
        <v>2024</v>
      </c>
      <c r="S620" t="s">
        <v>25</v>
      </c>
    </row>
    <row r="621" spans="1:19" x14ac:dyDescent="0.3">
      <c r="A621" t="s">
        <v>695</v>
      </c>
      <c r="B621" s="1">
        <v>45344</v>
      </c>
      <c r="C621" t="s">
        <v>48</v>
      </c>
      <c r="D621" t="s">
        <v>49</v>
      </c>
      <c r="E621" t="s">
        <v>22</v>
      </c>
      <c r="F621" t="s">
        <v>23</v>
      </c>
      <c r="G621">
        <v>48605.13</v>
      </c>
      <c r="H621">
        <v>36207.050000000003</v>
      </c>
      <c r="I621">
        <v>12398.08</v>
      </c>
      <c r="J621">
        <v>26773.25</v>
      </c>
      <c r="K621">
        <v>23105.07</v>
      </c>
      <c r="L621">
        <v>46248.800000000003</v>
      </c>
      <c r="M621">
        <v>1658</v>
      </c>
      <c r="N621">
        <v>-1.2800000000000001E-2</v>
      </c>
      <c r="O621">
        <v>0.25509999999999999</v>
      </c>
      <c r="P621">
        <v>0.49959999999999999</v>
      </c>
      <c r="Q621" t="s">
        <v>80</v>
      </c>
      <c r="R621">
        <v>2024</v>
      </c>
      <c r="S621" t="s">
        <v>40</v>
      </c>
    </row>
    <row r="622" spans="1:19" x14ac:dyDescent="0.3">
      <c r="A622" t="s">
        <v>696</v>
      </c>
      <c r="B622" s="1">
        <v>45478</v>
      </c>
      <c r="C622" t="s">
        <v>78</v>
      </c>
      <c r="D622" t="s">
        <v>79</v>
      </c>
      <c r="E622" t="s">
        <v>32</v>
      </c>
      <c r="F622" t="s">
        <v>33</v>
      </c>
      <c r="G622">
        <v>31863.41</v>
      </c>
      <c r="H622">
        <v>18701.03</v>
      </c>
      <c r="I622">
        <v>13162.38</v>
      </c>
      <c r="J622">
        <v>39383.300000000003</v>
      </c>
      <c r="K622">
        <v>30495.15</v>
      </c>
      <c r="L622">
        <v>83109.009999999995</v>
      </c>
      <c r="M622">
        <v>913</v>
      </c>
      <c r="N622">
        <v>0.1145</v>
      </c>
      <c r="O622">
        <v>0.41310000000000002</v>
      </c>
      <c r="P622">
        <v>0.3669</v>
      </c>
      <c r="Q622" t="s">
        <v>72</v>
      </c>
      <c r="R622">
        <v>2024</v>
      </c>
      <c r="S622" t="s">
        <v>40</v>
      </c>
    </row>
    <row r="623" spans="1:19" x14ac:dyDescent="0.3">
      <c r="A623" t="s">
        <v>697</v>
      </c>
      <c r="B623" s="1">
        <v>45639</v>
      </c>
      <c r="C623" t="s">
        <v>48</v>
      </c>
      <c r="D623" t="s">
        <v>49</v>
      </c>
      <c r="E623" t="s">
        <v>38</v>
      </c>
      <c r="F623" t="s">
        <v>23</v>
      </c>
      <c r="G623">
        <v>80462.89</v>
      </c>
      <c r="H623">
        <v>68352.27</v>
      </c>
      <c r="I623">
        <v>12110.62</v>
      </c>
      <c r="J623">
        <v>52018.58</v>
      </c>
      <c r="K623">
        <v>49135.55</v>
      </c>
      <c r="L623">
        <v>162881.57999999999</v>
      </c>
      <c r="M623">
        <v>555</v>
      </c>
      <c r="N623">
        <v>1.37E-2</v>
      </c>
      <c r="O623">
        <v>0.15049999999999999</v>
      </c>
      <c r="P623">
        <v>0.30170000000000002</v>
      </c>
      <c r="Q623" t="s">
        <v>52</v>
      </c>
      <c r="R623">
        <v>2024</v>
      </c>
      <c r="S623" t="s">
        <v>40</v>
      </c>
    </row>
    <row r="624" spans="1:19" x14ac:dyDescent="0.3">
      <c r="A624" t="s">
        <v>698</v>
      </c>
      <c r="B624" s="1">
        <v>44993</v>
      </c>
      <c r="C624" t="s">
        <v>48</v>
      </c>
      <c r="D624" t="s">
        <v>49</v>
      </c>
      <c r="E624" t="s">
        <v>32</v>
      </c>
      <c r="F624" t="s">
        <v>33</v>
      </c>
      <c r="G624">
        <v>58921.99</v>
      </c>
      <c r="H624">
        <v>39453.089999999997</v>
      </c>
      <c r="I624">
        <v>19468.900000000001</v>
      </c>
      <c r="J624">
        <v>68233.59</v>
      </c>
      <c r="K624">
        <v>23264.65</v>
      </c>
      <c r="L624">
        <v>160619.22</v>
      </c>
      <c r="M624">
        <v>608</v>
      </c>
      <c r="N624">
        <v>-8.0000000000000002E-3</v>
      </c>
      <c r="O624">
        <v>0.33040000000000003</v>
      </c>
      <c r="P624">
        <v>0.14480000000000001</v>
      </c>
      <c r="Q624" t="s">
        <v>118</v>
      </c>
      <c r="R624">
        <v>2023</v>
      </c>
      <c r="S624" t="s">
        <v>25</v>
      </c>
    </row>
    <row r="625" spans="1:19" x14ac:dyDescent="0.3">
      <c r="A625" t="s">
        <v>699</v>
      </c>
      <c r="B625" s="1">
        <v>45861</v>
      </c>
      <c r="C625" t="s">
        <v>54</v>
      </c>
      <c r="D625" t="s">
        <v>55</v>
      </c>
      <c r="E625" t="s">
        <v>38</v>
      </c>
      <c r="F625" t="s">
        <v>23</v>
      </c>
      <c r="G625">
        <v>223298.61</v>
      </c>
      <c r="H625">
        <v>182234.87</v>
      </c>
      <c r="I625">
        <v>41063.74</v>
      </c>
      <c r="J625">
        <v>101366.48</v>
      </c>
      <c r="K625">
        <v>29124.880000000001</v>
      </c>
      <c r="L625">
        <v>312932.89</v>
      </c>
      <c r="M625">
        <v>1375</v>
      </c>
      <c r="N625">
        <v>-2.5600000000000001E-2</v>
      </c>
      <c r="O625">
        <v>0.18390000000000001</v>
      </c>
      <c r="P625">
        <v>9.3100000000000002E-2</v>
      </c>
      <c r="Q625" t="s">
        <v>24</v>
      </c>
      <c r="R625">
        <v>2025</v>
      </c>
      <c r="S625" t="s">
        <v>25</v>
      </c>
    </row>
    <row r="626" spans="1:19" x14ac:dyDescent="0.3">
      <c r="A626" t="s">
        <v>700</v>
      </c>
      <c r="B626" s="1">
        <v>45006</v>
      </c>
      <c r="C626" t="s">
        <v>20</v>
      </c>
      <c r="D626" t="s">
        <v>21</v>
      </c>
      <c r="E626" t="s">
        <v>32</v>
      </c>
      <c r="F626" t="s">
        <v>33</v>
      </c>
      <c r="G626">
        <v>146052.82999999999</v>
      </c>
      <c r="H626">
        <v>103669.74</v>
      </c>
      <c r="I626">
        <v>42383.09</v>
      </c>
      <c r="J626">
        <v>26711.08</v>
      </c>
      <c r="K626">
        <v>92817.42</v>
      </c>
      <c r="L626">
        <v>56543.93</v>
      </c>
      <c r="M626">
        <v>603</v>
      </c>
      <c r="N626">
        <v>2.7300000000000001E-2</v>
      </c>
      <c r="O626">
        <v>0.29020000000000001</v>
      </c>
      <c r="P626">
        <v>1.6415</v>
      </c>
      <c r="Q626" t="s">
        <v>118</v>
      </c>
      <c r="R626">
        <v>2023</v>
      </c>
      <c r="S626" t="s">
        <v>82</v>
      </c>
    </row>
    <row r="627" spans="1:19" x14ac:dyDescent="0.3">
      <c r="A627" t="s">
        <v>701</v>
      </c>
      <c r="B627" s="1">
        <v>45738</v>
      </c>
      <c r="C627" t="s">
        <v>54</v>
      </c>
      <c r="D627" t="s">
        <v>55</v>
      </c>
      <c r="E627" t="s">
        <v>22</v>
      </c>
      <c r="F627" t="s">
        <v>23</v>
      </c>
      <c r="G627">
        <v>85456.08</v>
      </c>
      <c r="H627">
        <v>49274.45</v>
      </c>
      <c r="I627">
        <v>36181.629999999997</v>
      </c>
      <c r="J627">
        <v>54892.83</v>
      </c>
      <c r="K627">
        <v>28277.11</v>
      </c>
      <c r="L627">
        <v>87446.69</v>
      </c>
      <c r="M627">
        <v>610</v>
      </c>
      <c r="N627">
        <v>-0.108</v>
      </c>
      <c r="O627">
        <v>0.4234</v>
      </c>
      <c r="P627">
        <v>0.32340000000000002</v>
      </c>
      <c r="Q627" t="s">
        <v>106</v>
      </c>
      <c r="R627">
        <v>2025</v>
      </c>
      <c r="S627" t="s">
        <v>40</v>
      </c>
    </row>
    <row r="628" spans="1:19" x14ac:dyDescent="0.3">
      <c r="A628" t="s">
        <v>702</v>
      </c>
      <c r="B628" s="1">
        <v>45229</v>
      </c>
      <c r="C628" t="s">
        <v>68</v>
      </c>
      <c r="D628" t="s">
        <v>69</v>
      </c>
      <c r="E628" t="s">
        <v>38</v>
      </c>
      <c r="F628" t="s">
        <v>23</v>
      </c>
      <c r="G628">
        <v>53070.98</v>
      </c>
      <c r="H628">
        <v>43579.25</v>
      </c>
      <c r="I628">
        <v>9491.73</v>
      </c>
      <c r="J628">
        <v>10676.82</v>
      </c>
      <c r="K628">
        <v>9899.77</v>
      </c>
      <c r="L628">
        <v>35138.83</v>
      </c>
      <c r="M628">
        <v>826</v>
      </c>
      <c r="N628">
        <v>-0.12670000000000001</v>
      </c>
      <c r="O628">
        <v>0.17879999999999999</v>
      </c>
      <c r="P628">
        <v>0.28170000000000001</v>
      </c>
      <c r="Q628" t="s">
        <v>44</v>
      </c>
      <c r="R628">
        <v>2023</v>
      </c>
      <c r="S628" t="s">
        <v>25</v>
      </c>
    </row>
    <row r="629" spans="1:19" x14ac:dyDescent="0.3">
      <c r="A629" t="s">
        <v>703</v>
      </c>
      <c r="B629" s="1">
        <v>45241</v>
      </c>
      <c r="C629" t="s">
        <v>85</v>
      </c>
      <c r="D629" t="s">
        <v>86</v>
      </c>
      <c r="E629" t="s">
        <v>38</v>
      </c>
      <c r="F629" t="s">
        <v>23</v>
      </c>
      <c r="G629">
        <v>155297.32</v>
      </c>
      <c r="H629">
        <v>85694.19</v>
      </c>
      <c r="I629">
        <v>69603.13</v>
      </c>
      <c r="J629">
        <v>35653.18</v>
      </c>
      <c r="K629">
        <v>25609.16</v>
      </c>
      <c r="L629">
        <v>186163.62</v>
      </c>
      <c r="M629">
        <v>957</v>
      </c>
      <c r="N629">
        <v>0.1699</v>
      </c>
      <c r="O629">
        <v>0.44819999999999999</v>
      </c>
      <c r="P629">
        <v>0.1376</v>
      </c>
      <c r="Q629" t="s">
        <v>44</v>
      </c>
      <c r="R629">
        <v>2023</v>
      </c>
      <c r="S629" t="s">
        <v>25</v>
      </c>
    </row>
    <row r="630" spans="1:19" x14ac:dyDescent="0.3">
      <c r="A630" t="s">
        <v>704</v>
      </c>
      <c r="B630" s="1">
        <v>45855</v>
      </c>
      <c r="C630" t="s">
        <v>68</v>
      </c>
      <c r="D630" t="s">
        <v>227</v>
      </c>
      <c r="E630" t="s">
        <v>22</v>
      </c>
      <c r="F630" t="s">
        <v>23</v>
      </c>
      <c r="G630">
        <v>136836.15</v>
      </c>
      <c r="H630">
        <v>116103</v>
      </c>
      <c r="I630">
        <v>20733.150000000001</v>
      </c>
      <c r="J630">
        <v>32400.560000000001</v>
      </c>
      <c r="K630">
        <v>8388.82</v>
      </c>
      <c r="L630">
        <v>76043.83</v>
      </c>
      <c r="M630">
        <v>497</v>
      </c>
      <c r="N630">
        <v>6.9500000000000006E-2</v>
      </c>
      <c r="O630">
        <v>0.1515</v>
      </c>
      <c r="P630">
        <v>0.1103</v>
      </c>
      <c r="Q630" t="s">
        <v>24</v>
      </c>
      <c r="R630">
        <v>2025</v>
      </c>
      <c r="S630" t="s">
        <v>25</v>
      </c>
    </row>
    <row r="631" spans="1:19" x14ac:dyDescent="0.3">
      <c r="A631" t="s">
        <v>705</v>
      </c>
      <c r="B631" s="1">
        <v>45474</v>
      </c>
      <c r="C631" t="s">
        <v>85</v>
      </c>
      <c r="D631" t="s">
        <v>86</v>
      </c>
      <c r="E631" t="s">
        <v>38</v>
      </c>
      <c r="F631" t="s">
        <v>23</v>
      </c>
      <c r="G631">
        <v>53001.55</v>
      </c>
      <c r="H631">
        <v>46865.79</v>
      </c>
      <c r="I631">
        <v>6135.76</v>
      </c>
      <c r="J631">
        <v>76887.19</v>
      </c>
      <c r="K631">
        <v>31786.04</v>
      </c>
      <c r="L631">
        <v>170763.92</v>
      </c>
      <c r="M631">
        <v>1662</v>
      </c>
      <c r="N631">
        <v>-3.8399999999999997E-2</v>
      </c>
      <c r="O631">
        <v>0.1158</v>
      </c>
      <c r="P631">
        <v>0.18609999999999999</v>
      </c>
      <c r="Q631" t="s">
        <v>72</v>
      </c>
      <c r="R631">
        <v>2024</v>
      </c>
      <c r="S631" t="s">
        <v>25</v>
      </c>
    </row>
    <row r="632" spans="1:19" x14ac:dyDescent="0.3">
      <c r="A632" t="s">
        <v>706</v>
      </c>
      <c r="B632" s="1">
        <v>45431</v>
      </c>
      <c r="C632" t="s">
        <v>42</v>
      </c>
      <c r="D632" t="s">
        <v>43</v>
      </c>
      <c r="E632" t="s">
        <v>51</v>
      </c>
      <c r="F632" t="s">
        <v>23</v>
      </c>
      <c r="G632">
        <v>113805.88</v>
      </c>
      <c r="H632">
        <v>64633.97</v>
      </c>
      <c r="I632">
        <v>49171.91</v>
      </c>
      <c r="J632">
        <v>29835.74</v>
      </c>
      <c r="K632">
        <v>34751.300000000003</v>
      </c>
      <c r="L632">
        <v>50679.13</v>
      </c>
      <c r="M632">
        <v>735</v>
      </c>
      <c r="N632">
        <v>1.83E-2</v>
      </c>
      <c r="O632">
        <v>0.43209999999999998</v>
      </c>
      <c r="P632">
        <v>0.68569999999999998</v>
      </c>
      <c r="Q632" t="s">
        <v>111</v>
      </c>
      <c r="R632">
        <v>2024</v>
      </c>
      <c r="S632" t="s">
        <v>82</v>
      </c>
    </row>
    <row r="633" spans="1:19" x14ac:dyDescent="0.3">
      <c r="A633" t="s">
        <v>707</v>
      </c>
      <c r="B633" s="1">
        <v>44638</v>
      </c>
      <c r="C633" t="s">
        <v>78</v>
      </c>
      <c r="D633" t="s">
        <v>79</v>
      </c>
      <c r="E633" t="s">
        <v>32</v>
      </c>
      <c r="F633" t="s">
        <v>33</v>
      </c>
      <c r="G633">
        <v>114488.14</v>
      </c>
      <c r="H633">
        <v>90675.6</v>
      </c>
      <c r="I633">
        <v>23812.54</v>
      </c>
      <c r="J633">
        <v>44183.360000000001</v>
      </c>
      <c r="K633">
        <v>10014.26</v>
      </c>
      <c r="L633">
        <v>105972.55</v>
      </c>
      <c r="M633">
        <v>866</v>
      </c>
      <c r="N633">
        <v>-3.8399999999999997E-2</v>
      </c>
      <c r="O633">
        <v>0.20799999999999999</v>
      </c>
      <c r="P633">
        <v>9.4500000000000001E-2</v>
      </c>
      <c r="Q633" t="s">
        <v>90</v>
      </c>
      <c r="R633">
        <v>2022</v>
      </c>
      <c r="S633" t="s">
        <v>25</v>
      </c>
    </row>
    <row r="634" spans="1:19" x14ac:dyDescent="0.3">
      <c r="A634" t="s">
        <v>708</v>
      </c>
      <c r="B634" s="1">
        <v>45139</v>
      </c>
      <c r="C634" t="s">
        <v>61</v>
      </c>
      <c r="D634" t="s">
        <v>74</v>
      </c>
      <c r="E634" t="s">
        <v>32</v>
      </c>
      <c r="F634" t="s">
        <v>33</v>
      </c>
      <c r="G634">
        <v>20358.189999999999</v>
      </c>
      <c r="H634">
        <v>17313.18</v>
      </c>
      <c r="I634">
        <v>3045.01</v>
      </c>
      <c r="J634">
        <v>32374.57</v>
      </c>
      <c r="K634">
        <v>36734.58</v>
      </c>
      <c r="L634">
        <v>143641.47</v>
      </c>
      <c r="M634">
        <v>933</v>
      </c>
      <c r="N634">
        <v>-3.4000000000000002E-2</v>
      </c>
      <c r="O634">
        <v>0.14960000000000001</v>
      </c>
      <c r="P634">
        <v>0.25569999999999998</v>
      </c>
      <c r="Q634" t="s">
        <v>56</v>
      </c>
      <c r="R634">
        <v>2023</v>
      </c>
      <c r="S634" t="s">
        <v>25</v>
      </c>
    </row>
    <row r="635" spans="1:19" x14ac:dyDescent="0.3">
      <c r="A635" t="s">
        <v>709</v>
      </c>
      <c r="B635" s="2">
        <v>45214</v>
      </c>
      <c r="C635" t="s">
        <v>48</v>
      </c>
      <c r="D635" t="s">
        <v>227</v>
      </c>
      <c r="E635" t="s">
        <v>22</v>
      </c>
      <c r="F635" t="s">
        <v>23</v>
      </c>
      <c r="G635">
        <v>47387.57</v>
      </c>
      <c r="H635">
        <v>41989.9</v>
      </c>
      <c r="I635">
        <v>5397.67</v>
      </c>
      <c r="J635">
        <v>55724.69</v>
      </c>
      <c r="K635">
        <v>25431.13</v>
      </c>
      <c r="L635">
        <v>86247.360000000001</v>
      </c>
      <c r="M635">
        <v>1027</v>
      </c>
      <c r="N635">
        <v>7.1800000000000003E-2</v>
      </c>
      <c r="O635">
        <v>0.1139</v>
      </c>
      <c r="P635">
        <v>0.2949</v>
      </c>
      <c r="Q635" t="s">
        <v>44</v>
      </c>
      <c r="R635">
        <v>2023</v>
      </c>
      <c r="S635" t="s">
        <v>25</v>
      </c>
    </row>
    <row r="636" spans="1:19" x14ac:dyDescent="0.3">
      <c r="A636" t="s">
        <v>710</v>
      </c>
      <c r="B636" s="1">
        <v>44624</v>
      </c>
      <c r="C636" t="s">
        <v>54</v>
      </c>
      <c r="D636" t="s">
        <v>55</v>
      </c>
      <c r="E636" t="s">
        <v>22</v>
      </c>
      <c r="F636" t="s">
        <v>23</v>
      </c>
      <c r="G636">
        <v>81571.13</v>
      </c>
      <c r="J636">
        <v>6354.24</v>
      </c>
      <c r="K636">
        <v>22608.18</v>
      </c>
      <c r="L636">
        <v>136085.13</v>
      </c>
      <c r="M636">
        <v>1182</v>
      </c>
      <c r="N636">
        <v>3.1800000000000002E-2</v>
      </c>
      <c r="P636">
        <v>0.1661</v>
      </c>
      <c r="Q636" t="s">
        <v>90</v>
      </c>
      <c r="R636">
        <v>2022</v>
      </c>
      <c r="S636" t="s">
        <v>25</v>
      </c>
    </row>
    <row r="637" spans="1:19" x14ac:dyDescent="0.3">
      <c r="A637" t="s">
        <v>711</v>
      </c>
      <c r="B637" s="1">
        <v>45307</v>
      </c>
      <c r="C637" t="s">
        <v>20</v>
      </c>
      <c r="D637" t="s">
        <v>21</v>
      </c>
      <c r="E637" t="s">
        <v>38</v>
      </c>
      <c r="F637" t="s">
        <v>23</v>
      </c>
      <c r="G637">
        <v>48676.62</v>
      </c>
      <c r="H637">
        <v>34216.58</v>
      </c>
      <c r="I637">
        <v>14460.04</v>
      </c>
      <c r="J637">
        <v>36368.720000000001</v>
      </c>
      <c r="K637">
        <v>4649.3999999999996</v>
      </c>
      <c r="L637">
        <v>235079.01</v>
      </c>
      <c r="M637">
        <v>1232</v>
      </c>
      <c r="N637">
        <v>0.05</v>
      </c>
      <c r="O637">
        <v>0.29709999999999998</v>
      </c>
      <c r="P637">
        <v>1.9800000000000002E-2</v>
      </c>
      <c r="Q637" t="s">
        <v>80</v>
      </c>
      <c r="R637">
        <v>2024</v>
      </c>
      <c r="S637" t="s">
        <v>25</v>
      </c>
    </row>
    <row r="638" spans="1:19" x14ac:dyDescent="0.3">
      <c r="A638" t="s">
        <v>712</v>
      </c>
      <c r="B638" s="1">
        <v>45651</v>
      </c>
      <c r="C638" t="s">
        <v>85</v>
      </c>
      <c r="D638" t="s">
        <v>86</v>
      </c>
      <c r="E638" t="s">
        <v>38</v>
      </c>
      <c r="F638" t="s">
        <v>23</v>
      </c>
      <c r="G638">
        <v>236282.85</v>
      </c>
      <c r="H638">
        <v>160789.47</v>
      </c>
      <c r="I638">
        <v>75493.38</v>
      </c>
      <c r="J638">
        <v>34532.160000000003</v>
      </c>
      <c r="K638">
        <v>20872.599999999999</v>
      </c>
      <c r="L638">
        <v>47728.71</v>
      </c>
      <c r="M638">
        <v>715</v>
      </c>
      <c r="N638">
        <v>9.8299999999999998E-2</v>
      </c>
      <c r="O638">
        <v>0.31950000000000001</v>
      </c>
      <c r="P638">
        <v>0.43730000000000002</v>
      </c>
      <c r="Q638" t="s">
        <v>52</v>
      </c>
      <c r="R638">
        <v>2024</v>
      </c>
      <c r="S638" t="s">
        <v>40</v>
      </c>
    </row>
    <row r="639" spans="1:19" x14ac:dyDescent="0.3">
      <c r="A639" t="s">
        <v>713</v>
      </c>
      <c r="B639" s="1">
        <v>45266</v>
      </c>
      <c r="C639" t="s">
        <v>42</v>
      </c>
      <c r="D639" t="s">
        <v>43</v>
      </c>
      <c r="E639" t="s">
        <v>22</v>
      </c>
      <c r="F639" t="s">
        <v>23</v>
      </c>
      <c r="G639">
        <v>63094.01</v>
      </c>
      <c r="H639">
        <v>56377.52</v>
      </c>
      <c r="I639">
        <v>6716.49</v>
      </c>
      <c r="J639">
        <v>29755.51</v>
      </c>
      <c r="K639">
        <v>113482.15</v>
      </c>
      <c r="L639">
        <v>143780.29999999999</v>
      </c>
      <c r="M639">
        <v>801</v>
      </c>
      <c r="N639">
        <v>6.0400000000000002E-2</v>
      </c>
      <c r="O639">
        <v>0.1065</v>
      </c>
      <c r="P639">
        <v>0.7893</v>
      </c>
      <c r="Q639" t="s">
        <v>44</v>
      </c>
      <c r="R639">
        <v>2023</v>
      </c>
      <c r="S639" t="s">
        <v>82</v>
      </c>
    </row>
    <row r="640" spans="1:19" x14ac:dyDescent="0.3">
      <c r="A640" t="s">
        <v>714</v>
      </c>
      <c r="B640" s="1">
        <v>45356</v>
      </c>
      <c r="C640" t="s">
        <v>48</v>
      </c>
      <c r="D640" t="s">
        <v>49</v>
      </c>
      <c r="E640" t="s">
        <v>38</v>
      </c>
      <c r="F640" t="s">
        <v>23</v>
      </c>
      <c r="G640">
        <v>25777.01</v>
      </c>
      <c r="H640">
        <v>20758.47</v>
      </c>
      <c r="I640">
        <v>5018.54</v>
      </c>
      <c r="J640">
        <v>13046.4</v>
      </c>
      <c r="K640">
        <v>7581.76</v>
      </c>
      <c r="L640">
        <v>38119.9</v>
      </c>
      <c r="M640">
        <v>536</v>
      </c>
      <c r="N640">
        <v>7.0099999999999996E-2</v>
      </c>
      <c r="O640">
        <v>0.19470000000000001</v>
      </c>
      <c r="P640">
        <v>0.19889999999999999</v>
      </c>
      <c r="Q640" t="s">
        <v>80</v>
      </c>
      <c r="R640">
        <v>2024</v>
      </c>
      <c r="S640" t="s">
        <v>25</v>
      </c>
    </row>
    <row r="641" spans="1:19" x14ac:dyDescent="0.3">
      <c r="A641" t="s">
        <v>715</v>
      </c>
      <c r="B641" s="1">
        <v>45752</v>
      </c>
      <c r="C641" t="s">
        <v>78</v>
      </c>
      <c r="D641" t="s">
        <v>79</v>
      </c>
      <c r="E641" t="s">
        <v>22</v>
      </c>
      <c r="F641" t="s">
        <v>23</v>
      </c>
      <c r="G641">
        <v>200177.69</v>
      </c>
      <c r="H641">
        <v>111657.39</v>
      </c>
      <c r="I641">
        <v>88520.3</v>
      </c>
      <c r="J641">
        <v>57130.21</v>
      </c>
      <c r="K641">
        <v>49030.66</v>
      </c>
      <c r="L641">
        <v>88787.46</v>
      </c>
      <c r="M641">
        <v>1290</v>
      </c>
      <c r="N641">
        <v>-2.2100000000000002E-2</v>
      </c>
      <c r="O641">
        <v>0.44219999999999998</v>
      </c>
      <c r="P641">
        <v>0.55220000000000002</v>
      </c>
      <c r="Q641" t="s">
        <v>34</v>
      </c>
      <c r="R641">
        <v>2025</v>
      </c>
      <c r="S641" t="s">
        <v>40</v>
      </c>
    </row>
    <row r="642" spans="1:19" x14ac:dyDescent="0.3">
      <c r="A642" t="s">
        <v>716</v>
      </c>
      <c r="B642" s="1">
        <v>45885</v>
      </c>
      <c r="C642" t="s">
        <v>102</v>
      </c>
      <c r="D642" t="s">
        <v>103</v>
      </c>
      <c r="E642" t="s">
        <v>32</v>
      </c>
      <c r="F642" t="s">
        <v>33</v>
      </c>
      <c r="G642">
        <v>71785.75</v>
      </c>
      <c r="H642">
        <v>43525.45</v>
      </c>
      <c r="I642">
        <v>28260.3</v>
      </c>
      <c r="J642">
        <v>35706.050000000003</v>
      </c>
      <c r="K642">
        <v>10037.219999999999</v>
      </c>
      <c r="L642">
        <v>158020.01</v>
      </c>
      <c r="M642">
        <v>1920</v>
      </c>
      <c r="N642">
        <v>0.13519999999999999</v>
      </c>
      <c r="O642">
        <v>0.39369999999999999</v>
      </c>
      <c r="P642">
        <v>6.3500000000000001E-2</v>
      </c>
      <c r="Q642" t="s">
        <v>24</v>
      </c>
      <c r="R642">
        <v>2025</v>
      </c>
      <c r="S642" t="s">
        <v>25</v>
      </c>
    </row>
    <row r="643" spans="1:19" x14ac:dyDescent="0.3">
      <c r="A643" t="s">
        <v>717</v>
      </c>
      <c r="B643" s="1">
        <v>44963</v>
      </c>
      <c r="C643" t="s">
        <v>36</v>
      </c>
      <c r="D643" t="s">
        <v>37</v>
      </c>
      <c r="E643" t="s">
        <v>22</v>
      </c>
      <c r="F643" t="s">
        <v>23</v>
      </c>
      <c r="G643">
        <v>55846.6</v>
      </c>
      <c r="H643">
        <v>42923.8</v>
      </c>
      <c r="I643">
        <v>12922.8</v>
      </c>
      <c r="J643">
        <v>51557.53</v>
      </c>
      <c r="K643">
        <v>19812.32</v>
      </c>
      <c r="L643">
        <v>111637.7</v>
      </c>
      <c r="M643">
        <v>1427</v>
      </c>
      <c r="N643">
        <v>6.0999999999999999E-2</v>
      </c>
      <c r="O643">
        <v>0.23139999999999999</v>
      </c>
      <c r="P643">
        <v>0.17749999999999999</v>
      </c>
      <c r="Q643" t="s">
        <v>118</v>
      </c>
      <c r="R643">
        <v>2023</v>
      </c>
      <c r="S643" t="s">
        <v>25</v>
      </c>
    </row>
    <row r="644" spans="1:19" x14ac:dyDescent="0.3">
      <c r="A644" t="s">
        <v>718</v>
      </c>
      <c r="B644" s="1">
        <v>45004</v>
      </c>
      <c r="C644" t="s">
        <v>48</v>
      </c>
      <c r="D644" t="s">
        <v>49</v>
      </c>
      <c r="E644" t="s">
        <v>38</v>
      </c>
      <c r="F644" t="s">
        <v>23</v>
      </c>
      <c r="G644">
        <v>76812.649999999994</v>
      </c>
      <c r="H644">
        <v>68674.509999999995</v>
      </c>
      <c r="I644">
        <v>8138.14</v>
      </c>
      <c r="J644">
        <v>68473.69</v>
      </c>
      <c r="K644">
        <v>6176.33</v>
      </c>
      <c r="L644">
        <v>74238.87</v>
      </c>
      <c r="M644">
        <v>986</v>
      </c>
      <c r="N644">
        <v>-9.7999999999999997E-3</v>
      </c>
      <c r="O644">
        <v>0.10589999999999999</v>
      </c>
      <c r="P644">
        <v>8.3199999999999996E-2</v>
      </c>
      <c r="Q644" t="s">
        <v>118</v>
      </c>
      <c r="R644">
        <v>2023</v>
      </c>
      <c r="S644" t="s">
        <v>25</v>
      </c>
    </row>
    <row r="645" spans="1:19" x14ac:dyDescent="0.3">
      <c r="A645" t="s">
        <v>719</v>
      </c>
      <c r="B645" s="1">
        <v>45930</v>
      </c>
      <c r="C645" t="s">
        <v>48</v>
      </c>
      <c r="D645" t="s">
        <v>49</v>
      </c>
      <c r="E645" t="s">
        <v>32</v>
      </c>
      <c r="F645" t="s">
        <v>33</v>
      </c>
      <c r="G645">
        <v>74642.81</v>
      </c>
      <c r="H645">
        <v>59753.42</v>
      </c>
      <c r="I645">
        <v>14889.39</v>
      </c>
      <c r="J645">
        <v>53265.9</v>
      </c>
      <c r="K645">
        <v>18815.599999999999</v>
      </c>
      <c r="L645">
        <v>130378.52</v>
      </c>
      <c r="M645">
        <v>740</v>
      </c>
      <c r="N645">
        <v>1.7000000000000001E-2</v>
      </c>
      <c r="O645">
        <v>0.19950000000000001</v>
      </c>
      <c r="P645">
        <v>0.14430000000000001</v>
      </c>
      <c r="Q645" t="s">
        <v>24</v>
      </c>
      <c r="R645">
        <v>2025</v>
      </c>
      <c r="S645" t="s">
        <v>25</v>
      </c>
    </row>
    <row r="646" spans="1:19" x14ac:dyDescent="0.3">
      <c r="A646" t="s">
        <v>720</v>
      </c>
      <c r="B646" s="1">
        <v>44635</v>
      </c>
      <c r="C646" t="s">
        <v>68</v>
      </c>
      <c r="D646" t="s">
        <v>69</v>
      </c>
      <c r="E646" t="s">
        <v>38</v>
      </c>
      <c r="F646" t="s">
        <v>23</v>
      </c>
      <c r="G646">
        <v>53604.91</v>
      </c>
      <c r="H646">
        <v>38059.58</v>
      </c>
      <c r="I646">
        <v>15545.33</v>
      </c>
      <c r="J646">
        <v>14974.21</v>
      </c>
      <c r="K646">
        <v>15764.02</v>
      </c>
      <c r="L646">
        <v>84193.48</v>
      </c>
      <c r="M646">
        <v>489</v>
      </c>
      <c r="N646">
        <v>1.12E-2</v>
      </c>
      <c r="O646">
        <v>0.28999999999999998</v>
      </c>
      <c r="P646">
        <v>0.18720000000000001</v>
      </c>
      <c r="Q646" t="s">
        <v>90</v>
      </c>
      <c r="R646">
        <v>2022</v>
      </c>
      <c r="S646" t="s">
        <v>25</v>
      </c>
    </row>
    <row r="647" spans="1:19" x14ac:dyDescent="0.3">
      <c r="A647" t="s">
        <v>721</v>
      </c>
      <c r="B647" s="1">
        <v>45688</v>
      </c>
      <c r="C647" t="s">
        <v>48</v>
      </c>
      <c r="D647" t="s">
        <v>49</v>
      </c>
      <c r="E647" t="s">
        <v>32</v>
      </c>
      <c r="F647" t="s">
        <v>33</v>
      </c>
      <c r="G647">
        <v>156198.26</v>
      </c>
      <c r="H647">
        <v>110920.11</v>
      </c>
      <c r="I647">
        <v>45278.15</v>
      </c>
      <c r="J647">
        <v>19795.79</v>
      </c>
      <c r="K647">
        <v>154940.92000000001</v>
      </c>
      <c r="L647">
        <v>70043.55</v>
      </c>
      <c r="M647">
        <v>452</v>
      </c>
      <c r="N647">
        <v>8.1100000000000005E-2</v>
      </c>
      <c r="O647">
        <v>0.28989999999999999</v>
      </c>
      <c r="P647">
        <v>2.2121</v>
      </c>
      <c r="Q647" t="s">
        <v>106</v>
      </c>
      <c r="R647">
        <v>2025</v>
      </c>
      <c r="S647" t="s">
        <v>82</v>
      </c>
    </row>
    <row r="648" spans="1:19" x14ac:dyDescent="0.3">
      <c r="A648" t="s">
        <v>722</v>
      </c>
      <c r="B648" s="1">
        <v>45146</v>
      </c>
      <c r="C648" t="s">
        <v>78</v>
      </c>
      <c r="D648" t="s">
        <v>79</v>
      </c>
      <c r="E648" t="s">
        <v>51</v>
      </c>
      <c r="F648" t="s">
        <v>23</v>
      </c>
      <c r="G648">
        <v>84615.37</v>
      </c>
      <c r="J648">
        <v>46688.53</v>
      </c>
      <c r="K648">
        <v>66167.59</v>
      </c>
      <c r="L648">
        <v>62891.03</v>
      </c>
      <c r="M648">
        <v>1079</v>
      </c>
      <c r="N648">
        <v>-1.0800000000000001E-2</v>
      </c>
      <c r="P648">
        <v>1.0521</v>
      </c>
      <c r="Q648" t="s">
        <v>56</v>
      </c>
      <c r="R648">
        <v>2023</v>
      </c>
      <c r="S648" t="s">
        <v>82</v>
      </c>
    </row>
    <row r="649" spans="1:19" x14ac:dyDescent="0.3">
      <c r="A649" t="s">
        <v>723</v>
      </c>
      <c r="B649" s="1">
        <v>45535</v>
      </c>
      <c r="C649" t="s">
        <v>102</v>
      </c>
      <c r="D649" t="s">
        <v>103</v>
      </c>
      <c r="E649" t="s">
        <v>38</v>
      </c>
      <c r="F649" t="s">
        <v>23</v>
      </c>
      <c r="G649">
        <v>78724.240000000005</v>
      </c>
      <c r="H649">
        <v>50920.29</v>
      </c>
      <c r="I649">
        <v>27803.95</v>
      </c>
      <c r="J649">
        <v>45310.58</v>
      </c>
      <c r="K649">
        <v>39693.19</v>
      </c>
      <c r="L649">
        <v>92222.44</v>
      </c>
      <c r="M649">
        <v>1861</v>
      </c>
      <c r="N649">
        <v>-3.6400000000000002E-2</v>
      </c>
      <c r="O649">
        <v>0.35320000000000001</v>
      </c>
      <c r="P649">
        <v>0.4304</v>
      </c>
      <c r="Q649" t="s">
        <v>72</v>
      </c>
      <c r="R649">
        <v>2024</v>
      </c>
      <c r="S649" t="s">
        <v>40</v>
      </c>
    </row>
    <row r="650" spans="1:19" x14ac:dyDescent="0.3">
      <c r="A650" t="s">
        <v>724</v>
      </c>
      <c r="B650" s="1">
        <v>44860</v>
      </c>
      <c r="C650" t="s">
        <v>20</v>
      </c>
      <c r="D650" t="s">
        <v>21</v>
      </c>
      <c r="E650" t="s">
        <v>38</v>
      </c>
      <c r="F650" t="s">
        <v>23</v>
      </c>
      <c r="G650">
        <v>76871.92</v>
      </c>
      <c r="H650">
        <v>68107.83</v>
      </c>
      <c r="I650">
        <v>8764.09</v>
      </c>
      <c r="K650">
        <v>45598.28</v>
      </c>
      <c r="L650">
        <v>237699.25</v>
      </c>
      <c r="M650">
        <v>1432</v>
      </c>
      <c r="N650">
        <v>1.7000000000000001E-2</v>
      </c>
      <c r="O650">
        <v>0.114</v>
      </c>
      <c r="P650">
        <v>0.1918</v>
      </c>
      <c r="Q650" t="s">
        <v>46</v>
      </c>
      <c r="R650">
        <v>2022</v>
      </c>
      <c r="S650" t="s">
        <v>25</v>
      </c>
    </row>
    <row r="651" spans="1:19" x14ac:dyDescent="0.3">
      <c r="A651" t="s">
        <v>725</v>
      </c>
      <c r="B651" s="1">
        <v>45234</v>
      </c>
      <c r="C651" t="s">
        <v>61</v>
      </c>
      <c r="D651" t="s">
        <v>74</v>
      </c>
      <c r="E651" t="s">
        <v>38</v>
      </c>
      <c r="F651" t="s">
        <v>23</v>
      </c>
      <c r="G651">
        <v>65548.77</v>
      </c>
      <c r="H651">
        <v>43922.1</v>
      </c>
      <c r="I651">
        <v>21626.67</v>
      </c>
      <c r="J651">
        <v>26154.880000000001</v>
      </c>
      <c r="K651">
        <v>25137.42</v>
      </c>
      <c r="L651">
        <v>94365.19</v>
      </c>
      <c r="M651">
        <v>2202</v>
      </c>
      <c r="N651">
        <v>-2.4199999999999999E-2</v>
      </c>
      <c r="O651">
        <v>0.32990000000000003</v>
      </c>
      <c r="P651">
        <v>0.26640000000000003</v>
      </c>
      <c r="Q651" t="s">
        <v>44</v>
      </c>
      <c r="R651">
        <v>2023</v>
      </c>
      <c r="S651" t="s">
        <v>25</v>
      </c>
    </row>
    <row r="652" spans="1:19" x14ac:dyDescent="0.3">
      <c r="A652" t="s">
        <v>726</v>
      </c>
      <c r="B652" s="1">
        <v>44647</v>
      </c>
      <c r="C652" t="s">
        <v>20</v>
      </c>
      <c r="D652" t="s">
        <v>21</v>
      </c>
      <c r="E652" t="s">
        <v>22</v>
      </c>
      <c r="F652" t="s">
        <v>23</v>
      </c>
      <c r="G652">
        <v>108875.03</v>
      </c>
      <c r="H652">
        <v>85109.35</v>
      </c>
      <c r="I652">
        <v>23765.68</v>
      </c>
      <c r="J652">
        <v>43419.6</v>
      </c>
      <c r="K652">
        <v>14062.75</v>
      </c>
      <c r="L652">
        <v>122254.46</v>
      </c>
      <c r="M652">
        <v>643</v>
      </c>
      <c r="N652">
        <v>7.4899999999999994E-2</v>
      </c>
      <c r="O652">
        <v>0.21829999999999999</v>
      </c>
      <c r="P652">
        <v>0.115</v>
      </c>
      <c r="Q652" t="s">
        <v>90</v>
      </c>
      <c r="R652">
        <v>2022</v>
      </c>
      <c r="S652" t="s">
        <v>25</v>
      </c>
    </row>
    <row r="653" spans="1:19" x14ac:dyDescent="0.3">
      <c r="A653" t="s">
        <v>727</v>
      </c>
      <c r="B653" s="1">
        <v>45681</v>
      </c>
      <c r="C653" t="s">
        <v>78</v>
      </c>
      <c r="D653" t="s">
        <v>79</v>
      </c>
      <c r="E653" t="s">
        <v>22</v>
      </c>
      <c r="F653" t="s">
        <v>23</v>
      </c>
      <c r="G653">
        <v>60314.63</v>
      </c>
      <c r="H653">
        <v>46960.42</v>
      </c>
      <c r="I653">
        <v>13354.21</v>
      </c>
      <c r="J653">
        <v>11808.85</v>
      </c>
      <c r="K653">
        <v>20500.259999999998</v>
      </c>
      <c r="L653">
        <v>83041.429999999993</v>
      </c>
      <c r="N653">
        <v>-3.2000000000000001E-2</v>
      </c>
      <c r="O653">
        <v>0.22140000000000001</v>
      </c>
      <c r="P653">
        <v>0.24690000000000001</v>
      </c>
      <c r="Q653" t="s">
        <v>106</v>
      </c>
      <c r="R653">
        <v>2025</v>
      </c>
      <c r="S653" t="s">
        <v>25</v>
      </c>
    </row>
    <row r="654" spans="1:19" x14ac:dyDescent="0.3">
      <c r="A654" t="s">
        <v>728</v>
      </c>
      <c r="B654" s="1">
        <v>44951</v>
      </c>
      <c r="C654" t="s">
        <v>54</v>
      </c>
      <c r="D654" t="s">
        <v>55</v>
      </c>
      <c r="E654" t="s">
        <v>38</v>
      </c>
      <c r="F654" t="s">
        <v>23</v>
      </c>
      <c r="G654">
        <v>119889.89</v>
      </c>
      <c r="H654">
        <v>98316.78</v>
      </c>
      <c r="I654">
        <v>21573.11</v>
      </c>
      <c r="J654">
        <v>9700.5400000000009</v>
      </c>
      <c r="K654">
        <v>111088.82</v>
      </c>
      <c r="L654">
        <v>33648.65</v>
      </c>
      <c r="M654">
        <v>1454</v>
      </c>
      <c r="N654">
        <v>8.5900000000000004E-2</v>
      </c>
      <c r="O654">
        <v>0.1799</v>
      </c>
      <c r="P654">
        <v>3.3014000000000001</v>
      </c>
      <c r="Q654" t="s">
        <v>118</v>
      </c>
      <c r="R654">
        <v>2023</v>
      </c>
      <c r="S654" t="s">
        <v>82</v>
      </c>
    </row>
    <row r="655" spans="1:19" x14ac:dyDescent="0.3">
      <c r="A655" t="s">
        <v>729</v>
      </c>
      <c r="B655" s="1">
        <v>45421</v>
      </c>
      <c r="C655" t="s">
        <v>54</v>
      </c>
      <c r="D655" t="s">
        <v>55</v>
      </c>
      <c r="E655" t="s">
        <v>22</v>
      </c>
      <c r="F655" t="s">
        <v>23</v>
      </c>
      <c r="G655">
        <v>100327.22</v>
      </c>
      <c r="H655">
        <v>85539.46</v>
      </c>
      <c r="I655">
        <v>14787.76</v>
      </c>
      <c r="J655">
        <v>27216.75</v>
      </c>
      <c r="K655">
        <v>64556.36</v>
      </c>
      <c r="L655">
        <v>66954.929999999993</v>
      </c>
      <c r="M655">
        <v>636</v>
      </c>
      <c r="N655">
        <v>-1.06E-2</v>
      </c>
      <c r="O655">
        <v>0.1474</v>
      </c>
      <c r="P655">
        <v>0.96419999999999995</v>
      </c>
      <c r="Q655" t="s">
        <v>111</v>
      </c>
      <c r="R655">
        <v>2024</v>
      </c>
      <c r="S655" t="s">
        <v>82</v>
      </c>
    </row>
    <row r="656" spans="1:19" x14ac:dyDescent="0.3">
      <c r="A656" t="s">
        <v>730</v>
      </c>
      <c r="B656" s="1">
        <v>44643</v>
      </c>
      <c r="C656" t="s">
        <v>36</v>
      </c>
      <c r="D656" t="s">
        <v>37</v>
      </c>
      <c r="E656" t="s">
        <v>22</v>
      </c>
      <c r="F656" t="s">
        <v>23</v>
      </c>
      <c r="G656">
        <v>73481.259999999995</v>
      </c>
      <c r="H656">
        <v>46766.5</v>
      </c>
      <c r="I656">
        <v>26714.76</v>
      </c>
      <c r="J656">
        <v>11672.81</v>
      </c>
      <c r="K656">
        <v>81502.509999999995</v>
      </c>
      <c r="L656">
        <v>54480.37</v>
      </c>
      <c r="M656">
        <v>647</v>
      </c>
      <c r="N656">
        <v>6.4399999999999999E-2</v>
      </c>
      <c r="O656">
        <v>0.36359999999999998</v>
      </c>
      <c r="P656">
        <v>1.496</v>
      </c>
      <c r="Q656" t="s">
        <v>90</v>
      </c>
      <c r="R656">
        <v>2022</v>
      </c>
      <c r="S656" t="s">
        <v>82</v>
      </c>
    </row>
    <row r="657" spans="1:19" x14ac:dyDescent="0.3">
      <c r="A657" t="s">
        <v>731</v>
      </c>
      <c r="B657" s="1">
        <v>45674</v>
      </c>
      <c r="C657" t="s">
        <v>30</v>
      </c>
      <c r="D657" t="s">
        <v>31</v>
      </c>
      <c r="E657" t="s">
        <v>32</v>
      </c>
      <c r="F657" t="s">
        <v>33</v>
      </c>
      <c r="G657">
        <v>370763.56</v>
      </c>
      <c r="H657">
        <v>280727.15000000002</v>
      </c>
      <c r="I657">
        <v>90036.41</v>
      </c>
      <c r="J657">
        <v>33935.08</v>
      </c>
      <c r="K657">
        <v>75149.350000000006</v>
      </c>
      <c r="L657">
        <v>38147.769999999997</v>
      </c>
      <c r="M657">
        <v>1099</v>
      </c>
      <c r="N657">
        <v>-2.5000000000000001E-2</v>
      </c>
      <c r="O657">
        <v>0.24279999999999999</v>
      </c>
      <c r="P657">
        <v>1.97</v>
      </c>
      <c r="Q657" t="s">
        <v>106</v>
      </c>
      <c r="R657">
        <v>2025</v>
      </c>
      <c r="S657" t="s">
        <v>82</v>
      </c>
    </row>
    <row r="658" spans="1:19" x14ac:dyDescent="0.3">
      <c r="A658" t="s">
        <v>732</v>
      </c>
      <c r="B658" s="1">
        <v>45238</v>
      </c>
      <c r="C658" t="s">
        <v>20</v>
      </c>
      <c r="D658" t="s">
        <v>21</v>
      </c>
      <c r="E658" t="s">
        <v>38</v>
      </c>
      <c r="F658" t="s">
        <v>23</v>
      </c>
      <c r="G658">
        <v>66382.2</v>
      </c>
      <c r="H658">
        <v>39838.699999999997</v>
      </c>
      <c r="I658">
        <v>26543.5</v>
      </c>
      <c r="J658">
        <v>46913.49</v>
      </c>
      <c r="K658">
        <v>12021.57</v>
      </c>
      <c r="L658">
        <v>108974.23</v>
      </c>
      <c r="M658">
        <v>696</v>
      </c>
      <c r="N658">
        <v>-0.1021</v>
      </c>
      <c r="O658">
        <v>0.39989999999999998</v>
      </c>
      <c r="P658">
        <v>0.1103</v>
      </c>
      <c r="Q658" t="s">
        <v>44</v>
      </c>
      <c r="R658">
        <v>2023</v>
      </c>
      <c r="S658" t="s">
        <v>25</v>
      </c>
    </row>
    <row r="659" spans="1:19" x14ac:dyDescent="0.3">
      <c r="A659" t="s">
        <v>733</v>
      </c>
      <c r="B659" s="1">
        <v>45608</v>
      </c>
      <c r="C659" t="s">
        <v>42</v>
      </c>
      <c r="D659" t="s">
        <v>43</v>
      </c>
      <c r="E659" t="s">
        <v>22</v>
      </c>
      <c r="F659" t="s">
        <v>23</v>
      </c>
      <c r="G659">
        <v>76453.77</v>
      </c>
      <c r="H659">
        <v>46220.73</v>
      </c>
      <c r="I659">
        <v>30233.040000000001</v>
      </c>
      <c r="J659">
        <v>9676.67</v>
      </c>
      <c r="K659">
        <v>69106.73</v>
      </c>
      <c r="L659">
        <v>278554.42</v>
      </c>
      <c r="M659">
        <v>1020</v>
      </c>
      <c r="N659">
        <v>2.0500000000000001E-2</v>
      </c>
      <c r="O659">
        <v>0.39539999999999997</v>
      </c>
      <c r="P659">
        <v>0.24809999999999999</v>
      </c>
      <c r="Q659" t="s">
        <v>52</v>
      </c>
      <c r="R659">
        <v>2024</v>
      </c>
      <c r="S659" t="s">
        <v>25</v>
      </c>
    </row>
    <row r="660" spans="1:19" x14ac:dyDescent="0.3">
      <c r="A660" t="s">
        <v>734</v>
      </c>
      <c r="B660" s="1">
        <v>45598</v>
      </c>
      <c r="C660" t="s">
        <v>54</v>
      </c>
      <c r="D660" t="s">
        <v>55</v>
      </c>
      <c r="E660" t="s">
        <v>32</v>
      </c>
      <c r="F660" t="s">
        <v>33</v>
      </c>
      <c r="G660">
        <v>56391.01</v>
      </c>
      <c r="H660">
        <v>49690.71</v>
      </c>
      <c r="I660">
        <v>6700.3</v>
      </c>
      <c r="J660">
        <v>19504.150000000001</v>
      </c>
      <c r="K660">
        <v>23627.68</v>
      </c>
      <c r="L660">
        <v>78250.81</v>
      </c>
      <c r="M660">
        <v>688</v>
      </c>
      <c r="N660">
        <v>4.4000000000000003E-3</v>
      </c>
      <c r="O660">
        <v>0.1188</v>
      </c>
      <c r="P660">
        <v>0.3019</v>
      </c>
      <c r="Q660" t="s">
        <v>52</v>
      </c>
      <c r="R660">
        <v>2024</v>
      </c>
      <c r="S660" t="s">
        <v>40</v>
      </c>
    </row>
    <row r="661" spans="1:19" x14ac:dyDescent="0.3">
      <c r="A661" t="s">
        <v>735</v>
      </c>
      <c r="B661" s="1">
        <v>44621</v>
      </c>
      <c r="C661" t="s">
        <v>78</v>
      </c>
      <c r="D661" t="s">
        <v>79</v>
      </c>
      <c r="E661" t="s">
        <v>22</v>
      </c>
      <c r="F661" t="s">
        <v>23</v>
      </c>
      <c r="G661">
        <v>97048.33</v>
      </c>
      <c r="H661">
        <v>59286.23</v>
      </c>
      <c r="I661">
        <v>37762.1</v>
      </c>
      <c r="J661">
        <v>18851.45</v>
      </c>
      <c r="K661">
        <v>98007.1</v>
      </c>
      <c r="L661">
        <v>130099.94</v>
      </c>
      <c r="M661">
        <v>3112</v>
      </c>
      <c r="N661">
        <v>-0.1065</v>
      </c>
      <c r="O661">
        <v>0.3891</v>
      </c>
      <c r="P661">
        <v>0.75329999999999997</v>
      </c>
      <c r="Q661" t="s">
        <v>90</v>
      </c>
      <c r="R661">
        <v>2022</v>
      </c>
      <c r="S661" t="s">
        <v>82</v>
      </c>
    </row>
    <row r="662" spans="1:19" x14ac:dyDescent="0.3">
      <c r="A662" t="s">
        <v>736</v>
      </c>
      <c r="B662" s="1">
        <v>45742</v>
      </c>
      <c r="C662" t="s">
        <v>48</v>
      </c>
      <c r="D662" t="s">
        <v>49</v>
      </c>
      <c r="E662" t="s">
        <v>22</v>
      </c>
      <c r="F662" t="s">
        <v>23</v>
      </c>
      <c r="G662">
        <v>162606.66</v>
      </c>
      <c r="J662">
        <v>28158.79</v>
      </c>
      <c r="K662">
        <v>9283.34</v>
      </c>
      <c r="L662">
        <v>230843.41</v>
      </c>
      <c r="M662">
        <v>667</v>
      </c>
      <c r="N662">
        <v>9.1200000000000003E-2</v>
      </c>
      <c r="P662">
        <v>4.02E-2</v>
      </c>
      <c r="Q662" t="s">
        <v>106</v>
      </c>
      <c r="R662">
        <v>2025</v>
      </c>
      <c r="S662" t="s">
        <v>25</v>
      </c>
    </row>
    <row r="663" spans="1:19" x14ac:dyDescent="0.3">
      <c r="A663" t="s">
        <v>737</v>
      </c>
      <c r="B663" s="1">
        <v>44766</v>
      </c>
      <c r="C663" t="s">
        <v>48</v>
      </c>
      <c r="D663" t="s">
        <v>49</v>
      </c>
      <c r="E663" t="s">
        <v>22</v>
      </c>
      <c r="F663" t="s">
        <v>23</v>
      </c>
      <c r="G663">
        <v>156163.16</v>
      </c>
      <c r="H663">
        <v>90492.17</v>
      </c>
      <c r="I663">
        <v>65670.990000000005</v>
      </c>
      <c r="J663">
        <v>18435.13</v>
      </c>
      <c r="K663">
        <v>25421.47</v>
      </c>
      <c r="L663">
        <v>56207.63</v>
      </c>
      <c r="M663">
        <v>1370</v>
      </c>
      <c r="N663">
        <v>2.9999999999999997E-4</v>
      </c>
      <c r="O663">
        <v>0.42049999999999998</v>
      </c>
      <c r="P663">
        <v>0.45229999999999998</v>
      </c>
      <c r="Q663" t="s">
        <v>76</v>
      </c>
      <c r="R663">
        <v>2022</v>
      </c>
      <c r="S663" t="s">
        <v>40</v>
      </c>
    </row>
    <row r="664" spans="1:19" x14ac:dyDescent="0.3">
      <c r="A664" t="s">
        <v>738</v>
      </c>
      <c r="B664" s="1">
        <v>44787</v>
      </c>
      <c r="C664" t="s">
        <v>61</v>
      </c>
      <c r="D664" t="s">
        <v>74</v>
      </c>
      <c r="E664" t="s">
        <v>109</v>
      </c>
      <c r="F664" t="s">
        <v>23</v>
      </c>
      <c r="G664">
        <v>83793.509999999995</v>
      </c>
      <c r="H664">
        <v>59467.1</v>
      </c>
      <c r="I664">
        <v>24326.41</v>
      </c>
      <c r="J664">
        <v>22188.53</v>
      </c>
      <c r="K664">
        <v>19371.349999999999</v>
      </c>
      <c r="L664">
        <v>88953.44</v>
      </c>
      <c r="M664">
        <v>1614</v>
      </c>
      <c r="N664">
        <v>1.83E-2</v>
      </c>
      <c r="O664">
        <v>0.2903</v>
      </c>
      <c r="P664">
        <v>0.21779999999999999</v>
      </c>
      <c r="Q664" t="s">
        <v>76</v>
      </c>
      <c r="R664">
        <v>2022</v>
      </c>
      <c r="S664" t="s">
        <v>25</v>
      </c>
    </row>
    <row r="665" spans="1:19" x14ac:dyDescent="0.3">
      <c r="A665" t="s">
        <v>739</v>
      </c>
      <c r="B665" s="1">
        <v>45913</v>
      </c>
      <c r="C665" t="s">
        <v>78</v>
      </c>
      <c r="E665" t="s">
        <v>32</v>
      </c>
      <c r="F665" t="s">
        <v>33</v>
      </c>
      <c r="G665">
        <v>76828.36</v>
      </c>
      <c r="H665">
        <v>51949.61</v>
      </c>
      <c r="I665">
        <v>24878.75</v>
      </c>
      <c r="J665">
        <v>50810.8</v>
      </c>
      <c r="K665">
        <v>28126.560000000001</v>
      </c>
      <c r="L665">
        <v>140685.69</v>
      </c>
      <c r="M665">
        <v>975</v>
      </c>
      <c r="N665">
        <v>-3.1899999999999998E-2</v>
      </c>
      <c r="O665">
        <v>0.32379999999999998</v>
      </c>
      <c r="P665">
        <v>0.19989999999999999</v>
      </c>
      <c r="Q665" t="s">
        <v>24</v>
      </c>
      <c r="R665">
        <v>2025</v>
      </c>
      <c r="S665" t="s">
        <v>25</v>
      </c>
    </row>
    <row r="666" spans="1:19" x14ac:dyDescent="0.3">
      <c r="A666" t="s">
        <v>740</v>
      </c>
      <c r="B666" s="1">
        <v>44610</v>
      </c>
      <c r="C666" t="s">
        <v>61</v>
      </c>
      <c r="D666" t="s">
        <v>74</v>
      </c>
      <c r="E666" t="s">
        <v>51</v>
      </c>
      <c r="F666" t="s">
        <v>23</v>
      </c>
      <c r="G666">
        <v>31631.19</v>
      </c>
      <c r="H666">
        <v>28705.41</v>
      </c>
      <c r="I666">
        <v>2925.78</v>
      </c>
      <c r="J666">
        <v>82122.06</v>
      </c>
      <c r="K666">
        <v>40595.22</v>
      </c>
      <c r="L666">
        <v>228215.2</v>
      </c>
      <c r="M666">
        <v>602</v>
      </c>
      <c r="N666">
        <v>-9.8900000000000002E-2</v>
      </c>
      <c r="O666">
        <v>9.2499999999999999E-2</v>
      </c>
      <c r="P666">
        <v>0.1779</v>
      </c>
      <c r="Q666" t="s">
        <v>90</v>
      </c>
      <c r="R666">
        <v>2022</v>
      </c>
      <c r="S666" t="s">
        <v>25</v>
      </c>
    </row>
    <row r="667" spans="1:19" x14ac:dyDescent="0.3">
      <c r="A667" t="s">
        <v>741</v>
      </c>
      <c r="B667" s="1">
        <v>45477</v>
      </c>
      <c r="C667" t="s">
        <v>48</v>
      </c>
      <c r="D667" t="s">
        <v>49</v>
      </c>
      <c r="E667" t="s">
        <v>38</v>
      </c>
      <c r="F667" t="s">
        <v>23</v>
      </c>
      <c r="G667">
        <v>128722.8</v>
      </c>
      <c r="H667">
        <v>93659.59</v>
      </c>
      <c r="I667">
        <v>35063.21</v>
      </c>
      <c r="J667">
        <v>16437.89</v>
      </c>
      <c r="K667">
        <v>11206.23</v>
      </c>
      <c r="L667">
        <v>64013.47</v>
      </c>
      <c r="M667">
        <v>1766</v>
      </c>
      <c r="N667">
        <v>-1.4200000000000001E-2</v>
      </c>
      <c r="O667">
        <v>0.27239999999999998</v>
      </c>
      <c r="P667">
        <v>0.17510000000000001</v>
      </c>
      <c r="Q667" t="s">
        <v>72</v>
      </c>
      <c r="R667">
        <v>2024</v>
      </c>
      <c r="S667" t="s">
        <v>25</v>
      </c>
    </row>
    <row r="668" spans="1:19" x14ac:dyDescent="0.3">
      <c r="A668" t="s">
        <v>742</v>
      </c>
      <c r="B668" s="1">
        <v>44791</v>
      </c>
      <c r="C668" t="s">
        <v>54</v>
      </c>
      <c r="D668" t="s">
        <v>55</v>
      </c>
      <c r="E668" t="s">
        <v>32</v>
      </c>
      <c r="F668" t="s">
        <v>33</v>
      </c>
      <c r="G668">
        <v>39804.82</v>
      </c>
      <c r="H668">
        <v>26616.34</v>
      </c>
      <c r="I668">
        <v>13188.48</v>
      </c>
      <c r="J668">
        <v>39502.15</v>
      </c>
      <c r="K668">
        <v>20124.259999999998</v>
      </c>
      <c r="L668">
        <v>126545.37</v>
      </c>
      <c r="M668">
        <v>458</v>
      </c>
      <c r="N668">
        <v>0.1338</v>
      </c>
      <c r="O668">
        <v>0.33129999999999998</v>
      </c>
      <c r="P668">
        <v>0.159</v>
      </c>
      <c r="Q668" t="s">
        <v>76</v>
      </c>
      <c r="R668">
        <v>2022</v>
      </c>
      <c r="S668" t="s">
        <v>25</v>
      </c>
    </row>
    <row r="669" spans="1:19" x14ac:dyDescent="0.3">
      <c r="A669" t="s">
        <v>743</v>
      </c>
      <c r="B669" s="1">
        <v>44635</v>
      </c>
      <c r="C669" t="s">
        <v>30</v>
      </c>
      <c r="D669" t="s">
        <v>31</v>
      </c>
      <c r="E669" t="s">
        <v>38</v>
      </c>
      <c r="F669" t="s">
        <v>23</v>
      </c>
      <c r="G669">
        <v>33917.61</v>
      </c>
      <c r="H669">
        <v>19882.740000000002</v>
      </c>
      <c r="I669">
        <v>14034.87</v>
      </c>
      <c r="J669">
        <v>54562.080000000002</v>
      </c>
      <c r="K669">
        <v>88856.62</v>
      </c>
      <c r="L669">
        <v>347944.25</v>
      </c>
      <c r="M669">
        <v>909</v>
      </c>
      <c r="N669">
        <v>-7.6899999999999996E-2</v>
      </c>
      <c r="O669">
        <v>0.4138</v>
      </c>
      <c r="P669">
        <v>0.25540000000000002</v>
      </c>
      <c r="Q669" t="s">
        <v>90</v>
      </c>
      <c r="R669">
        <v>2022</v>
      </c>
      <c r="S669" t="s">
        <v>25</v>
      </c>
    </row>
    <row r="670" spans="1:19" x14ac:dyDescent="0.3">
      <c r="A670" t="s">
        <v>744</v>
      </c>
      <c r="B670" s="1">
        <v>44944</v>
      </c>
      <c r="C670" t="s">
        <v>85</v>
      </c>
      <c r="D670" t="s">
        <v>86</v>
      </c>
      <c r="E670" t="s">
        <v>22</v>
      </c>
      <c r="F670" t="s">
        <v>23</v>
      </c>
      <c r="G670">
        <v>37434.949999999997</v>
      </c>
      <c r="H670">
        <v>22291.81</v>
      </c>
      <c r="I670">
        <v>15143.14</v>
      </c>
      <c r="J670">
        <v>28401.63</v>
      </c>
      <c r="K670">
        <v>91454.12</v>
      </c>
      <c r="L670">
        <v>159196.82</v>
      </c>
      <c r="M670">
        <v>1028</v>
      </c>
      <c r="N670">
        <v>0.1208</v>
      </c>
      <c r="O670">
        <v>0.40450000000000003</v>
      </c>
      <c r="P670">
        <v>0.57450000000000001</v>
      </c>
      <c r="Q670" t="s">
        <v>118</v>
      </c>
      <c r="R670">
        <v>2023</v>
      </c>
      <c r="S670" t="s">
        <v>40</v>
      </c>
    </row>
    <row r="671" spans="1:19" x14ac:dyDescent="0.3">
      <c r="A671" t="s">
        <v>745</v>
      </c>
      <c r="B671" s="1">
        <v>45921</v>
      </c>
      <c r="C671" t="s">
        <v>48</v>
      </c>
      <c r="D671" t="s">
        <v>49</v>
      </c>
      <c r="E671" t="s">
        <v>38</v>
      </c>
      <c r="F671" t="s">
        <v>23</v>
      </c>
      <c r="G671">
        <v>32311.53</v>
      </c>
      <c r="H671">
        <v>26862.89</v>
      </c>
      <c r="I671">
        <v>5448.64</v>
      </c>
      <c r="J671">
        <v>36973.599999999999</v>
      </c>
      <c r="K671">
        <v>34070.46</v>
      </c>
      <c r="L671">
        <v>87050.98</v>
      </c>
      <c r="M671">
        <v>746</v>
      </c>
      <c r="N671">
        <v>0.1464</v>
      </c>
      <c r="O671">
        <v>0.1686</v>
      </c>
      <c r="P671">
        <v>0.39140000000000003</v>
      </c>
      <c r="Q671" t="s">
        <v>24</v>
      </c>
      <c r="R671">
        <v>2025</v>
      </c>
      <c r="S671" t="s">
        <v>40</v>
      </c>
    </row>
    <row r="672" spans="1:19" x14ac:dyDescent="0.3">
      <c r="A672" t="s">
        <v>746</v>
      </c>
      <c r="B672" s="1">
        <v>45907</v>
      </c>
      <c r="C672" t="s">
        <v>42</v>
      </c>
      <c r="D672" t="s">
        <v>43</v>
      </c>
      <c r="E672" t="s">
        <v>32</v>
      </c>
      <c r="F672" t="s">
        <v>33</v>
      </c>
      <c r="G672">
        <v>16354.56</v>
      </c>
      <c r="H672">
        <v>11979.74</v>
      </c>
      <c r="I672">
        <v>4374.82</v>
      </c>
      <c r="J672">
        <v>25521.93</v>
      </c>
      <c r="K672">
        <v>9577.4699999999993</v>
      </c>
      <c r="L672">
        <v>102127.67999999999</v>
      </c>
      <c r="M672">
        <v>1024</v>
      </c>
      <c r="N672">
        <v>6.0400000000000002E-2</v>
      </c>
      <c r="O672">
        <v>0.26750000000000002</v>
      </c>
      <c r="P672">
        <v>9.3799999999999994E-2</v>
      </c>
      <c r="Q672" t="s">
        <v>24</v>
      </c>
      <c r="R672">
        <v>2025</v>
      </c>
      <c r="S672" t="s">
        <v>25</v>
      </c>
    </row>
    <row r="673" spans="1:19" x14ac:dyDescent="0.3">
      <c r="A673" t="s">
        <v>747</v>
      </c>
      <c r="B673" s="1">
        <v>45199</v>
      </c>
      <c r="C673" t="s">
        <v>36</v>
      </c>
      <c r="D673" t="s">
        <v>37</v>
      </c>
      <c r="E673" t="s">
        <v>38</v>
      </c>
      <c r="F673" t="s">
        <v>23</v>
      </c>
      <c r="G673">
        <v>39544.769999999997</v>
      </c>
      <c r="H673">
        <v>22901.1</v>
      </c>
      <c r="I673">
        <v>16643.669999999998</v>
      </c>
      <c r="J673">
        <v>39417.71</v>
      </c>
      <c r="K673">
        <v>3834.33</v>
      </c>
      <c r="L673">
        <v>139437.41</v>
      </c>
      <c r="M673">
        <v>622</v>
      </c>
      <c r="N673">
        <v>2.3199999999999998E-2</v>
      </c>
      <c r="O673">
        <v>0.4209</v>
      </c>
      <c r="P673">
        <v>2.75E-2</v>
      </c>
      <c r="Q673" t="s">
        <v>56</v>
      </c>
      <c r="R673">
        <v>2023</v>
      </c>
      <c r="S673" t="s">
        <v>25</v>
      </c>
    </row>
    <row r="674" spans="1:19" x14ac:dyDescent="0.3">
      <c r="A674" t="s">
        <v>748</v>
      </c>
      <c r="B674" s="1">
        <v>45134</v>
      </c>
      <c r="C674" t="s">
        <v>85</v>
      </c>
      <c r="D674" t="s">
        <v>86</v>
      </c>
      <c r="E674" t="s">
        <v>38</v>
      </c>
      <c r="F674" t="s">
        <v>23</v>
      </c>
      <c r="G674">
        <v>240922.68</v>
      </c>
      <c r="H674">
        <v>161515.71</v>
      </c>
      <c r="I674">
        <v>79406.97</v>
      </c>
      <c r="J674">
        <v>49955.040000000001</v>
      </c>
      <c r="K674">
        <v>16688.650000000001</v>
      </c>
      <c r="L674">
        <v>67009.17</v>
      </c>
      <c r="M674">
        <v>854</v>
      </c>
      <c r="N674">
        <v>1.26E-2</v>
      </c>
      <c r="O674">
        <v>0.3296</v>
      </c>
      <c r="P674">
        <v>0.24909999999999999</v>
      </c>
      <c r="Q674" t="s">
        <v>56</v>
      </c>
      <c r="R674">
        <v>2023</v>
      </c>
      <c r="S674" t="s">
        <v>25</v>
      </c>
    </row>
    <row r="675" spans="1:19" x14ac:dyDescent="0.3">
      <c r="A675" t="s">
        <v>749</v>
      </c>
      <c r="B675" s="1">
        <v>45025</v>
      </c>
      <c r="C675" t="s">
        <v>36</v>
      </c>
      <c r="D675" t="s">
        <v>37</v>
      </c>
      <c r="E675" t="s">
        <v>22</v>
      </c>
      <c r="F675" t="s">
        <v>23</v>
      </c>
      <c r="G675">
        <v>35700.86</v>
      </c>
      <c r="H675">
        <v>20502.02</v>
      </c>
      <c r="I675">
        <v>15198.84</v>
      </c>
      <c r="J675">
        <v>58360.08</v>
      </c>
      <c r="K675">
        <v>46078.45</v>
      </c>
      <c r="L675">
        <v>284301.09999999998</v>
      </c>
      <c r="M675">
        <v>414</v>
      </c>
      <c r="N675">
        <v>-8.0199999999999994E-2</v>
      </c>
      <c r="O675">
        <v>0.42570000000000002</v>
      </c>
      <c r="P675">
        <v>0.16209999999999999</v>
      </c>
      <c r="Q675" t="s">
        <v>39</v>
      </c>
      <c r="R675">
        <v>2023</v>
      </c>
      <c r="S675" t="s">
        <v>25</v>
      </c>
    </row>
    <row r="676" spans="1:19" x14ac:dyDescent="0.3">
      <c r="A676" t="s">
        <v>750</v>
      </c>
      <c r="B676" s="1">
        <v>45387</v>
      </c>
      <c r="C676" t="s">
        <v>42</v>
      </c>
      <c r="D676" t="s">
        <v>43</v>
      </c>
      <c r="E676" t="s">
        <v>32</v>
      </c>
      <c r="F676" t="s">
        <v>33</v>
      </c>
      <c r="G676">
        <v>51616.05</v>
      </c>
      <c r="H676">
        <v>30098.48</v>
      </c>
      <c r="I676">
        <v>21517.57</v>
      </c>
      <c r="J676">
        <v>28385.79</v>
      </c>
      <c r="K676">
        <v>5666.39</v>
      </c>
      <c r="L676">
        <v>59005.34</v>
      </c>
      <c r="M676">
        <v>376</v>
      </c>
      <c r="N676">
        <v>2.1999999999999999E-2</v>
      </c>
      <c r="O676">
        <v>0.41689999999999999</v>
      </c>
      <c r="P676">
        <v>9.6000000000000002E-2</v>
      </c>
      <c r="Q676" t="s">
        <v>111</v>
      </c>
      <c r="R676">
        <v>2024</v>
      </c>
      <c r="S676" t="s">
        <v>25</v>
      </c>
    </row>
    <row r="677" spans="1:19" x14ac:dyDescent="0.3">
      <c r="A677" t="s">
        <v>751</v>
      </c>
      <c r="B677" s="1">
        <v>45652</v>
      </c>
      <c r="C677" t="s">
        <v>42</v>
      </c>
      <c r="D677" t="s">
        <v>43</v>
      </c>
      <c r="E677" t="s">
        <v>32</v>
      </c>
      <c r="F677" t="s">
        <v>33</v>
      </c>
      <c r="G677">
        <v>40997.03</v>
      </c>
      <c r="H677">
        <v>33016.050000000003</v>
      </c>
      <c r="I677">
        <v>7980.98</v>
      </c>
      <c r="J677">
        <v>50987.1</v>
      </c>
      <c r="K677">
        <v>8908.19</v>
      </c>
      <c r="L677">
        <v>66529.679999999993</v>
      </c>
      <c r="M677">
        <v>330</v>
      </c>
      <c r="N677">
        <v>-2.8899999999999999E-2</v>
      </c>
      <c r="O677">
        <v>0.19470000000000001</v>
      </c>
      <c r="P677">
        <v>0.13389999999999999</v>
      </c>
      <c r="Q677" t="s">
        <v>52</v>
      </c>
      <c r="R677">
        <v>2024</v>
      </c>
      <c r="S677" t="s">
        <v>25</v>
      </c>
    </row>
    <row r="678" spans="1:19" x14ac:dyDescent="0.3">
      <c r="A678" t="s">
        <v>752</v>
      </c>
      <c r="B678" s="1">
        <v>45147</v>
      </c>
      <c r="C678" t="s">
        <v>48</v>
      </c>
      <c r="D678" t="s">
        <v>49</v>
      </c>
      <c r="E678" t="s">
        <v>22</v>
      </c>
      <c r="F678" t="s">
        <v>23</v>
      </c>
      <c r="H678">
        <v>107631.8</v>
      </c>
      <c r="J678">
        <v>77623.16</v>
      </c>
      <c r="K678">
        <v>8953.68</v>
      </c>
      <c r="L678">
        <v>129976.05</v>
      </c>
      <c r="M678">
        <v>835</v>
      </c>
      <c r="N678">
        <v>2.63E-2</v>
      </c>
      <c r="P678">
        <v>6.8900000000000003E-2</v>
      </c>
      <c r="Q678" t="s">
        <v>56</v>
      </c>
      <c r="R678">
        <v>2023</v>
      </c>
      <c r="S678" t="s">
        <v>25</v>
      </c>
    </row>
    <row r="679" spans="1:19" x14ac:dyDescent="0.3">
      <c r="A679" t="s">
        <v>753</v>
      </c>
      <c r="B679" s="1">
        <v>44750</v>
      </c>
      <c r="C679" t="s">
        <v>78</v>
      </c>
      <c r="D679" t="s">
        <v>79</v>
      </c>
      <c r="E679" t="s">
        <v>38</v>
      </c>
      <c r="F679" t="s">
        <v>23</v>
      </c>
      <c r="G679">
        <v>78400.78</v>
      </c>
      <c r="H679">
        <v>56194.64</v>
      </c>
      <c r="I679">
        <v>22206.14</v>
      </c>
      <c r="J679">
        <v>36757.339999999997</v>
      </c>
      <c r="K679">
        <v>42549.5</v>
      </c>
      <c r="L679">
        <v>121007.74</v>
      </c>
      <c r="M679">
        <v>670</v>
      </c>
      <c r="N679">
        <v>4.82E-2</v>
      </c>
      <c r="O679">
        <v>0.28320000000000001</v>
      </c>
      <c r="P679">
        <v>0.35160000000000002</v>
      </c>
      <c r="Q679" t="s">
        <v>76</v>
      </c>
      <c r="R679">
        <v>2022</v>
      </c>
      <c r="S679" t="s">
        <v>40</v>
      </c>
    </row>
    <row r="680" spans="1:19" x14ac:dyDescent="0.3">
      <c r="A680" t="s">
        <v>754</v>
      </c>
      <c r="B680" s="1">
        <v>44774</v>
      </c>
      <c r="C680" t="s">
        <v>27</v>
      </c>
      <c r="D680" t="s">
        <v>28</v>
      </c>
      <c r="E680" t="s">
        <v>38</v>
      </c>
      <c r="F680" t="s">
        <v>23</v>
      </c>
      <c r="G680">
        <v>68446.91</v>
      </c>
      <c r="H680">
        <v>54790.48</v>
      </c>
      <c r="I680">
        <v>13656.43</v>
      </c>
      <c r="J680">
        <v>64651.51</v>
      </c>
      <c r="K680">
        <v>12964.07</v>
      </c>
      <c r="L680">
        <v>124247.81</v>
      </c>
      <c r="M680">
        <v>867</v>
      </c>
      <c r="N680">
        <v>2.4799999999999999E-2</v>
      </c>
      <c r="O680">
        <v>0.19950000000000001</v>
      </c>
      <c r="P680">
        <v>0.1043</v>
      </c>
      <c r="Q680" t="s">
        <v>76</v>
      </c>
      <c r="R680">
        <v>2022</v>
      </c>
      <c r="S680" t="s">
        <v>25</v>
      </c>
    </row>
    <row r="681" spans="1:19" x14ac:dyDescent="0.3">
      <c r="A681" t="s">
        <v>755</v>
      </c>
      <c r="B681" s="1">
        <v>45452</v>
      </c>
      <c r="C681" t="s">
        <v>48</v>
      </c>
      <c r="D681" t="s">
        <v>49</v>
      </c>
      <c r="E681" t="s">
        <v>22</v>
      </c>
      <c r="F681" t="s">
        <v>23</v>
      </c>
      <c r="H681">
        <v>20492.43</v>
      </c>
      <c r="J681">
        <v>11931.99</v>
      </c>
      <c r="K681">
        <v>38590.839999999997</v>
      </c>
      <c r="L681">
        <v>139326.96</v>
      </c>
      <c r="M681">
        <v>442</v>
      </c>
      <c r="N681">
        <v>9.11E-2</v>
      </c>
      <c r="P681">
        <v>0.27700000000000002</v>
      </c>
      <c r="Q681" t="s">
        <v>111</v>
      </c>
      <c r="R681">
        <v>2024</v>
      </c>
      <c r="S681" t="s">
        <v>25</v>
      </c>
    </row>
    <row r="682" spans="1:19" x14ac:dyDescent="0.3">
      <c r="A682" t="s">
        <v>756</v>
      </c>
      <c r="B682" s="1">
        <v>44641</v>
      </c>
      <c r="C682" t="s">
        <v>27</v>
      </c>
      <c r="D682" t="s">
        <v>28</v>
      </c>
      <c r="E682" t="s">
        <v>38</v>
      </c>
      <c r="F682" t="s">
        <v>23</v>
      </c>
      <c r="G682">
        <v>75793.48</v>
      </c>
      <c r="H682">
        <v>61284.22</v>
      </c>
      <c r="I682">
        <v>14509.26</v>
      </c>
      <c r="J682">
        <v>26267.78</v>
      </c>
      <c r="K682">
        <v>22572.57</v>
      </c>
      <c r="L682">
        <v>87033.21</v>
      </c>
      <c r="M682">
        <v>752</v>
      </c>
      <c r="N682">
        <v>2.58E-2</v>
      </c>
      <c r="O682">
        <v>0.19139999999999999</v>
      </c>
      <c r="P682">
        <v>0.25940000000000002</v>
      </c>
      <c r="Q682" t="s">
        <v>90</v>
      </c>
      <c r="R682">
        <v>2022</v>
      </c>
      <c r="S682" t="s">
        <v>25</v>
      </c>
    </row>
    <row r="683" spans="1:19" x14ac:dyDescent="0.3">
      <c r="A683" t="s">
        <v>757</v>
      </c>
      <c r="B683" s="1">
        <v>44809</v>
      </c>
      <c r="C683" t="s">
        <v>48</v>
      </c>
      <c r="D683" t="s">
        <v>49</v>
      </c>
      <c r="E683" t="s">
        <v>22</v>
      </c>
      <c r="F683" t="s">
        <v>23</v>
      </c>
      <c r="G683">
        <v>78094.25</v>
      </c>
      <c r="H683">
        <v>66283.81</v>
      </c>
      <c r="I683">
        <v>11810.44</v>
      </c>
      <c r="J683">
        <v>45647.55</v>
      </c>
      <c r="K683">
        <v>22293.73</v>
      </c>
      <c r="L683">
        <v>76281.490000000005</v>
      </c>
      <c r="M683">
        <v>1285</v>
      </c>
      <c r="N683">
        <v>-0.1305</v>
      </c>
      <c r="O683">
        <v>0.1512</v>
      </c>
      <c r="P683">
        <v>0.2923</v>
      </c>
      <c r="Q683" t="s">
        <v>76</v>
      </c>
      <c r="R683">
        <v>2022</v>
      </c>
      <c r="S683" t="s">
        <v>25</v>
      </c>
    </row>
    <row r="684" spans="1:19" x14ac:dyDescent="0.3">
      <c r="A684" t="s">
        <v>758</v>
      </c>
      <c r="B684" s="1">
        <v>44870</v>
      </c>
      <c r="C684" t="s">
        <v>68</v>
      </c>
      <c r="D684" t="s">
        <v>69</v>
      </c>
      <c r="E684" t="s">
        <v>38</v>
      </c>
      <c r="F684" t="s">
        <v>23</v>
      </c>
      <c r="G684">
        <v>111282.66</v>
      </c>
      <c r="H684">
        <v>83558.25</v>
      </c>
      <c r="I684">
        <v>27724.41</v>
      </c>
      <c r="J684">
        <v>15224.61</v>
      </c>
      <c r="K684">
        <v>30652</v>
      </c>
      <c r="L684">
        <v>42211.85</v>
      </c>
      <c r="M684">
        <v>852</v>
      </c>
      <c r="N684">
        <v>5.5599999999999997E-2</v>
      </c>
      <c r="O684">
        <v>0.24909999999999999</v>
      </c>
      <c r="P684">
        <v>0.72609999999999997</v>
      </c>
      <c r="Q684" t="s">
        <v>46</v>
      </c>
      <c r="R684">
        <v>2022</v>
      </c>
      <c r="S684" t="s">
        <v>82</v>
      </c>
    </row>
    <row r="685" spans="1:19" x14ac:dyDescent="0.3">
      <c r="A685" t="s">
        <v>759</v>
      </c>
      <c r="B685" s="1">
        <v>45746</v>
      </c>
      <c r="C685" t="s">
        <v>85</v>
      </c>
      <c r="D685" t="s">
        <v>86</v>
      </c>
      <c r="E685" t="s">
        <v>22</v>
      </c>
      <c r="F685" t="s">
        <v>23</v>
      </c>
      <c r="G685">
        <v>86241.72</v>
      </c>
      <c r="H685">
        <v>73617.08</v>
      </c>
      <c r="I685">
        <v>12624.64</v>
      </c>
      <c r="J685">
        <v>17534.43</v>
      </c>
      <c r="K685">
        <v>12414.72</v>
      </c>
      <c r="L685">
        <v>50491.199999999997</v>
      </c>
      <c r="M685">
        <v>940</v>
      </c>
      <c r="N685">
        <v>-0.1636</v>
      </c>
      <c r="O685">
        <v>0.1464</v>
      </c>
      <c r="P685">
        <v>0.24590000000000001</v>
      </c>
      <c r="Q685" t="s">
        <v>106</v>
      </c>
      <c r="R685">
        <v>2025</v>
      </c>
      <c r="S685" t="s">
        <v>25</v>
      </c>
    </row>
    <row r="686" spans="1:19" x14ac:dyDescent="0.3">
      <c r="A686" t="s">
        <v>760</v>
      </c>
      <c r="B686" s="1">
        <v>45407</v>
      </c>
      <c r="C686" t="s">
        <v>30</v>
      </c>
      <c r="D686" t="s">
        <v>31</v>
      </c>
      <c r="E686" t="s">
        <v>51</v>
      </c>
      <c r="F686" t="s">
        <v>23</v>
      </c>
      <c r="G686">
        <v>114066.12</v>
      </c>
      <c r="H686">
        <v>74302.14</v>
      </c>
      <c r="I686">
        <v>39763.980000000003</v>
      </c>
      <c r="J686">
        <v>61091.72</v>
      </c>
      <c r="K686">
        <v>22175.94</v>
      </c>
      <c r="L686">
        <v>203229.09</v>
      </c>
      <c r="M686">
        <v>642</v>
      </c>
      <c r="N686">
        <v>-9.9500000000000005E-2</v>
      </c>
      <c r="O686">
        <v>0.34860000000000002</v>
      </c>
      <c r="P686">
        <v>0.1091</v>
      </c>
      <c r="Q686" t="s">
        <v>111</v>
      </c>
      <c r="R686">
        <v>2024</v>
      </c>
      <c r="S686" t="s">
        <v>25</v>
      </c>
    </row>
    <row r="687" spans="1:19" x14ac:dyDescent="0.3">
      <c r="A687" t="s">
        <v>761</v>
      </c>
      <c r="B687" s="1">
        <v>44764</v>
      </c>
      <c r="C687" t="s">
        <v>78</v>
      </c>
      <c r="D687" t="s">
        <v>79</v>
      </c>
      <c r="E687" t="s">
        <v>38</v>
      </c>
      <c r="F687" t="s">
        <v>23</v>
      </c>
      <c r="G687">
        <v>51677.24</v>
      </c>
      <c r="H687">
        <v>29122.86</v>
      </c>
      <c r="I687">
        <v>22554.38</v>
      </c>
      <c r="J687">
        <v>3846.35</v>
      </c>
      <c r="K687">
        <v>39896.730000000003</v>
      </c>
      <c r="L687">
        <v>46293.04</v>
      </c>
      <c r="M687">
        <v>707</v>
      </c>
      <c r="N687">
        <v>7.3200000000000001E-2</v>
      </c>
      <c r="O687">
        <v>0.43640000000000001</v>
      </c>
      <c r="P687">
        <v>0.86180000000000001</v>
      </c>
      <c r="Q687" t="s">
        <v>76</v>
      </c>
      <c r="R687">
        <v>2022</v>
      </c>
      <c r="S687" t="s">
        <v>82</v>
      </c>
    </row>
    <row r="688" spans="1:19" x14ac:dyDescent="0.3">
      <c r="A688" t="s">
        <v>762</v>
      </c>
      <c r="B688" s="2">
        <v>45605</v>
      </c>
      <c r="C688" t="s">
        <v>48</v>
      </c>
      <c r="D688" t="s">
        <v>49</v>
      </c>
      <c r="E688" t="s">
        <v>38</v>
      </c>
      <c r="F688" t="s">
        <v>23</v>
      </c>
      <c r="G688">
        <v>115496.14</v>
      </c>
      <c r="H688">
        <v>93604.6</v>
      </c>
      <c r="I688">
        <v>21891.54</v>
      </c>
      <c r="J688">
        <v>22711.360000000001</v>
      </c>
      <c r="K688">
        <v>24379.33</v>
      </c>
      <c r="L688">
        <v>116794.6</v>
      </c>
      <c r="M688">
        <v>734</v>
      </c>
      <c r="N688">
        <v>0.16400000000000001</v>
      </c>
      <c r="O688">
        <v>0.1895</v>
      </c>
      <c r="P688">
        <v>0.2087</v>
      </c>
      <c r="Q688" t="s">
        <v>52</v>
      </c>
      <c r="R688">
        <v>2024</v>
      </c>
      <c r="S688" t="s">
        <v>25</v>
      </c>
    </row>
    <row r="689" spans="1:19" x14ac:dyDescent="0.3">
      <c r="A689" t="s">
        <v>763</v>
      </c>
      <c r="B689" s="1">
        <v>45554</v>
      </c>
      <c r="C689" t="s">
        <v>27</v>
      </c>
      <c r="D689" t="s">
        <v>28</v>
      </c>
      <c r="E689" t="s">
        <v>32</v>
      </c>
      <c r="F689" t="s">
        <v>33</v>
      </c>
      <c r="G689">
        <v>26722.59</v>
      </c>
      <c r="H689">
        <v>20369.09</v>
      </c>
      <c r="I689">
        <v>6353.5</v>
      </c>
      <c r="J689">
        <v>39062.19</v>
      </c>
      <c r="K689">
        <v>8454.7099999999991</v>
      </c>
      <c r="L689">
        <v>192958.15</v>
      </c>
      <c r="M689">
        <v>625</v>
      </c>
      <c r="N689">
        <v>-0.1062</v>
      </c>
      <c r="O689">
        <v>0.23780000000000001</v>
      </c>
      <c r="P689">
        <v>4.3799999999999999E-2</v>
      </c>
      <c r="Q689" t="s">
        <v>72</v>
      </c>
      <c r="R689">
        <v>2024</v>
      </c>
      <c r="S689" t="s">
        <v>25</v>
      </c>
    </row>
    <row r="690" spans="1:19" x14ac:dyDescent="0.3">
      <c r="A690" t="s">
        <v>764</v>
      </c>
      <c r="B690" s="1">
        <v>44727</v>
      </c>
      <c r="C690" t="s">
        <v>54</v>
      </c>
      <c r="D690" t="s">
        <v>55</v>
      </c>
      <c r="E690" t="s">
        <v>51</v>
      </c>
      <c r="F690" t="s">
        <v>23</v>
      </c>
      <c r="G690">
        <v>54759.51</v>
      </c>
      <c r="H690">
        <v>49393.99</v>
      </c>
      <c r="I690">
        <v>5365.52</v>
      </c>
      <c r="J690">
        <v>39298.36</v>
      </c>
      <c r="K690">
        <v>87469.89</v>
      </c>
      <c r="L690">
        <v>154454.91</v>
      </c>
      <c r="M690">
        <v>648</v>
      </c>
      <c r="N690">
        <v>-0.1145</v>
      </c>
      <c r="O690">
        <v>9.8000000000000004E-2</v>
      </c>
      <c r="P690">
        <v>0.56630000000000003</v>
      </c>
      <c r="Q690" t="s">
        <v>58</v>
      </c>
      <c r="R690">
        <v>2022</v>
      </c>
      <c r="S690" t="s">
        <v>40</v>
      </c>
    </row>
    <row r="691" spans="1:19" x14ac:dyDescent="0.3">
      <c r="A691" t="s">
        <v>765</v>
      </c>
      <c r="B691" s="1">
        <v>45198</v>
      </c>
      <c r="C691" t="s">
        <v>42</v>
      </c>
      <c r="D691" t="s">
        <v>43</v>
      </c>
      <c r="E691" t="s">
        <v>32</v>
      </c>
      <c r="F691" t="s">
        <v>33</v>
      </c>
      <c r="G691">
        <v>327209.69</v>
      </c>
      <c r="H691">
        <v>268861.87</v>
      </c>
      <c r="I691">
        <v>58347.82</v>
      </c>
      <c r="J691">
        <v>28363.39</v>
      </c>
      <c r="K691">
        <v>83510.95</v>
      </c>
      <c r="L691">
        <v>60511.8</v>
      </c>
      <c r="M691">
        <v>1534</v>
      </c>
      <c r="N691">
        <v>8.6400000000000005E-2</v>
      </c>
      <c r="O691">
        <v>0.17829999999999999</v>
      </c>
      <c r="P691">
        <v>1.3801000000000001</v>
      </c>
      <c r="Q691" t="s">
        <v>56</v>
      </c>
      <c r="R691">
        <v>2023</v>
      </c>
      <c r="S691" t="s">
        <v>82</v>
      </c>
    </row>
    <row r="692" spans="1:19" x14ac:dyDescent="0.3">
      <c r="A692" t="s">
        <v>766</v>
      </c>
      <c r="B692" s="1">
        <v>45593</v>
      </c>
      <c r="C692" t="s">
        <v>36</v>
      </c>
      <c r="D692" t="s">
        <v>37</v>
      </c>
      <c r="E692" t="s">
        <v>22</v>
      </c>
      <c r="F692" t="s">
        <v>23</v>
      </c>
      <c r="G692">
        <v>108155.4</v>
      </c>
      <c r="H692">
        <v>83830.11</v>
      </c>
      <c r="I692">
        <v>24325.29</v>
      </c>
      <c r="J692">
        <v>22907.29</v>
      </c>
      <c r="K692">
        <v>45657.68</v>
      </c>
      <c r="L692">
        <v>79173.570000000007</v>
      </c>
      <c r="M692">
        <v>725</v>
      </c>
      <c r="N692">
        <v>9.8000000000000004E-2</v>
      </c>
      <c r="O692">
        <v>0.22489999999999999</v>
      </c>
      <c r="P692">
        <v>0.57669999999999999</v>
      </c>
      <c r="Q692" t="s">
        <v>52</v>
      </c>
      <c r="R692">
        <v>2024</v>
      </c>
      <c r="S692" t="s">
        <v>40</v>
      </c>
    </row>
    <row r="693" spans="1:19" x14ac:dyDescent="0.3">
      <c r="A693" t="s">
        <v>767</v>
      </c>
      <c r="B693" s="1">
        <v>45910</v>
      </c>
      <c r="C693" t="s">
        <v>61</v>
      </c>
      <c r="D693" t="s">
        <v>74</v>
      </c>
      <c r="E693" t="s">
        <v>51</v>
      </c>
      <c r="F693" t="s">
        <v>23</v>
      </c>
      <c r="G693">
        <v>40628.49</v>
      </c>
      <c r="H693">
        <v>34169.15</v>
      </c>
      <c r="I693">
        <v>6459.34</v>
      </c>
      <c r="J693">
        <v>22430.080000000002</v>
      </c>
      <c r="K693">
        <v>42125.15</v>
      </c>
      <c r="L693">
        <v>71936.61</v>
      </c>
      <c r="M693">
        <v>997</v>
      </c>
      <c r="N693">
        <v>2.7199999999999998E-2</v>
      </c>
      <c r="O693">
        <v>0.159</v>
      </c>
      <c r="P693">
        <v>0.58560000000000001</v>
      </c>
      <c r="Q693" t="s">
        <v>24</v>
      </c>
      <c r="R693">
        <v>2025</v>
      </c>
      <c r="S693" t="s">
        <v>40</v>
      </c>
    </row>
    <row r="694" spans="1:19" x14ac:dyDescent="0.3">
      <c r="A694" t="s">
        <v>768</v>
      </c>
      <c r="B694" s="1">
        <v>45308</v>
      </c>
      <c r="C694" t="s">
        <v>85</v>
      </c>
      <c r="D694" t="s">
        <v>86</v>
      </c>
      <c r="E694" t="s">
        <v>22</v>
      </c>
      <c r="F694" t="s">
        <v>23</v>
      </c>
      <c r="H694">
        <v>95485.73</v>
      </c>
      <c r="J694">
        <v>25956.28</v>
      </c>
      <c r="K694">
        <v>17140.759999999998</v>
      </c>
      <c r="L694">
        <v>84359.92</v>
      </c>
      <c r="M694">
        <v>725</v>
      </c>
      <c r="N694">
        <v>2.0899999999999998E-2</v>
      </c>
      <c r="P694">
        <v>0.20319999999999999</v>
      </c>
      <c r="Q694" t="s">
        <v>80</v>
      </c>
      <c r="R694">
        <v>2024</v>
      </c>
      <c r="S694" t="s">
        <v>25</v>
      </c>
    </row>
    <row r="695" spans="1:19" x14ac:dyDescent="0.3">
      <c r="A695" t="s">
        <v>769</v>
      </c>
      <c r="B695" s="1">
        <v>44906</v>
      </c>
      <c r="C695" t="s">
        <v>27</v>
      </c>
      <c r="D695" t="s">
        <v>28</v>
      </c>
      <c r="E695" t="s">
        <v>51</v>
      </c>
      <c r="F695" t="s">
        <v>23</v>
      </c>
      <c r="G695">
        <v>106139.66</v>
      </c>
      <c r="H695">
        <v>62000.37</v>
      </c>
      <c r="I695">
        <v>44139.29</v>
      </c>
      <c r="J695">
        <v>16216.77</v>
      </c>
      <c r="K695">
        <v>13576.76</v>
      </c>
      <c r="L695">
        <v>173153.28</v>
      </c>
      <c r="M695">
        <v>562</v>
      </c>
      <c r="N695">
        <v>0.12089999999999999</v>
      </c>
      <c r="O695">
        <v>0.41589999999999999</v>
      </c>
      <c r="P695">
        <v>7.8399999999999997E-2</v>
      </c>
      <c r="Q695" t="s">
        <v>46</v>
      </c>
      <c r="R695">
        <v>2022</v>
      </c>
      <c r="S695" t="s">
        <v>25</v>
      </c>
    </row>
    <row r="696" spans="1:19" x14ac:dyDescent="0.3">
      <c r="A696" t="s">
        <v>770</v>
      </c>
      <c r="B696" s="1">
        <v>45507</v>
      </c>
      <c r="C696" t="s">
        <v>78</v>
      </c>
      <c r="D696" t="s">
        <v>79</v>
      </c>
      <c r="E696" t="s">
        <v>32</v>
      </c>
      <c r="F696" t="s">
        <v>33</v>
      </c>
      <c r="G696">
        <v>82699.12</v>
      </c>
      <c r="H696">
        <v>46737.58</v>
      </c>
      <c r="I696">
        <v>35961.54</v>
      </c>
      <c r="J696">
        <v>16862.919999999998</v>
      </c>
      <c r="K696">
        <v>60262.04</v>
      </c>
      <c r="L696">
        <v>80025.02</v>
      </c>
      <c r="M696">
        <v>965</v>
      </c>
      <c r="N696">
        <v>-6.93E-2</v>
      </c>
      <c r="O696">
        <v>0.43480000000000002</v>
      </c>
      <c r="P696">
        <v>0.753</v>
      </c>
      <c r="Q696" t="s">
        <v>72</v>
      </c>
      <c r="R696">
        <v>2024</v>
      </c>
      <c r="S696" t="s">
        <v>82</v>
      </c>
    </row>
    <row r="697" spans="1:19" x14ac:dyDescent="0.3">
      <c r="A697" t="s">
        <v>771</v>
      </c>
      <c r="B697" s="1">
        <v>45114</v>
      </c>
      <c r="C697" t="s">
        <v>61</v>
      </c>
      <c r="D697" t="s">
        <v>74</v>
      </c>
      <c r="E697" t="s">
        <v>32</v>
      </c>
      <c r="F697" t="s">
        <v>33</v>
      </c>
      <c r="G697">
        <v>25284.58</v>
      </c>
      <c r="H697">
        <v>15447.5</v>
      </c>
      <c r="I697">
        <v>9837.08</v>
      </c>
      <c r="J697">
        <v>24406.82</v>
      </c>
      <c r="K697">
        <v>30363.15</v>
      </c>
      <c r="L697">
        <v>285416.93</v>
      </c>
      <c r="M697">
        <v>680</v>
      </c>
      <c r="N697">
        <v>-6.6799999999999998E-2</v>
      </c>
      <c r="O697">
        <v>0.3891</v>
      </c>
      <c r="P697">
        <v>0.10639999999999999</v>
      </c>
      <c r="Q697" t="s">
        <v>56</v>
      </c>
      <c r="R697">
        <v>2023</v>
      </c>
      <c r="S697" t="s">
        <v>25</v>
      </c>
    </row>
    <row r="698" spans="1:19" x14ac:dyDescent="0.3">
      <c r="A698" t="s">
        <v>772</v>
      </c>
      <c r="B698" s="1">
        <v>45763</v>
      </c>
      <c r="C698" t="s">
        <v>68</v>
      </c>
      <c r="D698" t="s">
        <v>69</v>
      </c>
      <c r="E698" t="s">
        <v>22</v>
      </c>
      <c r="F698" t="s">
        <v>23</v>
      </c>
      <c r="G698">
        <v>107217.32</v>
      </c>
      <c r="H698">
        <v>88853.75</v>
      </c>
      <c r="I698">
        <v>18363.57</v>
      </c>
      <c r="J698">
        <v>54712.18</v>
      </c>
      <c r="K698">
        <v>57714.75</v>
      </c>
      <c r="L698">
        <v>204034.16</v>
      </c>
      <c r="M698">
        <v>2418</v>
      </c>
      <c r="N698">
        <v>-1.67E-2</v>
      </c>
      <c r="O698">
        <v>0.17130000000000001</v>
      </c>
      <c r="P698">
        <v>0.28289999999999998</v>
      </c>
      <c r="Q698" t="s">
        <v>34</v>
      </c>
      <c r="R698">
        <v>2025</v>
      </c>
      <c r="S698" t="s">
        <v>25</v>
      </c>
    </row>
    <row r="699" spans="1:19" x14ac:dyDescent="0.3">
      <c r="A699" t="s">
        <v>773</v>
      </c>
      <c r="B699" s="1">
        <v>44630</v>
      </c>
      <c r="C699" t="s">
        <v>20</v>
      </c>
      <c r="D699" t="s">
        <v>21</v>
      </c>
      <c r="E699" t="s">
        <v>22</v>
      </c>
      <c r="F699" t="s">
        <v>23</v>
      </c>
      <c r="G699">
        <v>17042.23</v>
      </c>
      <c r="H699">
        <v>11122.57</v>
      </c>
      <c r="I699">
        <v>5919.66</v>
      </c>
      <c r="J699">
        <v>32989.519999999997</v>
      </c>
      <c r="K699">
        <v>80962.77</v>
      </c>
      <c r="L699">
        <v>161662.23000000001</v>
      </c>
      <c r="M699">
        <v>762</v>
      </c>
      <c r="N699">
        <v>7.4099999999999999E-2</v>
      </c>
      <c r="O699">
        <v>0.34739999999999999</v>
      </c>
      <c r="P699">
        <v>0.50080000000000002</v>
      </c>
      <c r="Q699" t="s">
        <v>90</v>
      </c>
      <c r="R699">
        <v>2022</v>
      </c>
      <c r="S699" t="s">
        <v>40</v>
      </c>
    </row>
    <row r="700" spans="1:19" x14ac:dyDescent="0.3">
      <c r="A700" t="s">
        <v>774</v>
      </c>
      <c r="B700" s="1">
        <v>45449</v>
      </c>
      <c r="C700" t="s">
        <v>102</v>
      </c>
      <c r="D700" t="s">
        <v>103</v>
      </c>
      <c r="E700" t="s">
        <v>32</v>
      </c>
      <c r="F700" t="s">
        <v>33</v>
      </c>
      <c r="G700">
        <v>119028.07</v>
      </c>
      <c r="H700">
        <v>88486.7</v>
      </c>
      <c r="I700">
        <v>30541.37</v>
      </c>
      <c r="J700">
        <v>33363.79</v>
      </c>
      <c r="K700">
        <v>11882.08</v>
      </c>
      <c r="L700">
        <v>63545.99</v>
      </c>
      <c r="M700">
        <v>1735</v>
      </c>
      <c r="N700">
        <v>0.16750000000000001</v>
      </c>
      <c r="O700">
        <v>0.25659999999999999</v>
      </c>
      <c r="P700">
        <v>0.187</v>
      </c>
      <c r="Q700" t="s">
        <v>111</v>
      </c>
      <c r="R700">
        <v>2024</v>
      </c>
      <c r="S700" t="s">
        <v>25</v>
      </c>
    </row>
    <row r="701" spans="1:19" x14ac:dyDescent="0.3">
      <c r="A701" t="s">
        <v>775</v>
      </c>
      <c r="B701" s="1">
        <v>44920</v>
      </c>
      <c r="C701" t="s">
        <v>30</v>
      </c>
      <c r="D701" t="s">
        <v>31</v>
      </c>
      <c r="E701" t="s">
        <v>38</v>
      </c>
      <c r="F701" t="s">
        <v>23</v>
      </c>
      <c r="G701">
        <v>44282.57</v>
      </c>
      <c r="H701">
        <v>34527.25</v>
      </c>
      <c r="I701">
        <v>9755.32</v>
      </c>
      <c r="J701">
        <v>22649.43</v>
      </c>
      <c r="K701">
        <v>41229.29</v>
      </c>
      <c r="L701">
        <v>233877.6</v>
      </c>
      <c r="M701">
        <v>671</v>
      </c>
      <c r="N701">
        <v>4.2099999999999999E-2</v>
      </c>
      <c r="O701">
        <v>0.2203</v>
      </c>
      <c r="P701">
        <v>0.17630000000000001</v>
      </c>
      <c r="Q701" t="s">
        <v>46</v>
      </c>
      <c r="R701">
        <v>2022</v>
      </c>
      <c r="S701" t="s">
        <v>25</v>
      </c>
    </row>
    <row r="702" spans="1:19" x14ac:dyDescent="0.3">
      <c r="A702" t="s">
        <v>776</v>
      </c>
      <c r="B702" s="1">
        <v>44704</v>
      </c>
      <c r="C702" t="s">
        <v>30</v>
      </c>
      <c r="D702" t="s">
        <v>31</v>
      </c>
      <c r="E702" t="s">
        <v>32</v>
      </c>
      <c r="F702" t="s">
        <v>33</v>
      </c>
      <c r="G702">
        <v>68135.44</v>
      </c>
      <c r="H702">
        <v>58771.79</v>
      </c>
      <c r="I702">
        <v>9363.65</v>
      </c>
      <c r="J702">
        <v>15573.07</v>
      </c>
      <c r="K702">
        <v>21393.73</v>
      </c>
      <c r="L702">
        <v>101640.82</v>
      </c>
      <c r="M702">
        <v>698</v>
      </c>
      <c r="N702">
        <v>3.2199999999999999E-2</v>
      </c>
      <c r="O702">
        <v>0.13739999999999999</v>
      </c>
      <c r="P702">
        <v>0.21049999999999999</v>
      </c>
      <c r="Q702" t="s">
        <v>58</v>
      </c>
      <c r="R702">
        <v>2022</v>
      </c>
      <c r="S702" t="s">
        <v>25</v>
      </c>
    </row>
    <row r="703" spans="1:19" x14ac:dyDescent="0.3">
      <c r="A703" t="s">
        <v>777</v>
      </c>
      <c r="B703" s="1">
        <v>44665</v>
      </c>
      <c r="C703" t="s">
        <v>54</v>
      </c>
      <c r="D703" t="s">
        <v>55</v>
      </c>
      <c r="E703" t="s">
        <v>32</v>
      </c>
      <c r="F703" t="s">
        <v>33</v>
      </c>
      <c r="G703">
        <v>200108.61</v>
      </c>
      <c r="H703">
        <v>149847.39000000001</v>
      </c>
      <c r="I703">
        <v>50261.22</v>
      </c>
      <c r="J703">
        <v>41115.96</v>
      </c>
      <c r="K703">
        <v>9533.17</v>
      </c>
      <c r="L703">
        <v>77689.899999999994</v>
      </c>
      <c r="M703">
        <v>636</v>
      </c>
      <c r="N703">
        <v>2.8999999999999998E-3</v>
      </c>
      <c r="O703">
        <v>0.25119999999999998</v>
      </c>
      <c r="P703">
        <v>0.1227</v>
      </c>
      <c r="Q703" t="s">
        <v>58</v>
      </c>
      <c r="R703">
        <v>2022</v>
      </c>
      <c r="S703" t="s">
        <v>25</v>
      </c>
    </row>
    <row r="704" spans="1:19" x14ac:dyDescent="0.3">
      <c r="A704" t="s">
        <v>778</v>
      </c>
      <c r="B704" s="1">
        <v>45655</v>
      </c>
      <c r="C704" t="s">
        <v>27</v>
      </c>
      <c r="D704" t="s">
        <v>28</v>
      </c>
      <c r="E704" t="s">
        <v>38</v>
      </c>
      <c r="F704" t="s">
        <v>23</v>
      </c>
      <c r="G704">
        <v>66963.83</v>
      </c>
      <c r="H704">
        <v>61248.06</v>
      </c>
      <c r="I704">
        <v>5715.77</v>
      </c>
      <c r="J704">
        <v>56422.33</v>
      </c>
      <c r="K704">
        <v>48839.199999999997</v>
      </c>
      <c r="L704">
        <v>120646.99</v>
      </c>
      <c r="M704">
        <v>834</v>
      </c>
      <c r="N704">
        <v>-5.5300000000000002E-2</v>
      </c>
      <c r="O704">
        <v>8.5400000000000004E-2</v>
      </c>
      <c r="P704">
        <v>0.40479999999999999</v>
      </c>
      <c r="Q704" t="s">
        <v>52</v>
      </c>
      <c r="R704">
        <v>2024</v>
      </c>
      <c r="S704" t="s">
        <v>40</v>
      </c>
    </row>
    <row r="705" spans="1:19" x14ac:dyDescent="0.3">
      <c r="A705" t="s">
        <v>779</v>
      </c>
      <c r="B705" s="1">
        <v>45773</v>
      </c>
      <c r="C705" t="s">
        <v>20</v>
      </c>
      <c r="D705" t="s">
        <v>21</v>
      </c>
      <c r="E705" t="s">
        <v>32</v>
      </c>
      <c r="F705" t="s">
        <v>33</v>
      </c>
      <c r="G705">
        <v>34781.11</v>
      </c>
      <c r="H705">
        <v>19139.77</v>
      </c>
      <c r="I705">
        <v>15641.34</v>
      </c>
      <c r="J705">
        <v>34934.550000000003</v>
      </c>
      <c r="K705">
        <v>47334.03</v>
      </c>
      <c r="L705">
        <v>105974.2</v>
      </c>
      <c r="M705">
        <v>1189</v>
      </c>
      <c r="N705">
        <v>-7.2599999999999998E-2</v>
      </c>
      <c r="O705">
        <v>0.44969999999999999</v>
      </c>
      <c r="P705">
        <v>0.44669999999999999</v>
      </c>
      <c r="Q705" t="s">
        <v>34</v>
      </c>
      <c r="R705">
        <v>2025</v>
      </c>
      <c r="S705" t="s">
        <v>40</v>
      </c>
    </row>
    <row r="706" spans="1:19" x14ac:dyDescent="0.3">
      <c r="A706" t="s">
        <v>780</v>
      </c>
      <c r="B706" s="1">
        <v>45641</v>
      </c>
      <c r="C706" t="s">
        <v>102</v>
      </c>
      <c r="D706" t="s">
        <v>103</v>
      </c>
      <c r="E706" t="s">
        <v>22</v>
      </c>
      <c r="F706" t="s">
        <v>23</v>
      </c>
      <c r="G706">
        <v>40864.61</v>
      </c>
      <c r="H706">
        <v>29481.96</v>
      </c>
      <c r="I706">
        <v>11382.65</v>
      </c>
      <c r="J706">
        <v>69147.53</v>
      </c>
      <c r="K706">
        <v>10523.89</v>
      </c>
      <c r="L706">
        <v>147279.56</v>
      </c>
      <c r="M706">
        <v>607</v>
      </c>
      <c r="N706">
        <v>8.9800000000000005E-2</v>
      </c>
      <c r="O706">
        <v>0.27850000000000003</v>
      </c>
      <c r="P706">
        <v>7.1499999999999994E-2</v>
      </c>
      <c r="Q706" t="s">
        <v>52</v>
      </c>
      <c r="R706">
        <v>2024</v>
      </c>
      <c r="S706" t="s">
        <v>25</v>
      </c>
    </row>
    <row r="707" spans="1:19" x14ac:dyDescent="0.3">
      <c r="A707" t="s">
        <v>781</v>
      </c>
      <c r="B707" s="1">
        <v>45210</v>
      </c>
      <c r="C707" t="s">
        <v>48</v>
      </c>
      <c r="D707" t="s">
        <v>49</v>
      </c>
      <c r="E707" t="s">
        <v>38</v>
      </c>
      <c r="F707" t="s">
        <v>23</v>
      </c>
      <c r="G707">
        <v>425278.71</v>
      </c>
      <c r="H707">
        <v>339280.16</v>
      </c>
      <c r="I707">
        <v>85998.55</v>
      </c>
      <c r="J707">
        <v>57844.27</v>
      </c>
      <c r="K707">
        <v>29213.94</v>
      </c>
      <c r="L707">
        <v>142568.31</v>
      </c>
      <c r="M707">
        <v>786</v>
      </c>
      <c r="N707">
        <v>1.2699999999999999E-2</v>
      </c>
      <c r="O707">
        <v>0.20219999999999999</v>
      </c>
      <c r="P707">
        <v>0.2049</v>
      </c>
      <c r="Q707" t="s">
        <v>44</v>
      </c>
      <c r="R707">
        <v>2023</v>
      </c>
      <c r="S707" t="s">
        <v>25</v>
      </c>
    </row>
    <row r="708" spans="1:19" x14ac:dyDescent="0.3">
      <c r="A708" t="s">
        <v>782</v>
      </c>
      <c r="B708" s="1">
        <v>45372</v>
      </c>
      <c r="C708" t="s">
        <v>102</v>
      </c>
      <c r="D708" t="s">
        <v>103</v>
      </c>
      <c r="E708" t="s">
        <v>32</v>
      </c>
      <c r="F708" t="s">
        <v>33</v>
      </c>
      <c r="G708">
        <v>135627.46</v>
      </c>
      <c r="H708">
        <v>105943.94</v>
      </c>
      <c r="I708">
        <v>29683.52</v>
      </c>
      <c r="J708">
        <v>80022.8</v>
      </c>
      <c r="K708">
        <v>14003.69</v>
      </c>
      <c r="L708">
        <v>100127.51</v>
      </c>
      <c r="M708">
        <v>1028</v>
      </c>
      <c r="N708">
        <v>-3.1099999999999999E-2</v>
      </c>
      <c r="O708">
        <v>0.21890000000000001</v>
      </c>
      <c r="P708">
        <v>0.1399</v>
      </c>
      <c r="Q708" t="s">
        <v>80</v>
      </c>
      <c r="R708">
        <v>2024</v>
      </c>
      <c r="S708" t="s">
        <v>25</v>
      </c>
    </row>
    <row r="709" spans="1:19" x14ac:dyDescent="0.3">
      <c r="A709" t="s">
        <v>783</v>
      </c>
      <c r="B709" s="1">
        <v>45394</v>
      </c>
      <c r="C709" t="s">
        <v>85</v>
      </c>
      <c r="D709" t="s">
        <v>86</v>
      </c>
      <c r="E709" t="s">
        <v>22</v>
      </c>
      <c r="F709" t="s">
        <v>23</v>
      </c>
      <c r="G709">
        <v>98329.63</v>
      </c>
      <c r="H709">
        <v>62442.1</v>
      </c>
      <c r="I709">
        <v>35887.53</v>
      </c>
      <c r="J709">
        <v>28237.68</v>
      </c>
      <c r="K709">
        <v>47194.879999999997</v>
      </c>
      <c r="L709">
        <v>192136.17</v>
      </c>
      <c r="M709">
        <v>751</v>
      </c>
      <c r="N709">
        <v>0.12859999999999999</v>
      </c>
      <c r="O709">
        <v>0.36499999999999999</v>
      </c>
      <c r="P709">
        <v>0.24560000000000001</v>
      </c>
      <c r="Q709" t="s">
        <v>111</v>
      </c>
      <c r="R709">
        <v>2024</v>
      </c>
      <c r="S709" t="s">
        <v>25</v>
      </c>
    </row>
    <row r="710" spans="1:19" x14ac:dyDescent="0.3">
      <c r="A710" t="s">
        <v>784</v>
      </c>
      <c r="B710" s="1">
        <v>44789</v>
      </c>
      <c r="C710" t="s">
        <v>61</v>
      </c>
      <c r="D710" t="s">
        <v>74</v>
      </c>
      <c r="E710" t="s">
        <v>32</v>
      </c>
      <c r="F710" t="s">
        <v>33</v>
      </c>
      <c r="G710">
        <v>72347.09</v>
      </c>
      <c r="H710">
        <v>48943.95</v>
      </c>
      <c r="I710">
        <v>23403.14</v>
      </c>
      <c r="J710">
        <v>53014.84</v>
      </c>
      <c r="K710">
        <v>77815.22</v>
      </c>
      <c r="L710">
        <v>366933.12</v>
      </c>
      <c r="M710">
        <v>762</v>
      </c>
      <c r="N710">
        <v>-9.7500000000000003E-2</v>
      </c>
      <c r="O710">
        <v>0.32350000000000001</v>
      </c>
      <c r="P710">
        <v>0.21210000000000001</v>
      </c>
      <c r="Q710" t="s">
        <v>76</v>
      </c>
      <c r="R710">
        <v>2022</v>
      </c>
      <c r="S710" t="s">
        <v>25</v>
      </c>
    </row>
    <row r="711" spans="1:19" x14ac:dyDescent="0.3">
      <c r="A711" t="s">
        <v>785</v>
      </c>
      <c r="B711" s="1">
        <v>45300</v>
      </c>
      <c r="C711" t="s">
        <v>30</v>
      </c>
      <c r="D711" t="s">
        <v>31</v>
      </c>
      <c r="E711" t="s">
        <v>51</v>
      </c>
      <c r="F711" t="s">
        <v>23</v>
      </c>
      <c r="G711">
        <v>38555.56</v>
      </c>
      <c r="H711">
        <v>25048.12</v>
      </c>
      <c r="I711">
        <v>13507.44</v>
      </c>
      <c r="J711">
        <v>48919.75</v>
      </c>
      <c r="K711">
        <v>22673.19</v>
      </c>
      <c r="L711">
        <v>219203.51</v>
      </c>
      <c r="M711">
        <v>519</v>
      </c>
      <c r="N711">
        <v>9.5699999999999993E-2</v>
      </c>
      <c r="O711">
        <v>0.3503</v>
      </c>
      <c r="P711">
        <v>0.10340000000000001</v>
      </c>
      <c r="Q711" t="s">
        <v>80</v>
      </c>
      <c r="R711">
        <v>2024</v>
      </c>
      <c r="S711" t="s">
        <v>25</v>
      </c>
    </row>
    <row r="712" spans="1:19" x14ac:dyDescent="0.3">
      <c r="A712" t="s">
        <v>786</v>
      </c>
      <c r="B712" s="1">
        <v>45933</v>
      </c>
      <c r="C712" t="s">
        <v>27</v>
      </c>
      <c r="D712" t="s">
        <v>28</v>
      </c>
      <c r="E712" t="s">
        <v>38</v>
      </c>
      <c r="F712" t="s">
        <v>23</v>
      </c>
      <c r="G712">
        <v>54955.16</v>
      </c>
      <c r="H712">
        <v>30650.5</v>
      </c>
      <c r="I712">
        <v>24304.66</v>
      </c>
      <c r="J712">
        <v>51477.25</v>
      </c>
      <c r="K712">
        <v>23698.57</v>
      </c>
      <c r="L712">
        <v>81553.34</v>
      </c>
      <c r="M712">
        <v>935</v>
      </c>
      <c r="N712">
        <v>-0.10730000000000001</v>
      </c>
      <c r="O712">
        <v>0.44230000000000003</v>
      </c>
      <c r="P712">
        <v>0.29060000000000002</v>
      </c>
      <c r="Q712" t="s">
        <v>66</v>
      </c>
      <c r="R712">
        <v>2025</v>
      </c>
      <c r="S712" t="s">
        <v>25</v>
      </c>
    </row>
    <row r="713" spans="1:19" x14ac:dyDescent="0.3">
      <c r="A713" t="s">
        <v>787</v>
      </c>
      <c r="B713" s="1">
        <v>45496</v>
      </c>
      <c r="C713" t="s">
        <v>36</v>
      </c>
      <c r="D713" t="s">
        <v>37</v>
      </c>
      <c r="E713" t="s">
        <v>22</v>
      </c>
      <c r="F713" t="s">
        <v>23</v>
      </c>
      <c r="G713">
        <v>80276.100000000006</v>
      </c>
      <c r="H713">
        <v>54679.01</v>
      </c>
      <c r="I713">
        <v>25597.09</v>
      </c>
      <c r="J713">
        <v>60479.94</v>
      </c>
      <c r="K713">
        <v>9398.36</v>
      </c>
      <c r="L713">
        <v>76324.259999999995</v>
      </c>
      <c r="M713">
        <v>762</v>
      </c>
      <c r="N713">
        <v>0.13830000000000001</v>
      </c>
      <c r="O713">
        <v>0.31890000000000002</v>
      </c>
      <c r="P713">
        <v>0.1231</v>
      </c>
      <c r="Q713" t="s">
        <v>72</v>
      </c>
      <c r="R713">
        <v>2024</v>
      </c>
      <c r="S713" t="s">
        <v>25</v>
      </c>
    </row>
    <row r="714" spans="1:19" x14ac:dyDescent="0.3">
      <c r="A714" t="s">
        <v>788</v>
      </c>
      <c r="B714" s="1">
        <v>44878</v>
      </c>
      <c r="C714" t="s">
        <v>36</v>
      </c>
      <c r="D714" t="s">
        <v>37</v>
      </c>
      <c r="E714" t="s">
        <v>51</v>
      </c>
      <c r="F714" t="s">
        <v>23</v>
      </c>
      <c r="G714">
        <v>19515.169999999998</v>
      </c>
      <c r="H714">
        <v>13659.24</v>
      </c>
      <c r="I714">
        <v>5855.93</v>
      </c>
      <c r="J714">
        <v>14261.39</v>
      </c>
      <c r="K714">
        <v>31477.34</v>
      </c>
      <c r="L714">
        <v>64484.14</v>
      </c>
      <c r="M714">
        <v>911</v>
      </c>
      <c r="N714">
        <v>-3.0300000000000001E-2</v>
      </c>
      <c r="O714">
        <v>0.30009999999999998</v>
      </c>
      <c r="P714">
        <v>0.48809999999999998</v>
      </c>
      <c r="Q714" t="s">
        <v>46</v>
      </c>
      <c r="R714">
        <v>2022</v>
      </c>
      <c r="S714" t="s">
        <v>40</v>
      </c>
    </row>
    <row r="715" spans="1:19" x14ac:dyDescent="0.3">
      <c r="A715" t="s">
        <v>789</v>
      </c>
      <c r="B715" s="1">
        <v>45671</v>
      </c>
      <c r="C715" t="s">
        <v>48</v>
      </c>
      <c r="D715" t="s">
        <v>49</v>
      </c>
      <c r="E715" t="s">
        <v>38</v>
      </c>
      <c r="F715" t="s">
        <v>23</v>
      </c>
      <c r="G715">
        <v>39931.65</v>
      </c>
      <c r="H715">
        <v>34803.1</v>
      </c>
      <c r="I715">
        <v>5128.55</v>
      </c>
      <c r="J715">
        <v>95721.73</v>
      </c>
      <c r="K715">
        <v>6745.65</v>
      </c>
      <c r="L715">
        <v>354748.84</v>
      </c>
      <c r="M715">
        <v>873</v>
      </c>
      <c r="N715">
        <v>-4.6199999999999998E-2</v>
      </c>
      <c r="O715">
        <v>0.12839999999999999</v>
      </c>
      <c r="P715">
        <v>1.9E-2</v>
      </c>
      <c r="Q715" t="s">
        <v>106</v>
      </c>
      <c r="R715">
        <v>2025</v>
      </c>
      <c r="S715" t="s">
        <v>25</v>
      </c>
    </row>
    <row r="716" spans="1:19" x14ac:dyDescent="0.3">
      <c r="A716" t="s">
        <v>790</v>
      </c>
      <c r="B716" s="1">
        <v>44952</v>
      </c>
      <c r="C716" t="s">
        <v>30</v>
      </c>
      <c r="D716" t="s">
        <v>31</v>
      </c>
      <c r="E716" t="s">
        <v>22</v>
      </c>
      <c r="F716" t="s">
        <v>23</v>
      </c>
      <c r="G716">
        <v>31869.3</v>
      </c>
      <c r="H716">
        <v>27392.44</v>
      </c>
      <c r="I716">
        <v>4476.8599999999997</v>
      </c>
      <c r="J716">
        <v>55364.55</v>
      </c>
      <c r="K716">
        <v>10968.6</v>
      </c>
      <c r="L716">
        <v>116961.31</v>
      </c>
      <c r="M716">
        <v>379</v>
      </c>
      <c r="N716">
        <v>0.1206</v>
      </c>
      <c r="O716">
        <v>0.14050000000000001</v>
      </c>
      <c r="P716">
        <v>9.3799999999999994E-2</v>
      </c>
      <c r="Q716" t="s">
        <v>118</v>
      </c>
      <c r="R716">
        <v>2023</v>
      </c>
      <c r="S716" t="s">
        <v>25</v>
      </c>
    </row>
    <row r="717" spans="1:19" x14ac:dyDescent="0.3">
      <c r="A717" t="s">
        <v>791</v>
      </c>
      <c r="B717" s="1">
        <v>45064</v>
      </c>
      <c r="C717" t="s">
        <v>102</v>
      </c>
      <c r="D717" t="s">
        <v>103</v>
      </c>
      <c r="E717" t="s">
        <v>38</v>
      </c>
      <c r="F717" t="s">
        <v>23</v>
      </c>
      <c r="G717">
        <v>51073.97</v>
      </c>
      <c r="H717">
        <v>34852.94</v>
      </c>
      <c r="I717">
        <v>16221.03</v>
      </c>
      <c r="J717">
        <v>15244.89</v>
      </c>
      <c r="K717">
        <v>28870.880000000001</v>
      </c>
      <c r="L717">
        <v>139541.85</v>
      </c>
      <c r="M717">
        <v>2263</v>
      </c>
      <c r="N717">
        <v>5.3699999999999998E-2</v>
      </c>
      <c r="O717">
        <v>0.31759999999999999</v>
      </c>
      <c r="P717">
        <v>0.2069</v>
      </c>
      <c r="Q717" t="s">
        <v>39</v>
      </c>
      <c r="R717">
        <v>2023</v>
      </c>
      <c r="S717" t="s">
        <v>25</v>
      </c>
    </row>
    <row r="718" spans="1:19" x14ac:dyDescent="0.3">
      <c r="A718" t="s">
        <v>792</v>
      </c>
      <c r="B718" s="1">
        <v>44805</v>
      </c>
      <c r="C718" t="s">
        <v>42</v>
      </c>
      <c r="D718" t="s">
        <v>43</v>
      </c>
      <c r="E718" t="s">
        <v>38</v>
      </c>
      <c r="F718" t="s">
        <v>23</v>
      </c>
      <c r="G718">
        <v>197484.17</v>
      </c>
      <c r="H718">
        <v>115471.78</v>
      </c>
      <c r="I718">
        <v>82012.39</v>
      </c>
      <c r="J718">
        <v>22825.66</v>
      </c>
      <c r="K718">
        <v>252504.32000000001</v>
      </c>
      <c r="L718">
        <v>113181.09</v>
      </c>
      <c r="M718">
        <v>1975</v>
      </c>
      <c r="N718">
        <v>6.7000000000000002E-3</v>
      </c>
      <c r="O718">
        <v>0.4153</v>
      </c>
      <c r="P718">
        <v>2.2309999999999999</v>
      </c>
      <c r="Q718" t="s">
        <v>76</v>
      </c>
      <c r="R718">
        <v>2022</v>
      </c>
      <c r="S718" t="s">
        <v>82</v>
      </c>
    </row>
    <row r="719" spans="1:19" x14ac:dyDescent="0.3">
      <c r="A719" t="s">
        <v>793</v>
      </c>
      <c r="B719" s="1">
        <v>44662</v>
      </c>
      <c r="C719" t="s">
        <v>54</v>
      </c>
      <c r="D719" t="s">
        <v>55</v>
      </c>
      <c r="E719" t="s">
        <v>51</v>
      </c>
      <c r="F719" t="s">
        <v>23</v>
      </c>
      <c r="G719">
        <v>36103.69</v>
      </c>
      <c r="H719">
        <v>26583.9</v>
      </c>
      <c r="I719">
        <v>9519.7900000000009</v>
      </c>
      <c r="J719">
        <v>26445.61</v>
      </c>
      <c r="K719">
        <v>21753.97</v>
      </c>
      <c r="L719">
        <v>193751.04000000001</v>
      </c>
      <c r="M719">
        <v>1540</v>
      </c>
      <c r="N719">
        <v>7.6E-3</v>
      </c>
      <c r="O719">
        <v>0.26369999999999999</v>
      </c>
      <c r="P719">
        <v>0.1123</v>
      </c>
      <c r="Q719" t="s">
        <v>58</v>
      </c>
      <c r="R719">
        <v>2022</v>
      </c>
      <c r="S719" t="s">
        <v>25</v>
      </c>
    </row>
    <row r="720" spans="1:19" x14ac:dyDescent="0.3">
      <c r="A720" t="s">
        <v>794</v>
      </c>
      <c r="B720" s="1">
        <v>45748</v>
      </c>
      <c r="C720" t="s">
        <v>85</v>
      </c>
      <c r="D720" t="s">
        <v>86</v>
      </c>
      <c r="E720" t="s">
        <v>32</v>
      </c>
      <c r="F720" t="s">
        <v>33</v>
      </c>
      <c r="G720">
        <v>28943.13</v>
      </c>
      <c r="H720">
        <v>18800.72</v>
      </c>
      <c r="I720">
        <v>10142.41</v>
      </c>
      <c r="J720">
        <v>43291.49</v>
      </c>
      <c r="K720">
        <v>18672.41</v>
      </c>
      <c r="L720">
        <v>200185.81</v>
      </c>
      <c r="M720">
        <v>1436</v>
      </c>
      <c r="N720">
        <v>8.3999999999999995E-3</v>
      </c>
      <c r="O720">
        <v>0.35039999999999999</v>
      </c>
      <c r="P720">
        <v>9.3299999999999994E-2</v>
      </c>
      <c r="Q720" t="s">
        <v>34</v>
      </c>
      <c r="R720">
        <v>2025</v>
      </c>
      <c r="S720" t="s">
        <v>25</v>
      </c>
    </row>
    <row r="721" spans="1:19" x14ac:dyDescent="0.3">
      <c r="A721" t="s">
        <v>795</v>
      </c>
      <c r="B721" s="1">
        <v>45208</v>
      </c>
      <c r="C721" t="s">
        <v>85</v>
      </c>
      <c r="D721" t="s">
        <v>86</v>
      </c>
      <c r="E721" t="s">
        <v>22</v>
      </c>
      <c r="F721" t="s">
        <v>23</v>
      </c>
      <c r="G721">
        <v>44740.39</v>
      </c>
      <c r="H721">
        <v>26490.43</v>
      </c>
      <c r="I721">
        <v>18249.96</v>
      </c>
      <c r="J721">
        <v>42290.14</v>
      </c>
      <c r="K721">
        <v>110593.83</v>
      </c>
      <c r="L721">
        <v>69242.240000000005</v>
      </c>
      <c r="M721">
        <v>611</v>
      </c>
      <c r="N721">
        <v>5.2200000000000003E-2</v>
      </c>
      <c r="O721">
        <v>0.40789999999999998</v>
      </c>
      <c r="P721">
        <v>1.5972</v>
      </c>
      <c r="Q721" t="s">
        <v>44</v>
      </c>
      <c r="R721">
        <v>2023</v>
      </c>
      <c r="S721" t="s">
        <v>82</v>
      </c>
    </row>
    <row r="722" spans="1:19" x14ac:dyDescent="0.3">
      <c r="A722" t="s">
        <v>796</v>
      </c>
      <c r="B722" s="1">
        <v>44642</v>
      </c>
      <c r="C722" t="s">
        <v>42</v>
      </c>
      <c r="D722" t="s">
        <v>43</v>
      </c>
      <c r="E722" t="s">
        <v>38</v>
      </c>
      <c r="F722" t="s">
        <v>23</v>
      </c>
      <c r="G722">
        <v>112231.64</v>
      </c>
      <c r="H722">
        <v>97584.49</v>
      </c>
      <c r="I722">
        <v>14647.15</v>
      </c>
      <c r="J722">
        <v>24042.240000000002</v>
      </c>
      <c r="K722">
        <v>16582.03</v>
      </c>
      <c r="L722">
        <v>111014.22</v>
      </c>
      <c r="M722">
        <v>1143</v>
      </c>
      <c r="N722">
        <v>5.8200000000000002E-2</v>
      </c>
      <c r="O722">
        <v>0.1305</v>
      </c>
      <c r="P722">
        <v>0.14940000000000001</v>
      </c>
      <c r="Q722" t="s">
        <v>90</v>
      </c>
      <c r="R722">
        <v>2022</v>
      </c>
      <c r="S722" t="s">
        <v>25</v>
      </c>
    </row>
    <row r="723" spans="1:19" x14ac:dyDescent="0.3">
      <c r="A723" t="s">
        <v>797</v>
      </c>
      <c r="B723" s="1">
        <v>45463</v>
      </c>
      <c r="C723" t="s">
        <v>36</v>
      </c>
      <c r="D723" t="s">
        <v>37</v>
      </c>
      <c r="E723" t="s">
        <v>38</v>
      </c>
      <c r="F723" t="s">
        <v>23</v>
      </c>
      <c r="G723">
        <v>38595.040000000001</v>
      </c>
      <c r="H723">
        <v>26245.02</v>
      </c>
      <c r="I723">
        <v>12350.02</v>
      </c>
      <c r="J723">
        <v>29802.19</v>
      </c>
      <c r="K723">
        <v>28775.62</v>
      </c>
      <c r="L723">
        <v>67964</v>
      </c>
      <c r="M723">
        <v>531</v>
      </c>
      <c r="N723">
        <v>5.45E-2</v>
      </c>
      <c r="O723">
        <v>0.32</v>
      </c>
      <c r="P723">
        <v>0.4234</v>
      </c>
      <c r="Q723" t="s">
        <v>111</v>
      </c>
      <c r="R723">
        <v>2024</v>
      </c>
      <c r="S723" t="s">
        <v>40</v>
      </c>
    </row>
    <row r="724" spans="1:19" x14ac:dyDescent="0.3">
      <c r="A724" t="s">
        <v>798</v>
      </c>
      <c r="B724" s="1">
        <v>45246</v>
      </c>
      <c r="C724" t="s">
        <v>48</v>
      </c>
      <c r="D724" t="s">
        <v>49</v>
      </c>
      <c r="E724" t="s">
        <v>32</v>
      </c>
      <c r="F724" t="s">
        <v>33</v>
      </c>
      <c r="G724">
        <v>183628.08</v>
      </c>
      <c r="H724">
        <v>164311.82</v>
      </c>
      <c r="I724">
        <v>19316.259999999998</v>
      </c>
      <c r="J724">
        <v>56458.89</v>
      </c>
      <c r="K724">
        <v>30358.33</v>
      </c>
      <c r="L724">
        <v>93499.16</v>
      </c>
      <c r="M724">
        <v>2243</v>
      </c>
      <c r="N724">
        <v>3.6900000000000002E-2</v>
      </c>
      <c r="O724">
        <v>0.1052</v>
      </c>
      <c r="P724">
        <v>0.32469999999999999</v>
      </c>
      <c r="Q724" t="s">
        <v>44</v>
      </c>
      <c r="R724">
        <v>2023</v>
      </c>
      <c r="S724" t="s">
        <v>40</v>
      </c>
    </row>
    <row r="725" spans="1:19" x14ac:dyDescent="0.3">
      <c r="A725" t="s">
        <v>799</v>
      </c>
      <c r="B725" s="1">
        <v>45244</v>
      </c>
      <c r="C725" t="s">
        <v>36</v>
      </c>
      <c r="D725" t="s">
        <v>37</v>
      </c>
      <c r="E725" t="s">
        <v>51</v>
      </c>
      <c r="F725" t="s">
        <v>23</v>
      </c>
      <c r="G725">
        <v>44205.3</v>
      </c>
      <c r="H725">
        <v>31975.05</v>
      </c>
      <c r="I725">
        <v>12230.25</v>
      </c>
      <c r="J725">
        <v>25074</v>
      </c>
      <c r="K725">
        <v>19484.41</v>
      </c>
      <c r="L725">
        <v>88866.78</v>
      </c>
      <c r="M725">
        <v>1352</v>
      </c>
      <c r="N725">
        <v>-3.8E-3</v>
      </c>
      <c r="O725">
        <v>0.2767</v>
      </c>
      <c r="P725">
        <v>0.21929999999999999</v>
      </c>
      <c r="Q725" t="s">
        <v>44</v>
      </c>
      <c r="R725">
        <v>2023</v>
      </c>
      <c r="S725" t="s">
        <v>25</v>
      </c>
    </row>
    <row r="726" spans="1:19" x14ac:dyDescent="0.3">
      <c r="A726" t="s">
        <v>800</v>
      </c>
      <c r="B726" s="1">
        <v>44820</v>
      </c>
      <c r="C726" t="s">
        <v>54</v>
      </c>
      <c r="D726" t="s">
        <v>55</v>
      </c>
      <c r="E726" t="s">
        <v>38</v>
      </c>
      <c r="F726" t="s">
        <v>23</v>
      </c>
      <c r="G726">
        <v>74884.850000000006</v>
      </c>
      <c r="H726">
        <v>45446.66</v>
      </c>
      <c r="I726">
        <v>29438.19</v>
      </c>
      <c r="J726">
        <v>62175.67</v>
      </c>
      <c r="K726">
        <v>29459.3</v>
      </c>
      <c r="L726">
        <v>131004.52</v>
      </c>
      <c r="M726">
        <v>1358</v>
      </c>
      <c r="N726">
        <v>8.6400000000000005E-2</v>
      </c>
      <c r="O726">
        <v>0.3931</v>
      </c>
      <c r="P726">
        <v>0.22489999999999999</v>
      </c>
      <c r="Q726" t="s">
        <v>76</v>
      </c>
      <c r="R726">
        <v>2022</v>
      </c>
      <c r="S726" t="s">
        <v>25</v>
      </c>
    </row>
    <row r="727" spans="1:19" x14ac:dyDescent="0.3">
      <c r="A727" t="s">
        <v>801</v>
      </c>
      <c r="B727" s="1">
        <v>44652</v>
      </c>
      <c r="C727" t="s">
        <v>27</v>
      </c>
      <c r="D727" t="s">
        <v>28</v>
      </c>
      <c r="E727" t="s">
        <v>38</v>
      </c>
      <c r="F727" t="s">
        <v>23</v>
      </c>
      <c r="G727">
        <v>21862.9</v>
      </c>
      <c r="H727">
        <v>15930.18</v>
      </c>
      <c r="I727">
        <v>5932.72</v>
      </c>
      <c r="J727">
        <v>22908.240000000002</v>
      </c>
      <c r="K727">
        <v>56083.64</v>
      </c>
      <c r="L727">
        <v>64703.32</v>
      </c>
      <c r="M727">
        <v>1413</v>
      </c>
      <c r="N727">
        <v>-8.5800000000000001E-2</v>
      </c>
      <c r="O727">
        <v>0.27139999999999997</v>
      </c>
      <c r="P727">
        <v>0.86680000000000001</v>
      </c>
      <c r="Q727" t="s">
        <v>58</v>
      </c>
      <c r="R727">
        <v>2022</v>
      </c>
      <c r="S727" t="s">
        <v>82</v>
      </c>
    </row>
    <row r="728" spans="1:19" x14ac:dyDescent="0.3">
      <c r="A728" t="s">
        <v>802</v>
      </c>
      <c r="B728" s="1">
        <v>45222</v>
      </c>
      <c r="C728" t="s">
        <v>78</v>
      </c>
      <c r="D728" t="s">
        <v>79</v>
      </c>
      <c r="E728" t="s">
        <v>22</v>
      </c>
      <c r="F728" t="s">
        <v>23</v>
      </c>
      <c r="G728">
        <v>39977.07</v>
      </c>
      <c r="H728">
        <v>23715.1</v>
      </c>
      <c r="I728">
        <v>16261.97</v>
      </c>
      <c r="J728">
        <v>14856.4</v>
      </c>
      <c r="K728">
        <v>13407.33</v>
      </c>
      <c r="L728">
        <v>50815.199999999997</v>
      </c>
      <c r="M728">
        <v>1334</v>
      </c>
      <c r="N728">
        <v>2.8E-3</v>
      </c>
      <c r="O728">
        <v>0.40679999999999999</v>
      </c>
      <c r="P728">
        <v>0.26379999999999998</v>
      </c>
      <c r="Q728" t="s">
        <v>44</v>
      </c>
      <c r="R728">
        <v>2023</v>
      </c>
      <c r="S728" t="s">
        <v>25</v>
      </c>
    </row>
    <row r="729" spans="1:19" x14ac:dyDescent="0.3">
      <c r="A729" t="s">
        <v>803</v>
      </c>
      <c r="B729" s="1">
        <v>44782</v>
      </c>
      <c r="C729" t="s">
        <v>42</v>
      </c>
      <c r="D729" t="s">
        <v>43</v>
      </c>
      <c r="E729" t="s">
        <v>22</v>
      </c>
      <c r="F729" t="s">
        <v>23</v>
      </c>
      <c r="G729">
        <v>47969.52</v>
      </c>
      <c r="H729">
        <v>40956.33</v>
      </c>
      <c r="I729">
        <v>7013.19</v>
      </c>
      <c r="J729">
        <v>29763.42</v>
      </c>
      <c r="K729">
        <v>33457.910000000003</v>
      </c>
      <c r="L729">
        <v>66853.570000000007</v>
      </c>
      <c r="M729">
        <v>965</v>
      </c>
      <c r="N729">
        <v>-2.1000000000000001E-2</v>
      </c>
      <c r="O729">
        <v>0.1462</v>
      </c>
      <c r="P729">
        <v>0.50049999999999994</v>
      </c>
      <c r="Q729" t="s">
        <v>76</v>
      </c>
      <c r="R729">
        <v>2022</v>
      </c>
      <c r="S729" t="s">
        <v>40</v>
      </c>
    </row>
    <row r="730" spans="1:19" x14ac:dyDescent="0.3">
      <c r="A730" t="s">
        <v>804</v>
      </c>
      <c r="B730" s="1">
        <v>45236</v>
      </c>
      <c r="C730" t="s">
        <v>48</v>
      </c>
      <c r="D730" t="s">
        <v>49</v>
      </c>
      <c r="E730" t="s">
        <v>22</v>
      </c>
      <c r="F730" t="s">
        <v>23</v>
      </c>
      <c r="G730">
        <v>14697.89</v>
      </c>
      <c r="H730">
        <v>9717.9599999999991</v>
      </c>
      <c r="I730">
        <v>4979.93</v>
      </c>
      <c r="J730">
        <v>48451.839999999997</v>
      </c>
      <c r="K730">
        <v>16234.36</v>
      </c>
      <c r="L730">
        <v>160857.64000000001</v>
      </c>
      <c r="M730">
        <v>604</v>
      </c>
      <c r="N730">
        <v>0.06</v>
      </c>
      <c r="O730">
        <v>0.33879999999999999</v>
      </c>
      <c r="P730">
        <v>0.1009</v>
      </c>
      <c r="Q730" t="s">
        <v>44</v>
      </c>
      <c r="R730">
        <v>2023</v>
      </c>
      <c r="S730" t="s">
        <v>25</v>
      </c>
    </row>
    <row r="731" spans="1:19" x14ac:dyDescent="0.3">
      <c r="A731" t="s">
        <v>805</v>
      </c>
      <c r="B731" s="1">
        <v>44709</v>
      </c>
      <c r="C731" t="s">
        <v>20</v>
      </c>
      <c r="D731" t="s">
        <v>21</v>
      </c>
      <c r="E731" t="s">
        <v>22</v>
      </c>
      <c r="F731" t="s">
        <v>23</v>
      </c>
      <c r="G731">
        <v>34530.83</v>
      </c>
      <c r="H731">
        <v>28512.23</v>
      </c>
      <c r="I731">
        <v>6018.6</v>
      </c>
      <c r="J731">
        <v>159657.56</v>
      </c>
      <c r="K731">
        <v>43999.33</v>
      </c>
      <c r="L731">
        <v>248669.96</v>
      </c>
      <c r="M731">
        <v>961</v>
      </c>
      <c r="N731">
        <v>-3.5099999999999999E-2</v>
      </c>
      <c r="O731">
        <v>0.17430000000000001</v>
      </c>
      <c r="P731">
        <v>0.1769</v>
      </c>
      <c r="Q731" t="s">
        <v>58</v>
      </c>
      <c r="R731">
        <v>2022</v>
      </c>
      <c r="S731" t="s">
        <v>25</v>
      </c>
    </row>
    <row r="732" spans="1:19" x14ac:dyDescent="0.3">
      <c r="A732" t="s">
        <v>806</v>
      </c>
      <c r="B732" s="1">
        <v>45806</v>
      </c>
      <c r="C732" t="s">
        <v>30</v>
      </c>
      <c r="D732" t="s">
        <v>31</v>
      </c>
      <c r="E732" t="s">
        <v>38</v>
      </c>
      <c r="F732" t="s">
        <v>23</v>
      </c>
      <c r="G732">
        <v>45464.56</v>
      </c>
      <c r="H732">
        <v>38663.019999999997</v>
      </c>
      <c r="I732">
        <v>6801.54</v>
      </c>
      <c r="J732">
        <v>60742.400000000001</v>
      </c>
      <c r="K732">
        <v>15897.69</v>
      </c>
      <c r="L732">
        <v>122868.28</v>
      </c>
      <c r="M732">
        <v>1221</v>
      </c>
      <c r="N732">
        <v>5.0000000000000001E-3</v>
      </c>
      <c r="O732">
        <v>0.14960000000000001</v>
      </c>
      <c r="P732">
        <v>0.12939999999999999</v>
      </c>
      <c r="Q732" t="s">
        <v>34</v>
      </c>
      <c r="R732">
        <v>2025</v>
      </c>
      <c r="S732" t="s">
        <v>25</v>
      </c>
    </row>
    <row r="733" spans="1:19" x14ac:dyDescent="0.3">
      <c r="A733" t="s">
        <v>807</v>
      </c>
      <c r="B733" s="1">
        <v>45069</v>
      </c>
      <c r="C733" t="s">
        <v>61</v>
      </c>
      <c r="D733" t="s">
        <v>74</v>
      </c>
      <c r="E733" t="s">
        <v>22</v>
      </c>
      <c r="F733" t="s">
        <v>23</v>
      </c>
      <c r="G733">
        <v>120938.35</v>
      </c>
      <c r="H733">
        <v>78659.95</v>
      </c>
      <c r="I733">
        <v>42278.400000000001</v>
      </c>
      <c r="J733">
        <v>50639.43</v>
      </c>
      <c r="K733">
        <v>116453.12</v>
      </c>
      <c r="L733">
        <v>100408.73</v>
      </c>
      <c r="M733">
        <v>579</v>
      </c>
      <c r="N733">
        <v>-1.5E-3</v>
      </c>
      <c r="O733">
        <v>0.34960000000000002</v>
      </c>
      <c r="P733">
        <v>1.1597999999999999</v>
      </c>
      <c r="Q733" t="s">
        <v>39</v>
      </c>
      <c r="R733">
        <v>2023</v>
      </c>
      <c r="S733" t="s">
        <v>82</v>
      </c>
    </row>
    <row r="734" spans="1:19" x14ac:dyDescent="0.3">
      <c r="A734" t="s">
        <v>808</v>
      </c>
      <c r="B734" s="1">
        <v>45597</v>
      </c>
      <c r="C734" t="s">
        <v>78</v>
      </c>
      <c r="D734" t="s">
        <v>79</v>
      </c>
      <c r="E734" t="s">
        <v>51</v>
      </c>
      <c r="F734" t="s">
        <v>23</v>
      </c>
      <c r="G734">
        <v>158935</v>
      </c>
      <c r="H734">
        <v>108488.1</v>
      </c>
      <c r="I734">
        <v>50446.9</v>
      </c>
      <c r="J734">
        <v>52342.44</v>
      </c>
      <c r="K734">
        <v>39996.949999999997</v>
      </c>
      <c r="L734">
        <v>78583.179999999993</v>
      </c>
      <c r="M734">
        <v>1319</v>
      </c>
      <c r="N734">
        <v>-2.07E-2</v>
      </c>
      <c r="O734">
        <v>0.31740000000000002</v>
      </c>
      <c r="P734">
        <v>0.50900000000000001</v>
      </c>
      <c r="Q734" t="s">
        <v>52</v>
      </c>
      <c r="R734">
        <v>2024</v>
      </c>
      <c r="S734" t="s">
        <v>40</v>
      </c>
    </row>
    <row r="735" spans="1:19" x14ac:dyDescent="0.3">
      <c r="A735" t="s">
        <v>809</v>
      </c>
      <c r="B735" s="1">
        <v>44736</v>
      </c>
      <c r="C735" t="s">
        <v>42</v>
      </c>
      <c r="D735" t="s">
        <v>43</v>
      </c>
      <c r="E735" t="s">
        <v>38</v>
      </c>
      <c r="F735" t="s">
        <v>23</v>
      </c>
      <c r="G735">
        <v>72499.41</v>
      </c>
      <c r="H735">
        <v>48817.19</v>
      </c>
      <c r="I735">
        <v>23682.22</v>
      </c>
      <c r="J735">
        <v>25851.02</v>
      </c>
      <c r="K735">
        <v>149740.63</v>
      </c>
      <c r="L735">
        <v>44645.120000000003</v>
      </c>
      <c r="M735">
        <v>368</v>
      </c>
      <c r="N735">
        <v>-0.1024</v>
      </c>
      <c r="O735">
        <v>0.32669999999999999</v>
      </c>
      <c r="P735">
        <v>3.3540000000000001</v>
      </c>
      <c r="Q735" t="s">
        <v>58</v>
      </c>
      <c r="R735">
        <v>2022</v>
      </c>
      <c r="S735" t="s">
        <v>82</v>
      </c>
    </row>
    <row r="736" spans="1:19" x14ac:dyDescent="0.3">
      <c r="A736" t="s">
        <v>810</v>
      </c>
      <c r="B736" s="1">
        <v>44880</v>
      </c>
      <c r="C736" t="s">
        <v>61</v>
      </c>
      <c r="D736" t="s">
        <v>74</v>
      </c>
      <c r="E736" t="s">
        <v>38</v>
      </c>
      <c r="F736" t="s">
        <v>23</v>
      </c>
      <c r="G736">
        <v>52408.14</v>
      </c>
      <c r="H736">
        <v>40643.85</v>
      </c>
      <c r="I736">
        <v>11764.29</v>
      </c>
      <c r="J736">
        <v>53010.68</v>
      </c>
      <c r="K736">
        <v>6332.55</v>
      </c>
      <c r="L736">
        <v>198367.35</v>
      </c>
      <c r="M736">
        <v>368</v>
      </c>
      <c r="N736">
        <v>-1.1000000000000001E-3</v>
      </c>
      <c r="O736">
        <v>0.22450000000000001</v>
      </c>
      <c r="P736">
        <v>3.1899999999999998E-2</v>
      </c>
      <c r="Q736" t="s">
        <v>46</v>
      </c>
      <c r="R736">
        <v>2022</v>
      </c>
      <c r="S736" t="s">
        <v>25</v>
      </c>
    </row>
    <row r="737" spans="1:19" x14ac:dyDescent="0.3">
      <c r="A737" t="s">
        <v>811</v>
      </c>
      <c r="B737" s="1">
        <v>44853</v>
      </c>
      <c r="C737" t="s">
        <v>48</v>
      </c>
      <c r="D737" t="s">
        <v>49</v>
      </c>
      <c r="E737" t="s">
        <v>22</v>
      </c>
      <c r="F737" t="s">
        <v>23</v>
      </c>
      <c r="G737">
        <v>67355.259999999995</v>
      </c>
      <c r="H737">
        <v>50265.55</v>
      </c>
      <c r="I737">
        <v>17089.71</v>
      </c>
      <c r="J737">
        <v>64136.160000000003</v>
      </c>
      <c r="K737">
        <v>65532</v>
      </c>
      <c r="L737">
        <v>113125.68</v>
      </c>
      <c r="M737">
        <v>642</v>
      </c>
      <c r="N737">
        <v>-4.7899999999999998E-2</v>
      </c>
      <c r="O737">
        <v>0.25369999999999998</v>
      </c>
      <c r="P737">
        <v>0.57930000000000004</v>
      </c>
      <c r="Q737" t="s">
        <v>46</v>
      </c>
      <c r="R737">
        <v>2022</v>
      </c>
      <c r="S737" t="s">
        <v>40</v>
      </c>
    </row>
    <row r="738" spans="1:19" x14ac:dyDescent="0.3">
      <c r="A738" t="s">
        <v>812</v>
      </c>
      <c r="B738" s="1">
        <v>45847</v>
      </c>
      <c r="C738" t="s">
        <v>42</v>
      </c>
      <c r="D738" t="s">
        <v>43</v>
      </c>
      <c r="E738" t="s">
        <v>32</v>
      </c>
      <c r="F738" t="s">
        <v>33</v>
      </c>
      <c r="G738">
        <v>56399.17</v>
      </c>
      <c r="H738">
        <v>50081.02</v>
      </c>
      <c r="I738">
        <v>6318.15</v>
      </c>
      <c r="J738">
        <v>18607.11</v>
      </c>
      <c r="K738">
        <v>89301.95</v>
      </c>
      <c r="L738">
        <v>58290.35</v>
      </c>
      <c r="M738">
        <v>781</v>
      </c>
      <c r="N738">
        <v>-2.5499999999999998E-2</v>
      </c>
      <c r="O738">
        <v>0.112</v>
      </c>
      <c r="P738">
        <v>1.532</v>
      </c>
      <c r="Q738" t="s">
        <v>24</v>
      </c>
      <c r="R738">
        <v>2025</v>
      </c>
      <c r="S738" t="s">
        <v>82</v>
      </c>
    </row>
    <row r="739" spans="1:19" x14ac:dyDescent="0.3">
      <c r="A739" t="s">
        <v>813</v>
      </c>
      <c r="B739" s="1">
        <v>45983</v>
      </c>
      <c r="C739" t="s">
        <v>61</v>
      </c>
      <c r="D739" t="s">
        <v>74</v>
      </c>
      <c r="E739" t="s">
        <v>51</v>
      </c>
      <c r="F739" t="s">
        <v>23</v>
      </c>
      <c r="G739">
        <v>100910.42</v>
      </c>
      <c r="H739">
        <v>89501.28</v>
      </c>
      <c r="I739">
        <v>11409.14</v>
      </c>
      <c r="J739">
        <v>30125.4</v>
      </c>
      <c r="K739">
        <v>25247.67</v>
      </c>
      <c r="L739">
        <v>117840.92</v>
      </c>
      <c r="M739">
        <v>1125</v>
      </c>
      <c r="N739">
        <v>-7.9799999999999996E-2</v>
      </c>
      <c r="O739">
        <v>0.11310000000000001</v>
      </c>
      <c r="P739">
        <v>0.21429999999999999</v>
      </c>
      <c r="Q739" t="s">
        <v>66</v>
      </c>
      <c r="R739">
        <v>2025</v>
      </c>
      <c r="S739" t="s">
        <v>25</v>
      </c>
    </row>
    <row r="740" spans="1:19" x14ac:dyDescent="0.3">
      <c r="A740" t="s">
        <v>814</v>
      </c>
      <c r="B740" s="1">
        <v>45089</v>
      </c>
      <c r="C740" t="s">
        <v>68</v>
      </c>
      <c r="D740" t="s">
        <v>69</v>
      </c>
      <c r="E740" t="s">
        <v>32</v>
      </c>
      <c r="F740" t="s">
        <v>33</v>
      </c>
      <c r="G740">
        <v>19077.13</v>
      </c>
      <c r="H740">
        <v>15717.88</v>
      </c>
      <c r="I740">
        <v>3359.25</v>
      </c>
      <c r="J740">
        <v>28341.759999999998</v>
      </c>
      <c r="K740">
        <v>56327.35</v>
      </c>
      <c r="L740">
        <v>68601.13</v>
      </c>
      <c r="M740">
        <v>1626</v>
      </c>
      <c r="N740">
        <v>4.2000000000000003E-2</v>
      </c>
      <c r="O740">
        <v>0.17610000000000001</v>
      </c>
      <c r="P740">
        <v>0.82110000000000005</v>
      </c>
      <c r="Q740" t="s">
        <v>39</v>
      </c>
      <c r="R740">
        <v>2023</v>
      </c>
      <c r="S740" t="s">
        <v>82</v>
      </c>
    </row>
    <row r="741" spans="1:19" x14ac:dyDescent="0.3">
      <c r="A741" t="s">
        <v>815</v>
      </c>
      <c r="B741" s="1">
        <v>45212</v>
      </c>
      <c r="C741" t="s">
        <v>20</v>
      </c>
      <c r="D741" t="s">
        <v>21</v>
      </c>
      <c r="E741" t="s">
        <v>22</v>
      </c>
      <c r="F741" t="s">
        <v>23</v>
      </c>
      <c r="G741">
        <v>44931.67</v>
      </c>
      <c r="H741">
        <v>29073.16</v>
      </c>
      <c r="I741">
        <v>15858.51</v>
      </c>
      <c r="J741">
        <v>26462.43</v>
      </c>
      <c r="K741">
        <v>230435.22</v>
      </c>
      <c r="L741">
        <v>136148.44</v>
      </c>
      <c r="M741">
        <v>555</v>
      </c>
      <c r="N741">
        <v>0.2079</v>
      </c>
      <c r="O741">
        <v>0.35289999999999999</v>
      </c>
      <c r="P741">
        <v>1.6924999999999999</v>
      </c>
      <c r="Q741" t="s">
        <v>44</v>
      </c>
      <c r="R741">
        <v>2023</v>
      </c>
      <c r="S741" t="s">
        <v>82</v>
      </c>
    </row>
    <row r="742" spans="1:19" x14ac:dyDescent="0.3">
      <c r="A742" t="s">
        <v>816</v>
      </c>
      <c r="B742" s="1">
        <v>44694</v>
      </c>
      <c r="C742" t="s">
        <v>42</v>
      </c>
      <c r="D742" t="s">
        <v>43</v>
      </c>
      <c r="E742" t="s">
        <v>22</v>
      </c>
      <c r="F742" t="s">
        <v>23</v>
      </c>
      <c r="G742">
        <v>134690.97</v>
      </c>
      <c r="H742">
        <v>108514.05</v>
      </c>
      <c r="I742">
        <v>26176.92</v>
      </c>
      <c r="J742">
        <v>11197.35</v>
      </c>
      <c r="K742">
        <v>58865.4</v>
      </c>
      <c r="L742">
        <v>60837.440000000002</v>
      </c>
      <c r="M742">
        <v>407</v>
      </c>
      <c r="N742">
        <v>-0.1046</v>
      </c>
      <c r="O742">
        <v>0.1943</v>
      </c>
      <c r="P742">
        <v>0.96760000000000002</v>
      </c>
      <c r="Q742" t="s">
        <v>58</v>
      </c>
      <c r="R742">
        <v>2022</v>
      </c>
      <c r="S742" t="s">
        <v>82</v>
      </c>
    </row>
    <row r="743" spans="1:19" x14ac:dyDescent="0.3">
      <c r="A743" t="s">
        <v>817</v>
      </c>
      <c r="B743" s="1">
        <v>45698</v>
      </c>
      <c r="C743" t="s">
        <v>61</v>
      </c>
      <c r="D743" t="s">
        <v>74</v>
      </c>
      <c r="E743" t="s">
        <v>32</v>
      </c>
      <c r="F743" t="s">
        <v>33</v>
      </c>
      <c r="G743">
        <v>48314.85</v>
      </c>
      <c r="H743">
        <v>32033.23</v>
      </c>
      <c r="I743">
        <v>16281.62</v>
      </c>
      <c r="J743">
        <v>41839.82</v>
      </c>
      <c r="K743">
        <v>16755.8</v>
      </c>
      <c r="L743">
        <v>193769.04</v>
      </c>
      <c r="M743">
        <v>1267</v>
      </c>
      <c r="N743">
        <v>-7.6200000000000004E-2</v>
      </c>
      <c r="O743">
        <v>0.33700000000000002</v>
      </c>
      <c r="P743">
        <v>8.6499999999999994E-2</v>
      </c>
      <c r="Q743" t="s">
        <v>106</v>
      </c>
      <c r="R743">
        <v>2025</v>
      </c>
      <c r="S743" t="s">
        <v>25</v>
      </c>
    </row>
    <row r="744" spans="1:19" x14ac:dyDescent="0.3">
      <c r="A744" t="s">
        <v>818</v>
      </c>
      <c r="B744" s="1">
        <v>45961</v>
      </c>
      <c r="C744" t="s">
        <v>42</v>
      </c>
      <c r="D744" t="s">
        <v>43</v>
      </c>
      <c r="E744" t="s">
        <v>38</v>
      </c>
      <c r="F744" t="s">
        <v>23</v>
      </c>
      <c r="G744">
        <v>72935.39</v>
      </c>
      <c r="H744">
        <v>63590.47</v>
      </c>
      <c r="I744">
        <v>9344.92</v>
      </c>
      <c r="J744">
        <v>122558.34</v>
      </c>
      <c r="K744">
        <v>36270.11</v>
      </c>
      <c r="L744">
        <v>155797.45000000001</v>
      </c>
      <c r="M744">
        <v>645</v>
      </c>
      <c r="N744">
        <v>0.20930000000000001</v>
      </c>
      <c r="O744">
        <v>0.12809999999999999</v>
      </c>
      <c r="P744">
        <v>0.23280000000000001</v>
      </c>
      <c r="Q744" t="s">
        <v>66</v>
      </c>
      <c r="R744">
        <v>2025</v>
      </c>
      <c r="S744" t="s">
        <v>25</v>
      </c>
    </row>
    <row r="745" spans="1:19" x14ac:dyDescent="0.3">
      <c r="A745" t="s">
        <v>819</v>
      </c>
      <c r="B745" s="1">
        <v>45882</v>
      </c>
      <c r="C745" t="s">
        <v>78</v>
      </c>
      <c r="D745" t="s">
        <v>79</v>
      </c>
      <c r="E745" t="s">
        <v>32</v>
      </c>
      <c r="F745" t="s">
        <v>33</v>
      </c>
      <c r="G745">
        <v>198085.21</v>
      </c>
      <c r="H745">
        <v>123523.94</v>
      </c>
      <c r="I745">
        <v>74561.27</v>
      </c>
      <c r="J745">
        <v>76796.649999999994</v>
      </c>
      <c r="K745">
        <v>48482.33</v>
      </c>
      <c r="L745">
        <v>101144.24</v>
      </c>
      <c r="M745">
        <v>765</v>
      </c>
      <c r="N745">
        <v>-1.1900000000000001E-2</v>
      </c>
      <c r="O745">
        <v>0.37640000000000001</v>
      </c>
      <c r="P745">
        <v>0.4793</v>
      </c>
      <c r="Q745" t="s">
        <v>24</v>
      </c>
      <c r="R745">
        <v>2025</v>
      </c>
      <c r="S745" t="s">
        <v>40</v>
      </c>
    </row>
    <row r="746" spans="1:19" x14ac:dyDescent="0.3">
      <c r="A746" t="s">
        <v>820</v>
      </c>
      <c r="B746" s="1">
        <v>44810</v>
      </c>
      <c r="C746" t="s">
        <v>102</v>
      </c>
      <c r="D746" t="s">
        <v>103</v>
      </c>
      <c r="E746" t="s">
        <v>38</v>
      </c>
      <c r="F746" t="s">
        <v>23</v>
      </c>
      <c r="G746">
        <v>28635.03</v>
      </c>
      <c r="H746">
        <v>19296.650000000001</v>
      </c>
      <c r="I746">
        <v>9338.3799999999992</v>
      </c>
      <c r="J746">
        <v>35614.25</v>
      </c>
      <c r="K746">
        <v>37363.360000000001</v>
      </c>
      <c r="L746">
        <v>69289.2</v>
      </c>
      <c r="M746">
        <v>781</v>
      </c>
      <c r="N746">
        <v>-2.2700000000000001E-2</v>
      </c>
      <c r="O746">
        <v>0.3261</v>
      </c>
      <c r="P746">
        <v>0.53920000000000001</v>
      </c>
      <c r="Q746" t="s">
        <v>76</v>
      </c>
      <c r="R746">
        <v>2022</v>
      </c>
      <c r="S746" t="s">
        <v>40</v>
      </c>
    </row>
    <row r="747" spans="1:19" x14ac:dyDescent="0.3">
      <c r="A747" t="s">
        <v>821</v>
      </c>
      <c r="B747" s="1">
        <v>45289</v>
      </c>
      <c r="C747" t="s">
        <v>85</v>
      </c>
      <c r="D747" t="s">
        <v>86</v>
      </c>
      <c r="E747" t="s">
        <v>38</v>
      </c>
      <c r="F747" t="s">
        <v>23</v>
      </c>
      <c r="G747">
        <v>224491.31</v>
      </c>
      <c r="H747">
        <v>170567.28</v>
      </c>
      <c r="I747">
        <v>53924.03</v>
      </c>
      <c r="J747">
        <v>55637.42</v>
      </c>
      <c r="K747">
        <v>83062.009999999995</v>
      </c>
      <c r="L747">
        <v>97178.12</v>
      </c>
      <c r="M747">
        <v>1193</v>
      </c>
      <c r="N747">
        <v>3.0999999999999999E-3</v>
      </c>
      <c r="O747">
        <v>0.2402</v>
      </c>
      <c r="P747">
        <v>0.85470000000000002</v>
      </c>
      <c r="Q747" t="s">
        <v>44</v>
      </c>
      <c r="R747">
        <v>2023</v>
      </c>
      <c r="S747" t="s">
        <v>82</v>
      </c>
    </row>
    <row r="748" spans="1:19" x14ac:dyDescent="0.3">
      <c r="A748" t="s">
        <v>822</v>
      </c>
      <c r="B748" s="1">
        <v>44827</v>
      </c>
      <c r="C748" t="s">
        <v>78</v>
      </c>
      <c r="D748" t="s">
        <v>79</v>
      </c>
      <c r="E748" t="s">
        <v>38</v>
      </c>
      <c r="F748" t="s">
        <v>23</v>
      </c>
      <c r="G748">
        <v>43798.17</v>
      </c>
      <c r="H748">
        <v>25808.79</v>
      </c>
      <c r="I748">
        <v>17989.38</v>
      </c>
      <c r="J748">
        <v>85938.240000000005</v>
      </c>
      <c r="K748">
        <v>34456.42</v>
      </c>
      <c r="L748">
        <v>153622.94</v>
      </c>
      <c r="M748">
        <v>729</v>
      </c>
      <c r="N748">
        <v>4.1200000000000001E-2</v>
      </c>
      <c r="O748">
        <v>0.41070000000000001</v>
      </c>
      <c r="P748">
        <v>0.2243</v>
      </c>
      <c r="Q748" t="s">
        <v>76</v>
      </c>
      <c r="R748">
        <v>2022</v>
      </c>
      <c r="S748" t="s">
        <v>25</v>
      </c>
    </row>
    <row r="749" spans="1:19" x14ac:dyDescent="0.3">
      <c r="A749" t="s">
        <v>823</v>
      </c>
      <c r="B749" s="1">
        <v>45300</v>
      </c>
      <c r="C749" t="s">
        <v>30</v>
      </c>
      <c r="D749" t="s">
        <v>31</v>
      </c>
      <c r="E749" t="s">
        <v>38</v>
      </c>
      <c r="F749" t="s">
        <v>23</v>
      </c>
      <c r="G749">
        <v>93196.35</v>
      </c>
      <c r="H749">
        <v>77515.11</v>
      </c>
      <c r="I749">
        <v>15681.24</v>
      </c>
      <c r="J749">
        <v>34366.67</v>
      </c>
      <c r="K749">
        <v>33661.14</v>
      </c>
      <c r="L749">
        <v>48188.29</v>
      </c>
      <c r="M749">
        <v>647</v>
      </c>
      <c r="N749">
        <v>-1.46E-2</v>
      </c>
      <c r="O749">
        <v>0.16830000000000001</v>
      </c>
      <c r="P749">
        <v>0.69850000000000001</v>
      </c>
      <c r="Q749" t="s">
        <v>80</v>
      </c>
      <c r="R749">
        <v>2024</v>
      </c>
      <c r="S749" t="s">
        <v>82</v>
      </c>
    </row>
    <row r="750" spans="1:19" x14ac:dyDescent="0.3">
      <c r="A750" t="s">
        <v>824</v>
      </c>
      <c r="B750" s="1">
        <v>45654</v>
      </c>
      <c r="C750" t="s">
        <v>27</v>
      </c>
      <c r="D750" t="s">
        <v>28</v>
      </c>
      <c r="E750" t="s">
        <v>22</v>
      </c>
      <c r="F750" t="s">
        <v>23</v>
      </c>
      <c r="G750">
        <v>164488.79999999999</v>
      </c>
      <c r="H750">
        <v>118054.73</v>
      </c>
      <c r="I750">
        <v>46434.07</v>
      </c>
      <c r="J750">
        <v>60333.67</v>
      </c>
      <c r="K750">
        <v>11504.7</v>
      </c>
      <c r="L750">
        <v>231077.14</v>
      </c>
      <c r="M750">
        <v>791</v>
      </c>
      <c r="N750">
        <v>1.7600000000000001E-2</v>
      </c>
      <c r="O750">
        <v>0.2823</v>
      </c>
      <c r="P750">
        <v>4.9799999999999997E-2</v>
      </c>
      <c r="Q750" t="s">
        <v>52</v>
      </c>
      <c r="R750">
        <v>2024</v>
      </c>
      <c r="S750" t="s">
        <v>25</v>
      </c>
    </row>
    <row r="751" spans="1:19" x14ac:dyDescent="0.3">
      <c r="A751" t="s">
        <v>825</v>
      </c>
      <c r="B751" s="1">
        <v>45997</v>
      </c>
      <c r="C751" t="s">
        <v>30</v>
      </c>
      <c r="D751" t="s">
        <v>31</v>
      </c>
      <c r="E751" t="s">
        <v>22</v>
      </c>
      <c r="F751" t="s">
        <v>23</v>
      </c>
      <c r="G751">
        <v>32059.54</v>
      </c>
      <c r="H751">
        <v>27832.37</v>
      </c>
      <c r="I751">
        <v>4227.17</v>
      </c>
      <c r="J751">
        <v>114762.25</v>
      </c>
      <c r="K751">
        <v>74225.759999999995</v>
      </c>
      <c r="L751">
        <v>201319.35</v>
      </c>
      <c r="M751">
        <v>517</v>
      </c>
      <c r="N751">
        <v>0.1168</v>
      </c>
      <c r="O751">
        <v>0.13189999999999999</v>
      </c>
      <c r="P751">
        <v>0.36870000000000003</v>
      </c>
      <c r="Q751" t="s">
        <v>66</v>
      </c>
      <c r="R751">
        <v>2025</v>
      </c>
      <c r="S751" t="s">
        <v>40</v>
      </c>
    </row>
    <row r="752" spans="1:19" x14ac:dyDescent="0.3">
      <c r="A752" t="s">
        <v>826</v>
      </c>
      <c r="B752" s="1">
        <v>45767</v>
      </c>
      <c r="C752" t="s">
        <v>78</v>
      </c>
      <c r="D752" t="s">
        <v>79</v>
      </c>
      <c r="E752" t="s">
        <v>22</v>
      </c>
      <c r="F752" t="s">
        <v>23</v>
      </c>
      <c r="G752">
        <v>72065.88</v>
      </c>
      <c r="H752">
        <v>43202.879999999997</v>
      </c>
      <c r="I752">
        <v>28863</v>
      </c>
      <c r="J752">
        <v>84944.73</v>
      </c>
      <c r="K752">
        <v>34596.93</v>
      </c>
      <c r="L752">
        <v>195079.24</v>
      </c>
      <c r="M752">
        <v>1032</v>
      </c>
      <c r="N752">
        <v>-6.7000000000000004E-2</v>
      </c>
      <c r="O752">
        <v>0.40050000000000002</v>
      </c>
      <c r="P752">
        <v>0.17730000000000001</v>
      </c>
      <c r="Q752" t="s">
        <v>34</v>
      </c>
      <c r="R752">
        <v>2025</v>
      </c>
      <c r="S752" t="s">
        <v>25</v>
      </c>
    </row>
    <row r="753" spans="1:19" x14ac:dyDescent="0.3">
      <c r="A753" t="s">
        <v>827</v>
      </c>
      <c r="B753" s="1">
        <v>45850</v>
      </c>
      <c r="C753" t="s">
        <v>68</v>
      </c>
      <c r="D753" t="s">
        <v>69</v>
      </c>
      <c r="E753" t="s">
        <v>38</v>
      </c>
      <c r="F753" t="s">
        <v>23</v>
      </c>
      <c r="G753">
        <v>103816.94</v>
      </c>
      <c r="H753">
        <v>61999.5</v>
      </c>
      <c r="I753">
        <v>41817.440000000002</v>
      </c>
      <c r="J753">
        <v>48752.81</v>
      </c>
      <c r="K753">
        <v>33778.959999999999</v>
      </c>
      <c r="L753">
        <v>147418.47</v>
      </c>
      <c r="M753">
        <v>849</v>
      </c>
      <c r="N753">
        <v>7.9799999999999996E-2</v>
      </c>
      <c r="O753">
        <v>0.40279999999999999</v>
      </c>
      <c r="P753">
        <v>0.2291</v>
      </c>
      <c r="Q753" t="s">
        <v>24</v>
      </c>
      <c r="R753">
        <v>2025</v>
      </c>
      <c r="S753" t="s">
        <v>25</v>
      </c>
    </row>
    <row r="754" spans="1:19" x14ac:dyDescent="0.3">
      <c r="A754" t="s">
        <v>828</v>
      </c>
      <c r="B754" s="1">
        <v>44653</v>
      </c>
      <c r="C754" t="s">
        <v>42</v>
      </c>
      <c r="D754" t="s">
        <v>43</v>
      </c>
      <c r="E754" t="s">
        <v>22</v>
      </c>
      <c r="F754" t="s">
        <v>23</v>
      </c>
      <c r="G754">
        <v>75371.600000000006</v>
      </c>
      <c r="H754">
        <v>64779.040000000001</v>
      </c>
      <c r="I754">
        <v>10592.56</v>
      </c>
      <c r="J754">
        <v>17441.88</v>
      </c>
      <c r="K754">
        <v>12323.22</v>
      </c>
      <c r="L754">
        <v>115824.91</v>
      </c>
      <c r="M754">
        <v>890</v>
      </c>
      <c r="N754">
        <v>-2.0199999999999999E-2</v>
      </c>
      <c r="O754">
        <v>0.14050000000000001</v>
      </c>
      <c r="P754">
        <v>0.10639999999999999</v>
      </c>
      <c r="Q754" t="s">
        <v>58</v>
      </c>
      <c r="R754">
        <v>2022</v>
      </c>
      <c r="S754" t="s">
        <v>25</v>
      </c>
    </row>
    <row r="755" spans="1:19" x14ac:dyDescent="0.3">
      <c r="A755" t="s">
        <v>829</v>
      </c>
      <c r="B755" s="1">
        <v>45533</v>
      </c>
      <c r="C755" t="s">
        <v>85</v>
      </c>
      <c r="D755" t="s">
        <v>86</v>
      </c>
      <c r="E755" t="s">
        <v>38</v>
      </c>
      <c r="F755" t="s">
        <v>23</v>
      </c>
      <c r="G755">
        <v>188526.38</v>
      </c>
      <c r="H755">
        <v>172966.73</v>
      </c>
      <c r="I755">
        <v>15559.65</v>
      </c>
      <c r="J755">
        <v>45830.37</v>
      </c>
      <c r="K755">
        <v>48800.03</v>
      </c>
      <c r="L755">
        <v>143671.23000000001</v>
      </c>
      <c r="M755">
        <v>917</v>
      </c>
      <c r="N755">
        <v>1.09E-2</v>
      </c>
      <c r="O755">
        <v>8.2500000000000004E-2</v>
      </c>
      <c r="P755">
        <v>0.3397</v>
      </c>
      <c r="Q755" t="s">
        <v>72</v>
      </c>
      <c r="R755">
        <v>2024</v>
      </c>
      <c r="S755" t="s">
        <v>40</v>
      </c>
    </row>
    <row r="756" spans="1:19" x14ac:dyDescent="0.3">
      <c r="A756" t="s">
        <v>830</v>
      </c>
      <c r="B756" s="1">
        <v>44707</v>
      </c>
      <c r="C756" t="s">
        <v>61</v>
      </c>
      <c r="D756" t="s">
        <v>74</v>
      </c>
      <c r="E756" t="s">
        <v>38</v>
      </c>
      <c r="F756" t="s">
        <v>23</v>
      </c>
      <c r="G756">
        <v>46329.49</v>
      </c>
      <c r="H756">
        <v>28427.46</v>
      </c>
      <c r="I756">
        <v>17902.03</v>
      </c>
      <c r="J756">
        <v>28613.85</v>
      </c>
      <c r="K756">
        <v>17595.3</v>
      </c>
      <c r="L756">
        <v>55787.97</v>
      </c>
      <c r="M756">
        <v>2012</v>
      </c>
      <c r="N756">
        <v>3.7699999999999997E-2</v>
      </c>
      <c r="O756">
        <v>0.38640000000000002</v>
      </c>
      <c r="P756">
        <v>0.31540000000000001</v>
      </c>
      <c r="Q756" t="s">
        <v>58</v>
      </c>
      <c r="R756">
        <v>2022</v>
      </c>
      <c r="S756" t="s">
        <v>40</v>
      </c>
    </row>
    <row r="757" spans="1:19" x14ac:dyDescent="0.3">
      <c r="A757" t="s">
        <v>831</v>
      </c>
      <c r="B757" s="1">
        <v>45921</v>
      </c>
      <c r="C757" t="s">
        <v>27</v>
      </c>
      <c r="D757" t="s">
        <v>28</v>
      </c>
      <c r="E757" t="s">
        <v>22</v>
      </c>
      <c r="F757" t="s">
        <v>23</v>
      </c>
      <c r="G757">
        <v>101898.17</v>
      </c>
      <c r="H757">
        <v>90112.48</v>
      </c>
      <c r="I757">
        <v>11785.69</v>
      </c>
      <c r="J757">
        <v>114092.29</v>
      </c>
      <c r="K757">
        <v>11812.07</v>
      </c>
      <c r="L757">
        <v>165757.10999999999</v>
      </c>
      <c r="M757">
        <v>366</v>
      </c>
      <c r="N757">
        <v>0.1075</v>
      </c>
      <c r="O757">
        <v>0.1157</v>
      </c>
      <c r="P757">
        <v>7.1300000000000002E-2</v>
      </c>
      <c r="Q757" t="s">
        <v>24</v>
      </c>
      <c r="R757">
        <v>2025</v>
      </c>
      <c r="S757" t="s">
        <v>25</v>
      </c>
    </row>
    <row r="758" spans="1:19" x14ac:dyDescent="0.3">
      <c r="A758" t="s">
        <v>832</v>
      </c>
      <c r="B758" s="1">
        <v>45020</v>
      </c>
      <c r="C758" t="s">
        <v>42</v>
      </c>
      <c r="D758" t="s">
        <v>43</v>
      </c>
      <c r="E758" t="s">
        <v>51</v>
      </c>
      <c r="F758" t="s">
        <v>23</v>
      </c>
      <c r="G758">
        <v>145524.89000000001</v>
      </c>
      <c r="H758">
        <v>111041.39</v>
      </c>
      <c r="I758">
        <v>34483.5</v>
      </c>
      <c r="J758">
        <v>10612.22</v>
      </c>
      <c r="K758">
        <v>44111.26</v>
      </c>
      <c r="L758">
        <v>90481.5</v>
      </c>
      <c r="M758">
        <v>842</v>
      </c>
      <c r="N758">
        <v>-5.7200000000000001E-2</v>
      </c>
      <c r="O758">
        <v>0.23699999999999999</v>
      </c>
      <c r="P758">
        <v>0.48749999999999999</v>
      </c>
      <c r="Q758" t="s">
        <v>39</v>
      </c>
      <c r="R758">
        <v>2023</v>
      </c>
      <c r="S758" t="s">
        <v>40</v>
      </c>
    </row>
    <row r="759" spans="1:19" x14ac:dyDescent="0.3">
      <c r="A759" t="s">
        <v>833</v>
      </c>
      <c r="B759" s="1">
        <v>44817</v>
      </c>
      <c r="C759" t="s">
        <v>54</v>
      </c>
      <c r="D759" t="s">
        <v>55</v>
      </c>
      <c r="E759" t="s">
        <v>22</v>
      </c>
      <c r="F759" t="s">
        <v>23</v>
      </c>
      <c r="G759">
        <v>110592.44</v>
      </c>
      <c r="H759">
        <v>75066.83</v>
      </c>
      <c r="I759">
        <v>35525.61</v>
      </c>
      <c r="J759">
        <v>46668.23</v>
      </c>
      <c r="K759">
        <v>25365.18</v>
      </c>
      <c r="L759">
        <v>171281.54</v>
      </c>
      <c r="M759">
        <v>746</v>
      </c>
      <c r="N759">
        <v>8.6300000000000002E-2</v>
      </c>
      <c r="O759">
        <v>0.32119999999999999</v>
      </c>
      <c r="P759">
        <v>0.14810000000000001</v>
      </c>
      <c r="Q759" t="s">
        <v>76</v>
      </c>
      <c r="R759">
        <v>2022</v>
      </c>
      <c r="S759" t="s">
        <v>25</v>
      </c>
    </row>
    <row r="760" spans="1:19" x14ac:dyDescent="0.3">
      <c r="A760" t="s">
        <v>834</v>
      </c>
      <c r="B760" s="1">
        <v>45461</v>
      </c>
      <c r="C760" t="s">
        <v>85</v>
      </c>
      <c r="D760" t="s">
        <v>86</v>
      </c>
      <c r="E760" t="s">
        <v>22</v>
      </c>
      <c r="F760" t="s">
        <v>23</v>
      </c>
      <c r="G760">
        <v>59835.82</v>
      </c>
      <c r="H760">
        <v>50396.71</v>
      </c>
      <c r="I760">
        <v>9439.11</v>
      </c>
      <c r="J760">
        <v>96905.29</v>
      </c>
      <c r="K760">
        <v>13306.27</v>
      </c>
      <c r="L760">
        <v>170173.76</v>
      </c>
      <c r="M760">
        <v>814</v>
      </c>
      <c r="N760">
        <v>-7.8299999999999995E-2</v>
      </c>
      <c r="O760">
        <v>0.1578</v>
      </c>
      <c r="P760">
        <v>7.8200000000000006E-2</v>
      </c>
      <c r="Q760" t="s">
        <v>111</v>
      </c>
      <c r="R760">
        <v>2024</v>
      </c>
      <c r="S760" t="s">
        <v>25</v>
      </c>
    </row>
    <row r="761" spans="1:19" x14ac:dyDescent="0.3">
      <c r="A761" t="s">
        <v>835</v>
      </c>
      <c r="B761" s="2">
        <v>44808</v>
      </c>
      <c r="C761" t="s">
        <v>78</v>
      </c>
      <c r="D761" t="s">
        <v>79</v>
      </c>
      <c r="E761" t="s">
        <v>22</v>
      </c>
      <c r="F761" t="s">
        <v>23</v>
      </c>
      <c r="G761">
        <v>21985.17</v>
      </c>
      <c r="H761">
        <v>14347.92</v>
      </c>
      <c r="I761">
        <v>7637.25</v>
      </c>
      <c r="J761">
        <v>27019.42</v>
      </c>
      <c r="K761">
        <v>9937.67</v>
      </c>
      <c r="L761">
        <v>86931.7</v>
      </c>
      <c r="M761">
        <v>504</v>
      </c>
      <c r="N761">
        <v>-7.6899999999999996E-2</v>
      </c>
      <c r="O761">
        <v>0.34739999999999999</v>
      </c>
      <c r="P761">
        <v>0.1143</v>
      </c>
      <c r="Q761" t="s">
        <v>76</v>
      </c>
      <c r="R761">
        <v>2022</v>
      </c>
      <c r="S761" t="s">
        <v>25</v>
      </c>
    </row>
    <row r="762" spans="1:19" x14ac:dyDescent="0.3">
      <c r="A762" t="s">
        <v>836</v>
      </c>
      <c r="B762" s="1">
        <v>45213</v>
      </c>
      <c r="C762" t="s">
        <v>102</v>
      </c>
      <c r="D762" t="s">
        <v>103</v>
      </c>
      <c r="E762" t="s">
        <v>22</v>
      </c>
      <c r="F762" t="s">
        <v>23</v>
      </c>
      <c r="G762">
        <v>85191.32</v>
      </c>
      <c r="H762">
        <v>68000.210000000006</v>
      </c>
      <c r="I762">
        <v>17191.11</v>
      </c>
      <c r="J762">
        <v>78341.919999999998</v>
      </c>
      <c r="K762">
        <v>11578.93</v>
      </c>
      <c r="L762">
        <v>207632.1</v>
      </c>
      <c r="M762">
        <v>1174</v>
      </c>
      <c r="N762">
        <v>7.1000000000000004E-3</v>
      </c>
      <c r="O762">
        <v>0.20180000000000001</v>
      </c>
      <c r="P762">
        <v>5.5800000000000002E-2</v>
      </c>
      <c r="Q762" t="s">
        <v>44</v>
      </c>
      <c r="R762">
        <v>2023</v>
      </c>
      <c r="S762" t="s">
        <v>25</v>
      </c>
    </row>
    <row r="763" spans="1:19" x14ac:dyDescent="0.3">
      <c r="A763" t="s">
        <v>837</v>
      </c>
      <c r="B763" s="1">
        <v>45301</v>
      </c>
      <c r="C763" t="s">
        <v>85</v>
      </c>
      <c r="D763" t="s">
        <v>86</v>
      </c>
      <c r="E763" t="s">
        <v>51</v>
      </c>
      <c r="F763" t="s">
        <v>23</v>
      </c>
      <c r="G763">
        <v>21782.14</v>
      </c>
      <c r="H763">
        <v>14200.2</v>
      </c>
      <c r="I763">
        <v>7581.94</v>
      </c>
      <c r="J763">
        <v>66997.52</v>
      </c>
      <c r="K763">
        <v>17986.23</v>
      </c>
      <c r="L763">
        <v>210178.61</v>
      </c>
      <c r="M763">
        <v>1322</v>
      </c>
      <c r="N763">
        <v>-2.3800000000000002E-2</v>
      </c>
      <c r="O763">
        <v>0.34810000000000002</v>
      </c>
      <c r="P763">
        <v>8.5599999999999996E-2</v>
      </c>
      <c r="Q763" t="s">
        <v>80</v>
      </c>
      <c r="R763">
        <v>2024</v>
      </c>
      <c r="S763" t="s">
        <v>25</v>
      </c>
    </row>
    <row r="764" spans="1:19" x14ac:dyDescent="0.3">
      <c r="A764" t="s">
        <v>838</v>
      </c>
      <c r="B764" s="1">
        <v>45230</v>
      </c>
      <c r="C764" t="s">
        <v>61</v>
      </c>
      <c r="D764" t="s">
        <v>74</v>
      </c>
      <c r="E764" t="s">
        <v>32</v>
      </c>
      <c r="F764" t="s">
        <v>33</v>
      </c>
      <c r="G764">
        <v>76089.73</v>
      </c>
      <c r="H764">
        <v>52546.44</v>
      </c>
      <c r="I764">
        <v>23543.29</v>
      </c>
      <c r="J764">
        <v>10554.15</v>
      </c>
      <c r="K764">
        <v>36037.5</v>
      </c>
      <c r="L764">
        <v>68695.27</v>
      </c>
      <c r="M764">
        <v>668</v>
      </c>
      <c r="N764">
        <v>-0.14369999999999999</v>
      </c>
      <c r="O764">
        <v>0.30940000000000001</v>
      </c>
      <c r="P764">
        <v>0.52459999999999996</v>
      </c>
      <c r="Q764" t="s">
        <v>44</v>
      </c>
      <c r="R764">
        <v>2023</v>
      </c>
      <c r="S764" t="s">
        <v>40</v>
      </c>
    </row>
    <row r="765" spans="1:19" x14ac:dyDescent="0.3">
      <c r="A765" t="s">
        <v>839</v>
      </c>
      <c r="B765" s="2">
        <v>45837</v>
      </c>
      <c r="C765" t="s">
        <v>36</v>
      </c>
      <c r="D765" t="s">
        <v>37</v>
      </c>
      <c r="E765" t="s">
        <v>51</v>
      </c>
      <c r="F765" t="s">
        <v>23</v>
      </c>
      <c r="G765">
        <v>40242.44</v>
      </c>
      <c r="H765">
        <v>33239.46</v>
      </c>
      <c r="I765">
        <v>7002.98</v>
      </c>
      <c r="J765">
        <v>23152.31</v>
      </c>
      <c r="K765">
        <v>17928.23</v>
      </c>
      <c r="L765">
        <v>33804.47</v>
      </c>
      <c r="M765">
        <v>1258</v>
      </c>
      <c r="N765">
        <v>2.8000000000000001E-2</v>
      </c>
      <c r="O765">
        <v>0.17399999999999999</v>
      </c>
      <c r="P765">
        <v>0.53039999999999998</v>
      </c>
      <c r="Q765" t="s">
        <v>34</v>
      </c>
      <c r="R765">
        <v>2025</v>
      </c>
      <c r="S765" t="s">
        <v>40</v>
      </c>
    </row>
    <row r="766" spans="1:19" x14ac:dyDescent="0.3">
      <c r="A766" t="s">
        <v>840</v>
      </c>
      <c r="B766" s="1">
        <v>45045</v>
      </c>
      <c r="C766" t="s">
        <v>85</v>
      </c>
      <c r="D766" t="s">
        <v>86</v>
      </c>
      <c r="E766" t="s">
        <v>38</v>
      </c>
      <c r="F766" t="s">
        <v>23</v>
      </c>
      <c r="G766">
        <v>132497.38</v>
      </c>
      <c r="H766">
        <v>72950.990000000005</v>
      </c>
      <c r="I766">
        <v>59546.39</v>
      </c>
      <c r="J766">
        <v>15538.12</v>
      </c>
      <c r="K766">
        <v>26457.759999999998</v>
      </c>
      <c r="L766">
        <v>31728.87</v>
      </c>
      <c r="M766">
        <v>500</v>
      </c>
      <c r="N766">
        <v>-1.5299999999999999E-2</v>
      </c>
      <c r="O766">
        <v>0.44940000000000002</v>
      </c>
      <c r="P766">
        <v>0.83389999999999997</v>
      </c>
      <c r="Q766" t="s">
        <v>39</v>
      </c>
      <c r="R766">
        <v>2023</v>
      </c>
      <c r="S766" t="s">
        <v>82</v>
      </c>
    </row>
    <row r="767" spans="1:19" x14ac:dyDescent="0.3">
      <c r="A767" t="s">
        <v>841</v>
      </c>
      <c r="B767" s="1">
        <v>44768</v>
      </c>
      <c r="C767" t="s">
        <v>42</v>
      </c>
      <c r="D767" t="s">
        <v>43</v>
      </c>
      <c r="E767" t="s">
        <v>38</v>
      </c>
      <c r="F767" t="s">
        <v>23</v>
      </c>
      <c r="G767">
        <v>41991.73</v>
      </c>
      <c r="H767">
        <v>33256.97</v>
      </c>
      <c r="I767">
        <v>8734.76</v>
      </c>
      <c r="J767">
        <v>20565.990000000002</v>
      </c>
      <c r="K767">
        <v>9959.25</v>
      </c>
      <c r="L767">
        <v>67492.47</v>
      </c>
      <c r="M767">
        <v>1188</v>
      </c>
      <c r="N767">
        <v>0.14580000000000001</v>
      </c>
      <c r="O767">
        <v>0.20799999999999999</v>
      </c>
      <c r="P767">
        <v>0.14760000000000001</v>
      </c>
      <c r="Q767" t="s">
        <v>76</v>
      </c>
      <c r="R767">
        <v>2022</v>
      </c>
      <c r="S767" t="s">
        <v>25</v>
      </c>
    </row>
    <row r="768" spans="1:19" x14ac:dyDescent="0.3">
      <c r="A768" t="s">
        <v>842</v>
      </c>
      <c r="B768" s="1">
        <v>45010</v>
      </c>
      <c r="C768" t="s">
        <v>102</v>
      </c>
      <c r="D768" t="s">
        <v>103</v>
      </c>
      <c r="E768" t="s">
        <v>38</v>
      </c>
      <c r="F768" t="s">
        <v>23</v>
      </c>
      <c r="G768">
        <v>112230.27</v>
      </c>
      <c r="H768">
        <v>66502.5</v>
      </c>
      <c r="I768">
        <v>45727.77</v>
      </c>
      <c r="J768">
        <v>70219.37</v>
      </c>
      <c r="K768">
        <v>17394.86</v>
      </c>
      <c r="L768">
        <v>304100.13</v>
      </c>
      <c r="M768">
        <v>507</v>
      </c>
      <c r="N768">
        <v>0.12520000000000001</v>
      </c>
      <c r="O768">
        <v>0.40739999999999998</v>
      </c>
      <c r="P768">
        <v>5.7200000000000001E-2</v>
      </c>
      <c r="Q768" t="s">
        <v>118</v>
      </c>
      <c r="R768">
        <v>2023</v>
      </c>
      <c r="S768" t="s">
        <v>25</v>
      </c>
    </row>
    <row r="769" spans="1:19" x14ac:dyDescent="0.3">
      <c r="A769" t="s">
        <v>843</v>
      </c>
      <c r="B769" s="1">
        <v>44776</v>
      </c>
      <c r="C769" t="s">
        <v>48</v>
      </c>
      <c r="D769" t="s">
        <v>49</v>
      </c>
      <c r="E769" t="s">
        <v>38</v>
      </c>
      <c r="F769" t="s">
        <v>23</v>
      </c>
      <c r="G769">
        <v>148658.29</v>
      </c>
      <c r="H769">
        <v>111061.68</v>
      </c>
      <c r="I769">
        <v>37596.61</v>
      </c>
      <c r="J769">
        <v>56823.8</v>
      </c>
      <c r="K769">
        <v>38294.11</v>
      </c>
      <c r="L769">
        <v>123080.32000000001</v>
      </c>
      <c r="M769">
        <v>783</v>
      </c>
      <c r="N769">
        <v>-3.73E-2</v>
      </c>
      <c r="O769">
        <v>0.25290000000000001</v>
      </c>
      <c r="P769">
        <v>0.31109999999999999</v>
      </c>
      <c r="Q769" t="s">
        <v>76</v>
      </c>
      <c r="R769">
        <v>2022</v>
      </c>
      <c r="S769" t="s">
        <v>40</v>
      </c>
    </row>
    <row r="770" spans="1:19" x14ac:dyDescent="0.3">
      <c r="A770" t="s">
        <v>844</v>
      </c>
      <c r="B770" s="1">
        <v>45554</v>
      </c>
      <c r="C770" t="s">
        <v>30</v>
      </c>
      <c r="D770" t="s">
        <v>31</v>
      </c>
      <c r="E770" t="s">
        <v>38</v>
      </c>
      <c r="F770" t="s">
        <v>23</v>
      </c>
      <c r="G770">
        <v>134874.89000000001</v>
      </c>
      <c r="H770">
        <v>100259.51</v>
      </c>
      <c r="I770">
        <v>34615.379999999997</v>
      </c>
      <c r="J770">
        <v>74870.8</v>
      </c>
      <c r="K770">
        <v>17634.78</v>
      </c>
      <c r="L770">
        <v>157673.82999999999</v>
      </c>
      <c r="M770">
        <v>810</v>
      </c>
      <c r="N770">
        <v>-0.17460000000000001</v>
      </c>
      <c r="O770">
        <v>0.25659999999999999</v>
      </c>
      <c r="P770">
        <v>0.1118</v>
      </c>
      <c r="Q770" t="s">
        <v>72</v>
      </c>
      <c r="R770">
        <v>2024</v>
      </c>
      <c r="S770" t="s">
        <v>25</v>
      </c>
    </row>
    <row r="771" spans="1:19" x14ac:dyDescent="0.3">
      <c r="A771" t="s">
        <v>845</v>
      </c>
      <c r="B771" s="1">
        <v>45600</v>
      </c>
      <c r="C771" t="s">
        <v>36</v>
      </c>
      <c r="D771" t="s">
        <v>37</v>
      </c>
      <c r="E771" t="s">
        <v>51</v>
      </c>
      <c r="F771" t="s">
        <v>23</v>
      </c>
      <c r="G771">
        <v>70022.05</v>
      </c>
      <c r="H771">
        <v>42054.69</v>
      </c>
      <c r="I771">
        <v>27967.360000000001</v>
      </c>
      <c r="J771">
        <v>32257.9</v>
      </c>
      <c r="K771">
        <v>28900.6</v>
      </c>
      <c r="L771">
        <v>95227.199999999997</v>
      </c>
      <c r="M771">
        <v>580</v>
      </c>
      <c r="N771">
        <v>-8.2500000000000004E-2</v>
      </c>
      <c r="O771">
        <v>0.39939999999999998</v>
      </c>
      <c r="P771">
        <v>0.30349999999999999</v>
      </c>
      <c r="Q771" t="s">
        <v>52</v>
      </c>
      <c r="R771">
        <v>2024</v>
      </c>
      <c r="S771" t="s">
        <v>40</v>
      </c>
    </row>
    <row r="772" spans="1:19" x14ac:dyDescent="0.3">
      <c r="A772" t="s">
        <v>846</v>
      </c>
      <c r="B772" s="1">
        <v>44952</v>
      </c>
      <c r="C772" t="s">
        <v>102</v>
      </c>
      <c r="D772" t="s">
        <v>103</v>
      </c>
      <c r="E772" t="s">
        <v>32</v>
      </c>
      <c r="F772" t="s">
        <v>33</v>
      </c>
      <c r="G772">
        <v>291958.84999999998</v>
      </c>
      <c r="H772">
        <v>260715.09</v>
      </c>
      <c r="I772">
        <v>31243.759999999998</v>
      </c>
      <c r="J772">
        <v>69025.919999999998</v>
      </c>
      <c r="K772">
        <v>73168.210000000006</v>
      </c>
      <c r="L772">
        <v>203821.26</v>
      </c>
      <c r="M772">
        <v>773</v>
      </c>
      <c r="N772">
        <v>2.86E-2</v>
      </c>
      <c r="O772">
        <v>0.107</v>
      </c>
      <c r="P772">
        <v>0.35899999999999999</v>
      </c>
      <c r="Q772" t="s">
        <v>118</v>
      </c>
      <c r="R772">
        <v>2023</v>
      </c>
      <c r="S772" t="s">
        <v>40</v>
      </c>
    </row>
    <row r="773" spans="1:19" x14ac:dyDescent="0.3">
      <c r="A773" t="s">
        <v>847</v>
      </c>
      <c r="B773" s="1">
        <v>45710</v>
      </c>
      <c r="C773" t="s">
        <v>36</v>
      </c>
      <c r="D773" t="s">
        <v>37</v>
      </c>
      <c r="E773" t="s">
        <v>51</v>
      </c>
      <c r="F773" t="s">
        <v>23</v>
      </c>
      <c r="G773">
        <v>152857.43</v>
      </c>
      <c r="H773">
        <v>86808.72</v>
      </c>
      <c r="I773">
        <v>66048.710000000006</v>
      </c>
      <c r="J773">
        <v>29540.03</v>
      </c>
      <c r="K773">
        <v>21670.06</v>
      </c>
      <c r="L773">
        <v>55687.13</v>
      </c>
      <c r="M773">
        <v>413</v>
      </c>
      <c r="N773">
        <v>8.9999999999999998E-4</v>
      </c>
      <c r="O773">
        <v>0.43209999999999998</v>
      </c>
      <c r="P773">
        <v>0.3891</v>
      </c>
      <c r="Q773" t="s">
        <v>106</v>
      </c>
      <c r="R773">
        <v>2025</v>
      </c>
      <c r="S773" t="s">
        <v>40</v>
      </c>
    </row>
    <row r="774" spans="1:19" x14ac:dyDescent="0.3">
      <c r="A774" t="s">
        <v>848</v>
      </c>
      <c r="B774" s="1">
        <v>45405</v>
      </c>
      <c r="C774" t="s">
        <v>27</v>
      </c>
      <c r="D774" t="s">
        <v>28</v>
      </c>
      <c r="E774" t="s">
        <v>38</v>
      </c>
      <c r="F774" t="s">
        <v>23</v>
      </c>
      <c r="G774">
        <v>34414.959999999999</v>
      </c>
      <c r="H774">
        <v>24357.88</v>
      </c>
      <c r="I774">
        <v>10057.08</v>
      </c>
      <c r="J774">
        <v>27479.200000000001</v>
      </c>
      <c r="K774">
        <v>19327.05</v>
      </c>
      <c r="L774">
        <v>88825.93</v>
      </c>
      <c r="M774">
        <v>1733</v>
      </c>
      <c r="N774">
        <v>-1.18E-2</v>
      </c>
      <c r="O774">
        <v>0.29220000000000002</v>
      </c>
      <c r="P774">
        <v>0.21759999999999999</v>
      </c>
      <c r="Q774" t="s">
        <v>111</v>
      </c>
      <c r="R774">
        <v>2024</v>
      </c>
      <c r="S774" t="s">
        <v>25</v>
      </c>
    </row>
    <row r="775" spans="1:19" x14ac:dyDescent="0.3">
      <c r="A775" t="s">
        <v>849</v>
      </c>
      <c r="B775" s="1">
        <v>45216</v>
      </c>
      <c r="C775" t="s">
        <v>27</v>
      </c>
      <c r="D775" t="s">
        <v>28</v>
      </c>
      <c r="E775" t="s">
        <v>22</v>
      </c>
      <c r="F775" t="s">
        <v>23</v>
      </c>
      <c r="G775">
        <v>75084.31</v>
      </c>
      <c r="H775">
        <v>63169.87</v>
      </c>
      <c r="I775">
        <v>11914.44</v>
      </c>
      <c r="J775">
        <v>25850.95</v>
      </c>
      <c r="K775">
        <v>5593.55</v>
      </c>
      <c r="L775">
        <v>110444.95</v>
      </c>
      <c r="M775">
        <v>1439</v>
      </c>
      <c r="N775">
        <v>3.8999999999999998E-3</v>
      </c>
      <c r="O775">
        <v>0.15870000000000001</v>
      </c>
      <c r="P775">
        <v>5.0599999999999999E-2</v>
      </c>
      <c r="Q775" t="s">
        <v>44</v>
      </c>
      <c r="R775">
        <v>2023</v>
      </c>
      <c r="S775" t="s">
        <v>25</v>
      </c>
    </row>
    <row r="776" spans="1:19" x14ac:dyDescent="0.3">
      <c r="A776" t="s">
        <v>850</v>
      </c>
      <c r="B776" s="1">
        <v>45047</v>
      </c>
      <c r="C776" t="s">
        <v>102</v>
      </c>
      <c r="D776" t="s">
        <v>103</v>
      </c>
      <c r="E776" t="s">
        <v>22</v>
      </c>
      <c r="F776" t="s">
        <v>23</v>
      </c>
      <c r="G776">
        <v>105807.61</v>
      </c>
      <c r="H776">
        <v>73777.56</v>
      </c>
      <c r="I776">
        <v>32030.05</v>
      </c>
      <c r="J776">
        <v>70295.740000000005</v>
      </c>
      <c r="K776">
        <v>83275.070000000007</v>
      </c>
      <c r="L776">
        <v>133092.26999999999</v>
      </c>
      <c r="M776">
        <v>482</v>
      </c>
      <c r="N776">
        <v>-0.107</v>
      </c>
      <c r="O776">
        <v>0.30270000000000002</v>
      </c>
      <c r="P776">
        <v>0.62570000000000003</v>
      </c>
      <c r="Q776" t="s">
        <v>39</v>
      </c>
      <c r="R776">
        <v>2023</v>
      </c>
      <c r="S776" t="s">
        <v>82</v>
      </c>
    </row>
    <row r="777" spans="1:19" x14ac:dyDescent="0.3">
      <c r="A777" t="s">
        <v>851</v>
      </c>
      <c r="B777" s="1">
        <v>44924</v>
      </c>
      <c r="C777" t="s">
        <v>36</v>
      </c>
      <c r="D777" t="s">
        <v>37</v>
      </c>
      <c r="E777" t="s">
        <v>51</v>
      </c>
      <c r="F777" t="s">
        <v>23</v>
      </c>
      <c r="G777">
        <v>37080.870000000003</v>
      </c>
      <c r="H777">
        <v>25959.54</v>
      </c>
      <c r="I777">
        <v>11121.33</v>
      </c>
      <c r="J777">
        <v>114547.61</v>
      </c>
      <c r="K777">
        <v>18472.05</v>
      </c>
      <c r="L777">
        <v>183847.4</v>
      </c>
      <c r="M777">
        <v>1690</v>
      </c>
      <c r="N777">
        <v>4.6300000000000001E-2</v>
      </c>
      <c r="O777">
        <v>0.2999</v>
      </c>
      <c r="P777">
        <v>0.10050000000000001</v>
      </c>
      <c r="Q777" t="s">
        <v>46</v>
      </c>
      <c r="R777">
        <v>2022</v>
      </c>
      <c r="S777" t="s">
        <v>25</v>
      </c>
    </row>
    <row r="778" spans="1:19" x14ac:dyDescent="0.3">
      <c r="A778" t="s">
        <v>852</v>
      </c>
      <c r="B778" s="1">
        <v>44880</v>
      </c>
      <c r="C778" t="s">
        <v>78</v>
      </c>
      <c r="D778" t="s">
        <v>79</v>
      </c>
      <c r="E778" t="s">
        <v>38</v>
      </c>
      <c r="F778" t="s">
        <v>23</v>
      </c>
      <c r="G778">
        <v>47350.96</v>
      </c>
      <c r="H778">
        <v>27430.36</v>
      </c>
      <c r="I778">
        <v>19920.599999999999</v>
      </c>
      <c r="J778">
        <v>63549.99</v>
      </c>
      <c r="K778">
        <v>5494.87</v>
      </c>
      <c r="L778">
        <v>117845.75</v>
      </c>
      <c r="M778">
        <v>506</v>
      </c>
      <c r="N778">
        <v>-6.4000000000000003E-3</v>
      </c>
      <c r="O778">
        <v>0.42070000000000002</v>
      </c>
      <c r="P778">
        <v>4.6600000000000003E-2</v>
      </c>
      <c r="Q778" t="s">
        <v>46</v>
      </c>
      <c r="R778">
        <v>2022</v>
      </c>
      <c r="S778" t="s">
        <v>25</v>
      </c>
    </row>
    <row r="779" spans="1:19" x14ac:dyDescent="0.3">
      <c r="A779" t="s">
        <v>853</v>
      </c>
      <c r="B779" s="1">
        <v>44803</v>
      </c>
      <c r="C779" t="s">
        <v>68</v>
      </c>
      <c r="D779" t="s">
        <v>69</v>
      </c>
      <c r="E779" t="s">
        <v>38</v>
      </c>
      <c r="F779" t="s">
        <v>23</v>
      </c>
      <c r="G779">
        <v>83527.850000000006</v>
      </c>
      <c r="H779">
        <v>51281.37</v>
      </c>
      <c r="I779">
        <v>32246.48</v>
      </c>
      <c r="J779">
        <v>23232.16</v>
      </c>
      <c r="K779">
        <v>17944.68</v>
      </c>
      <c r="L779">
        <v>75564.2</v>
      </c>
      <c r="M779">
        <v>1342</v>
      </c>
      <c r="N779">
        <v>-4.7500000000000001E-2</v>
      </c>
      <c r="O779">
        <v>0.3861</v>
      </c>
      <c r="P779">
        <v>0.23749999999999999</v>
      </c>
      <c r="Q779" t="s">
        <v>76</v>
      </c>
      <c r="R779">
        <v>2022</v>
      </c>
      <c r="S779" t="s">
        <v>25</v>
      </c>
    </row>
    <row r="780" spans="1:19" x14ac:dyDescent="0.3">
      <c r="A780" t="s">
        <v>854</v>
      </c>
      <c r="B780" s="1">
        <v>45122</v>
      </c>
      <c r="C780" t="s">
        <v>78</v>
      </c>
      <c r="D780" t="s">
        <v>79</v>
      </c>
      <c r="E780" t="s">
        <v>38</v>
      </c>
      <c r="F780" t="s">
        <v>23</v>
      </c>
      <c r="G780">
        <v>57904.68</v>
      </c>
      <c r="H780">
        <v>48472.67</v>
      </c>
      <c r="I780">
        <v>9432.01</v>
      </c>
      <c r="J780">
        <v>40599.379999999997</v>
      </c>
      <c r="K780">
        <v>31088.46</v>
      </c>
      <c r="L780">
        <v>214051.41</v>
      </c>
      <c r="M780">
        <v>620</v>
      </c>
      <c r="N780">
        <v>-2.3E-2</v>
      </c>
      <c r="O780">
        <v>0.16289999999999999</v>
      </c>
      <c r="P780">
        <v>0.1452</v>
      </c>
      <c r="Q780" t="s">
        <v>56</v>
      </c>
      <c r="R780">
        <v>2023</v>
      </c>
      <c r="S780" t="s">
        <v>25</v>
      </c>
    </row>
    <row r="781" spans="1:19" x14ac:dyDescent="0.3">
      <c r="A781" t="s">
        <v>855</v>
      </c>
      <c r="B781" s="1">
        <v>45630</v>
      </c>
      <c r="C781" t="s">
        <v>85</v>
      </c>
      <c r="D781" t="s">
        <v>86</v>
      </c>
      <c r="E781" t="s">
        <v>32</v>
      </c>
      <c r="F781" t="s">
        <v>33</v>
      </c>
      <c r="G781">
        <v>88716.19</v>
      </c>
      <c r="H781">
        <v>66179.48</v>
      </c>
      <c r="I781">
        <v>22536.71</v>
      </c>
      <c r="J781">
        <v>105564.75</v>
      </c>
      <c r="K781">
        <v>33935.22</v>
      </c>
      <c r="L781">
        <v>117473.67</v>
      </c>
      <c r="M781">
        <v>585</v>
      </c>
      <c r="N781">
        <v>0.1459</v>
      </c>
      <c r="O781">
        <v>0.254</v>
      </c>
      <c r="P781">
        <v>0.28889999999999999</v>
      </c>
      <c r="Q781" t="s">
        <v>52</v>
      </c>
      <c r="R781">
        <v>2024</v>
      </c>
      <c r="S781" t="s">
        <v>25</v>
      </c>
    </row>
    <row r="782" spans="1:19" x14ac:dyDescent="0.3">
      <c r="A782" t="s">
        <v>856</v>
      </c>
      <c r="B782" s="3">
        <v>45851</v>
      </c>
      <c r="C782" t="s">
        <v>61</v>
      </c>
      <c r="D782" t="s">
        <v>74</v>
      </c>
      <c r="E782" t="s">
        <v>22</v>
      </c>
      <c r="F782" t="s">
        <v>23</v>
      </c>
      <c r="G782">
        <v>71533.7</v>
      </c>
      <c r="H782">
        <v>56034.879999999997</v>
      </c>
      <c r="I782">
        <v>15498.82</v>
      </c>
      <c r="J782">
        <v>68490.5</v>
      </c>
      <c r="K782">
        <v>26399.13</v>
      </c>
      <c r="L782">
        <v>100593.45</v>
      </c>
      <c r="M782">
        <v>753</v>
      </c>
      <c r="N782">
        <v>-6.7400000000000002E-2</v>
      </c>
      <c r="O782">
        <v>0.2167</v>
      </c>
      <c r="P782">
        <v>0.26240000000000002</v>
      </c>
      <c r="Q782" t="s">
        <v>24</v>
      </c>
      <c r="R782">
        <v>2025</v>
      </c>
      <c r="S782" t="s">
        <v>25</v>
      </c>
    </row>
    <row r="783" spans="1:19" x14ac:dyDescent="0.3">
      <c r="A783" t="s">
        <v>857</v>
      </c>
      <c r="B783" s="1">
        <v>45202</v>
      </c>
      <c r="C783" t="s">
        <v>20</v>
      </c>
      <c r="D783" t="s">
        <v>480</v>
      </c>
      <c r="E783" t="s">
        <v>51</v>
      </c>
      <c r="F783" t="s">
        <v>23</v>
      </c>
      <c r="G783">
        <v>129701.5</v>
      </c>
      <c r="H783">
        <v>90266.97</v>
      </c>
      <c r="I783">
        <v>39434.53</v>
      </c>
      <c r="J783">
        <v>36670.300000000003</v>
      </c>
      <c r="K783">
        <v>159067.59</v>
      </c>
      <c r="L783">
        <v>105048.29</v>
      </c>
      <c r="M783">
        <v>997</v>
      </c>
      <c r="N783">
        <v>1.2999999999999999E-2</v>
      </c>
      <c r="O783">
        <v>0.30399999999999999</v>
      </c>
      <c r="P783">
        <v>1.5142</v>
      </c>
      <c r="Q783" t="s">
        <v>44</v>
      </c>
      <c r="R783">
        <v>2023</v>
      </c>
      <c r="S783" t="s">
        <v>82</v>
      </c>
    </row>
    <row r="784" spans="1:19" x14ac:dyDescent="0.3">
      <c r="A784" t="s">
        <v>858</v>
      </c>
      <c r="B784" s="1">
        <v>45107</v>
      </c>
      <c r="C784" t="s">
        <v>68</v>
      </c>
      <c r="D784" t="s">
        <v>69</v>
      </c>
      <c r="E784" t="s">
        <v>38</v>
      </c>
      <c r="F784" t="s">
        <v>23</v>
      </c>
      <c r="G784">
        <v>50321.760000000002</v>
      </c>
      <c r="H784">
        <v>32510.67</v>
      </c>
      <c r="I784">
        <v>17811.09</v>
      </c>
      <c r="J784">
        <v>71743.91</v>
      </c>
      <c r="K784">
        <v>10577.55</v>
      </c>
      <c r="L784">
        <v>81093.570000000007</v>
      </c>
      <c r="M784">
        <v>1073</v>
      </c>
      <c r="N784">
        <v>-9.5999999999999992E-3</v>
      </c>
      <c r="O784">
        <v>0.35389999999999999</v>
      </c>
      <c r="P784">
        <v>0.13039999999999999</v>
      </c>
      <c r="Q784" t="s">
        <v>39</v>
      </c>
      <c r="R784">
        <v>2023</v>
      </c>
      <c r="S784" t="s">
        <v>25</v>
      </c>
    </row>
    <row r="785" spans="1:19" x14ac:dyDescent="0.3">
      <c r="A785" t="s">
        <v>859</v>
      </c>
      <c r="B785" s="1">
        <v>45364</v>
      </c>
      <c r="C785" t="s">
        <v>85</v>
      </c>
      <c r="D785" t="s">
        <v>86</v>
      </c>
      <c r="E785" t="s">
        <v>32</v>
      </c>
      <c r="F785" t="s">
        <v>33</v>
      </c>
      <c r="G785">
        <v>103717.95</v>
      </c>
      <c r="H785">
        <v>74583.460000000006</v>
      </c>
      <c r="I785">
        <v>29134.49</v>
      </c>
      <c r="J785">
        <v>48392.55</v>
      </c>
      <c r="K785">
        <v>92162.99</v>
      </c>
      <c r="L785">
        <v>243108.8</v>
      </c>
      <c r="M785">
        <v>790</v>
      </c>
      <c r="N785">
        <v>0.1023</v>
      </c>
      <c r="O785">
        <v>0.28089999999999998</v>
      </c>
      <c r="P785">
        <v>0.37909999999999999</v>
      </c>
      <c r="Q785" t="s">
        <v>80</v>
      </c>
      <c r="R785">
        <v>2024</v>
      </c>
      <c r="S785" t="s">
        <v>40</v>
      </c>
    </row>
    <row r="786" spans="1:19" x14ac:dyDescent="0.3">
      <c r="A786" t="s">
        <v>860</v>
      </c>
      <c r="B786" s="1">
        <v>45018</v>
      </c>
      <c r="C786" t="s">
        <v>27</v>
      </c>
      <c r="D786" t="s">
        <v>28</v>
      </c>
      <c r="E786" t="s">
        <v>32</v>
      </c>
      <c r="F786" t="s">
        <v>33</v>
      </c>
      <c r="G786">
        <v>15870.28</v>
      </c>
      <c r="H786">
        <v>11313.05</v>
      </c>
      <c r="I786">
        <v>4557.2299999999996</v>
      </c>
      <c r="J786">
        <v>105980.22</v>
      </c>
      <c r="K786">
        <v>33100.61</v>
      </c>
      <c r="L786">
        <v>147607.01999999999</v>
      </c>
      <c r="M786">
        <v>679</v>
      </c>
      <c r="N786">
        <v>-3.39E-2</v>
      </c>
      <c r="O786">
        <v>0.28720000000000001</v>
      </c>
      <c r="P786">
        <v>0.22420000000000001</v>
      </c>
      <c r="Q786" t="s">
        <v>39</v>
      </c>
      <c r="R786">
        <v>2023</v>
      </c>
      <c r="S786" t="s">
        <v>25</v>
      </c>
    </row>
    <row r="787" spans="1:19" x14ac:dyDescent="0.3">
      <c r="A787" t="s">
        <v>861</v>
      </c>
      <c r="B787" s="1">
        <v>45629</v>
      </c>
      <c r="C787" t="s">
        <v>30</v>
      </c>
      <c r="D787" t="s">
        <v>31</v>
      </c>
      <c r="E787" t="s">
        <v>51</v>
      </c>
      <c r="F787" t="s">
        <v>23</v>
      </c>
      <c r="G787">
        <v>22398.32</v>
      </c>
      <c r="H787">
        <v>16039.38</v>
      </c>
      <c r="I787">
        <v>6358.94</v>
      </c>
      <c r="J787">
        <v>75459.31</v>
      </c>
      <c r="K787">
        <v>8611.33</v>
      </c>
      <c r="L787">
        <v>143911.91</v>
      </c>
      <c r="M787">
        <v>370</v>
      </c>
      <c r="N787">
        <v>-0.1011</v>
      </c>
      <c r="O787">
        <v>0.28389999999999999</v>
      </c>
      <c r="P787">
        <v>5.9799999999999999E-2</v>
      </c>
      <c r="Q787" t="s">
        <v>52</v>
      </c>
      <c r="R787">
        <v>2024</v>
      </c>
      <c r="S787" t="s">
        <v>25</v>
      </c>
    </row>
    <row r="788" spans="1:19" x14ac:dyDescent="0.3">
      <c r="A788" t="s">
        <v>862</v>
      </c>
      <c r="B788" s="1">
        <v>44804</v>
      </c>
      <c r="C788" t="s">
        <v>54</v>
      </c>
      <c r="D788" t="s">
        <v>55</v>
      </c>
      <c r="E788" t="s">
        <v>22</v>
      </c>
      <c r="F788" t="s">
        <v>23</v>
      </c>
      <c r="G788">
        <v>266951.90999999997</v>
      </c>
      <c r="H788">
        <v>216658.58</v>
      </c>
      <c r="I788">
        <v>50293.33</v>
      </c>
      <c r="J788">
        <v>118625.60000000001</v>
      </c>
      <c r="K788">
        <v>17275.3</v>
      </c>
      <c r="L788">
        <v>153497.95000000001</v>
      </c>
      <c r="M788">
        <v>894</v>
      </c>
      <c r="N788">
        <v>-7.4499999999999997E-2</v>
      </c>
      <c r="O788">
        <v>0.18840000000000001</v>
      </c>
      <c r="P788">
        <v>0.1125</v>
      </c>
      <c r="Q788" t="s">
        <v>76</v>
      </c>
      <c r="R788">
        <v>2022</v>
      </c>
      <c r="S788" t="s">
        <v>25</v>
      </c>
    </row>
    <row r="789" spans="1:19" x14ac:dyDescent="0.3">
      <c r="A789" t="s">
        <v>863</v>
      </c>
      <c r="B789" s="1">
        <v>44616</v>
      </c>
      <c r="C789" t="s">
        <v>68</v>
      </c>
      <c r="D789" t="s">
        <v>69</v>
      </c>
      <c r="E789" t="s">
        <v>109</v>
      </c>
      <c r="F789" t="s">
        <v>23</v>
      </c>
      <c r="G789">
        <v>41709.620000000003</v>
      </c>
      <c r="H789">
        <v>33896.379999999997</v>
      </c>
      <c r="I789">
        <v>7813.24</v>
      </c>
      <c r="J789">
        <v>24437.1</v>
      </c>
      <c r="K789">
        <v>10704.31</v>
      </c>
      <c r="L789">
        <v>89415.63</v>
      </c>
      <c r="M789">
        <v>1068</v>
      </c>
      <c r="N789">
        <v>-7.8200000000000006E-2</v>
      </c>
      <c r="O789">
        <v>0.18729999999999999</v>
      </c>
      <c r="P789">
        <v>0.1197</v>
      </c>
      <c r="Q789" t="s">
        <v>90</v>
      </c>
      <c r="R789">
        <v>2022</v>
      </c>
      <c r="S789" t="s">
        <v>25</v>
      </c>
    </row>
    <row r="790" spans="1:19" x14ac:dyDescent="0.3">
      <c r="A790" t="s">
        <v>864</v>
      </c>
      <c r="B790" s="2">
        <v>45028</v>
      </c>
      <c r="C790" t="s">
        <v>85</v>
      </c>
      <c r="D790" t="s">
        <v>86</v>
      </c>
      <c r="E790" t="s">
        <v>22</v>
      </c>
      <c r="F790" t="s">
        <v>23</v>
      </c>
      <c r="H790">
        <v>31765.55</v>
      </c>
      <c r="J790">
        <v>27430.04</v>
      </c>
      <c r="K790">
        <v>21158.31</v>
      </c>
      <c r="L790">
        <v>49992.9</v>
      </c>
      <c r="M790">
        <v>511</v>
      </c>
      <c r="N790">
        <v>7.2700000000000001E-2</v>
      </c>
      <c r="P790">
        <v>0.42320000000000002</v>
      </c>
      <c r="Q790" t="s">
        <v>39</v>
      </c>
      <c r="R790">
        <v>2023</v>
      </c>
      <c r="S790" t="s">
        <v>40</v>
      </c>
    </row>
    <row r="791" spans="1:19" x14ac:dyDescent="0.3">
      <c r="A791" t="s">
        <v>865</v>
      </c>
      <c r="B791" s="1">
        <v>45927</v>
      </c>
      <c r="C791" t="s">
        <v>54</v>
      </c>
      <c r="D791" t="s">
        <v>55</v>
      </c>
      <c r="E791" t="s">
        <v>38</v>
      </c>
      <c r="F791" t="s">
        <v>23</v>
      </c>
      <c r="G791">
        <v>97558.62</v>
      </c>
      <c r="H791">
        <v>74935.179999999993</v>
      </c>
      <c r="I791">
        <v>22623.439999999999</v>
      </c>
      <c r="J791">
        <v>35274.559999999998</v>
      </c>
      <c r="K791">
        <v>203606.03</v>
      </c>
      <c r="L791">
        <v>63693.33</v>
      </c>
      <c r="M791">
        <v>542</v>
      </c>
      <c r="N791">
        <v>-4.6600000000000003E-2</v>
      </c>
      <c r="O791">
        <v>0.2319</v>
      </c>
      <c r="P791">
        <v>3.1966999999999999</v>
      </c>
      <c r="Q791" t="s">
        <v>24</v>
      </c>
      <c r="R791">
        <v>2025</v>
      </c>
      <c r="S791" t="s">
        <v>82</v>
      </c>
    </row>
    <row r="792" spans="1:19" x14ac:dyDescent="0.3">
      <c r="A792" t="s">
        <v>866</v>
      </c>
      <c r="B792" s="1">
        <v>45534</v>
      </c>
      <c r="C792" t="s">
        <v>85</v>
      </c>
      <c r="D792" t="s">
        <v>86</v>
      </c>
      <c r="E792" t="s">
        <v>22</v>
      </c>
      <c r="F792" t="s">
        <v>23</v>
      </c>
      <c r="G792">
        <v>74200.08</v>
      </c>
      <c r="H792">
        <v>42671.33</v>
      </c>
      <c r="I792">
        <v>31528.75</v>
      </c>
      <c r="J792">
        <v>107525.47</v>
      </c>
      <c r="K792">
        <v>53111.53</v>
      </c>
      <c r="L792">
        <v>202935.67</v>
      </c>
      <c r="M792">
        <v>1391</v>
      </c>
      <c r="N792">
        <v>-8.3699999999999997E-2</v>
      </c>
      <c r="O792">
        <v>0.4249</v>
      </c>
      <c r="P792">
        <v>0.26169999999999999</v>
      </c>
      <c r="Q792" t="s">
        <v>72</v>
      </c>
      <c r="R792">
        <v>2024</v>
      </c>
      <c r="S792" t="s">
        <v>25</v>
      </c>
    </row>
    <row r="793" spans="1:19" x14ac:dyDescent="0.3">
      <c r="A793" t="s">
        <v>867</v>
      </c>
      <c r="B793" s="1">
        <v>45476</v>
      </c>
      <c r="C793" t="s">
        <v>27</v>
      </c>
      <c r="D793" t="s">
        <v>28</v>
      </c>
      <c r="E793" t="s">
        <v>22</v>
      </c>
      <c r="F793" t="s">
        <v>23</v>
      </c>
      <c r="G793">
        <v>77490.880000000005</v>
      </c>
      <c r="H793">
        <v>62446.57</v>
      </c>
      <c r="I793">
        <v>15044.31</v>
      </c>
      <c r="J793">
        <v>76622.509999999995</v>
      </c>
      <c r="K793">
        <v>26656.49</v>
      </c>
      <c r="L793">
        <v>206324.52</v>
      </c>
      <c r="M793">
        <v>1469</v>
      </c>
      <c r="N793">
        <v>-5.04E-2</v>
      </c>
      <c r="O793">
        <v>0.19409999999999999</v>
      </c>
      <c r="P793">
        <v>0.12920000000000001</v>
      </c>
      <c r="Q793" t="s">
        <v>72</v>
      </c>
      <c r="R793">
        <v>2024</v>
      </c>
      <c r="S793" t="s">
        <v>25</v>
      </c>
    </row>
    <row r="794" spans="1:19" x14ac:dyDescent="0.3">
      <c r="A794" t="s">
        <v>868</v>
      </c>
      <c r="B794" s="1">
        <v>45789</v>
      </c>
      <c r="C794" t="s">
        <v>36</v>
      </c>
      <c r="D794" t="s">
        <v>37</v>
      </c>
      <c r="E794" t="s">
        <v>32</v>
      </c>
      <c r="F794" t="s">
        <v>33</v>
      </c>
      <c r="G794">
        <v>95377.42</v>
      </c>
      <c r="H794">
        <v>75950.44</v>
      </c>
      <c r="I794">
        <v>19426.98</v>
      </c>
      <c r="J794">
        <v>70972.14</v>
      </c>
      <c r="K794">
        <v>44480.86</v>
      </c>
      <c r="L794">
        <v>96365.79</v>
      </c>
      <c r="M794">
        <v>536</v>
      </c>
      <c r="N794">
        <v>-8.6E-3</v>
      </c>
      <c r="O794">
        <v>0.20369999999999999</v>
      </c>
      <c r="P794">
        <v>0.46160000000000001</v>
      </c>
      <c r="Q794" t="s">
        <v>34</v>
      </c>
      <c r="R794">
        <v>2025</v>
      </c>
      <c r="S794" t="s">
        <v>40</v>
      </c>
    </row>
    <row r="795" spans="1:19" x14ac:dyDescent="0.3">
      <c r="A795" t="s">
        <v>869</v>
      </c>
      <c r="B795" s="1">
        <v>45009</v>
      </c>
      <c r="C795" t="s">
        <v>61</v>
      </c>
      <c r="D795" t="s">
        <v>74</v>
      </c>
      <c r="E795" t="s">
        <v>38</v>
      </c>
      <c r="F795" t="s">
        <v>23</v>
      </c>
      <c r="G795">
        <v>12006.34</v>
      </c>
      <c r="H795">
        <v>7140.03</v>
      </c>
      <c r="I795">
        <v>4866.3100000000004</v>
      </c>
      <c r="J795">
        <v>15942.69</v>
      </c>
      <c r="K795">
        <v>6969.62</v>
      </c>
      <c r="L795">
        <v>54489.08</v>
      </c>
      <c r="M795">
        <v>716</v>
      </c>
      <c r="N795">
        <v>-4.8500000000000001E-2</v>
      </c>
      <c r="O795">
        <v>0.40529999999999999</v>
      </c>
      <c r="P795">
        <v>0.12790000000000001</v>
      </c>
      <c r="Q795" t="s">
        <v>118</v>
      </c>
      <c r="R795">
        <v>2023</v>
      </c>
      <c r="S795" t="s">
        <v>25</v>
      </c>
    </row>
    <row r="796" spans="1:19" x14ac:dyDescent="0.3">
      <c r="A796" t="s">
        <v>870</v>
      </c>
      <c r="B796" s="1">
        <v>45021</v>
      </c>
      <c r="C796" t="s">
        <v>68</v>
      </c>
      <c r="D796" t="s">
        <v>69</v>
      </c>
      <c r="E796" t="s">
        <v>22</v>
      </c>
      <c r="F796" t="s">
        <v>23</v>
      </c>
      <c r="G796">
        <v>33697.629999999997</v>
      </c>
      <c r="H796">
        <v>19828.38</v>
      </c>
      <c r="I796">
        <v>13869.25</v>
      </c>
      <c r="J796">
        <v>33232.53</v>
      </c>
      <c r="K796">
        <v>9940.8799999999992</v>
      </c>
      <c r="L796">
        <v>117131.65</v>
      </c>
      <c r="M796">
        <v>653</v>
      </c>
      <c r="N796">
        <v>-3.04E-2</v>
      </c>
      <c r="O796">
        <v>0.41160000000000002</v>
      </c>
      <c r="P796">
        <v>8.4900000000000003E-2</v>
      </c>
      <c r="Q796" t="s">
        <v>39</v>
      </c>
      <c r="R796">
        <v>2023</v>
      </c>
      <c r="S796" t="s">
        <v>25</v>
      </c>
    </row>
    <row r="797" spans="1:19" x14ac:dyDescent="0.3">
      <c r="A797" t="s">
        <v>871</v>
      </c>
      <c r="B797" s="1">
        <v>46005</v>
      </c>
      <c r="C797" t="s">
        <v>54</v>
      </c>
      <c r="D797" t="s">
        <v>55</v>
      </c>
      <c r="E797" t="s">
        <v>32</v>
      </c>
      <c r="F797" t="s">
        <v>33</v>
      </c>
      <c r="G797">
        <v>185688.73</v>
      </c>
      <c r="J797">
        <v>20304.12</v>
      </c>
      <c r="K797">
        <v>17535.29</v>
      </c>
      <c r="L797">
        <v>96857.31</v>
      </c>
      <c r="M797">
        <v>680</v>
      </c>
      <c r="N797">
        <v>6.7299999999999999E-2</v>
      </c>
      <c r="P797">
        <v>0.18099999999999999</v>
      </c>
      <c r="Q797" t="s">
        <v>66</v>
      </c>
      <c r="R797">
        <v>2025</v>
      </c>
      <c r="S797" t="s">
        <v>25</v>
      </c>
    </row>
    <row r="798" spans="1:19" x14ac:dyDescent="0.3">
      <c r="A798" t="s">
        <v>872</v>
      </c>
      <c r="B798" s="1">
        <v>45223</v>
      </c>
      <c r="C798" t="s">
        <v>42</v>
      </c>
      <c r="D798" t="s">
        <v>43</v>
      </c>
      <c r="E798" t="s">
        <v>38</v>
      </c>
      <c r="F798" t="s">
        <v>23</v>
      </c>
      <c r="G798">
        <v>87048.51</v>
      </c>
      <c r="H798">
        <v>77109.14</v>
      </c>
      <c r="I798">
        <v>9939.3700000000008</v>
      </c>
      <c r="J798">
        <v>10119.19</v>
      </c>
      <c r="K798">
        <v>26194.31</v>
      </c>
      <c r="L798">
        <v>158536.54999999999</v>
      </c>
      <c r="M798">
        <v>914</v>
      </c>
      <c r="N798">
        <v>-3.0700000000000002E-2</v>
      </c>
      <c r="O798">
        <v>0.1142</v>
      </c>
      <c r="P798">
        <v>0.16520000000000001</v>
      </c>
      <c r="Q798" t="s">
        <v>44</v>
      </c>
      <c r="R798">
        <v>2023</v>
      </c>
      <c r="S798" t="s">
        <v>25</v>
      </c>
    </row>
    <row r="799" spans="1:19" x14ac:dyDescent="0.3">
      <c r="A799" t="s">
        <v>873</v>
      </c>
      <c r="B799" s="1">
        <v>45419</v>
      </c>
      <c r="C799" t="s">
        <v>85</v>
      </c>
      <c r="D799" t="s">
        <v>86</v>
      </c>
      <c r="E799" t="s">
        <v>38</v>
      </c>
      <c r="F799" t="s">
        <v>23</v>
      </c>
      <c r="G799">
        <v>59035.35</v>
      </c>
      <c r="H799">
        <v>49323.32</v>
      </c>
      <c r="I799">
        <v>9712.0300000000007</v>
      </c>
      <c r="J799">
        <v>21916.57</v>
      </c>
      <c r="K799">
        <v>64704.29</v>
      </c>
      <c r="L799">
        <v>62362.11</v>
      </c>
      <c r="M799">
        <v>594</v>
      </c>
      <c r="N799">
        <v>-2.6800000000000001E-2</v>
      </c>
      <c r="O799">
        <v>0.16450000000000001</v>
      </c>
      <c r="P799">
        <v>1.0376000000000001</v>
      </c>
      <c r="Q799" t="s">
        <v>111</v>
      </c>
      <c r="R799">
        <v>2024</v>
      </c>
      <c r="S799" t="s">
        <v>82</v>
      </c>
    </row>
    <row r="800" spans="1:19" x14ac:dyDescent="0.3">
      <c r="A800" t="s">
        <v>874</v>
      </c>
      <c r="B800" s="1">
        <v>45352</v>
      </c>
      <c r="C800" t="s">
        <v>30</v>
      </c>
      <c r="D800" t="s">
        <v>31</v>
      </c>
      <c r="E800" t="s">
        <v>32</v>
      </c>
      <c r="F800" t="s">
        <v>33</v>
      </c>
      <c r="G800">
        <v>228228.33</v>
      </c>
      <c r="H800">
        <v>132937.51999999999</v>
      </c>
      <c r="I800">
        <v>95290.81</v>
      </c>
      <c r="J800">
        <v>32142.58</v>
      </c>
      <c r="K800">
        <v>47649.36</v>
      </c>
      <c r="L800">
        <v>107327.3</v>
      </c>
      <c r="M800">
        <v>718</v>
      </c>
      <c r="N800">
        <v>0.1386</v>
      </c>
      <c r="O800">
        <v>0.41749999999999998</v>
      </c>
      <c r="P800">
        <v>0.44400000000000001</v>
      </c>
      <c r="Q800" t="s">
        <v>80</v>
      </c>
      <c r="R800">
        <v>2024</v>
      </c>
      <c r="S800" t="s">
        <v>40</v>
      </c>
    </row>
    <row r="801" spans="1:19" x14ac:dyDescent="0.3">
      <c r="A801" t="s">
        <v>875</v>
      </c>
      <c r="B801" s="1">
        <v>45795</v>
      </c>
      <c r="C801" t="s">
        <v>102</v>
      </c>
      <c r="D801" t="s">
        <v>103</v>
      </c>
      <c r="E801" t="s">
        <v>38</v>
      </c>
      <c r="F801" t="s">
        <v>23</v>
      </c>
      <c r="H801">
        <v>58278.75</v>
      </c>
      <c r="J801">
        <v>15486.71</v>
      </c>
      <c r="K801">
        <v>24152.91</v>
      </c>
      <c r="L801">
        <v>32268.14</v>
      </c>
      <c r="M801">
        <v>789</v>
      </c>
      <c r="N801">
        <v>9.6299999999999997E-2</v>
      </c>
      <c r="P801">
        <v>0.74850000000000005</v>
      </c>
      <c r="Q801" t="s">
        <v>34</v>
      </c>
      <c r="R801">
        <v>2025</v>
      </c>
      <c r="S801" t="s">
        <v>82</v>
      </c>
    </row>
    <row r="802" spans="1:19" x14ac:dyDescent="0.3">
      <c r="A802" t="s">
        <v>876</v>
      </c>
      <c r="B802" s="1">
        <v>45619</v>
      </c>
      <c r="C802" t="s">
        <v>27</v>
      </c>
      <c r="D802" t="s">
        <v>28</v>
      </c>
      <c r="E802" t="s">
        <v>32</v>
      </c>
      <c r="F802" t="s">
        <v>33</v>
      </c>
      <c r="G802">
        <v>62152.51</v>
      </c>
      <c r="H802">
        <v>43427.34</v>
      </c>
      <c r="I802">
        <v>18725.169999999998</v>
      </c>
      <c r="J802">
        <v>26305.86</v>
      </c>
      <c r="K802">
        <v>19088.009999999998</v>
      </c>
      <c r="L802">
        <v>149754.12</v>
      </c>
      <c r="M802">
        <v>1611</v>
      </c>
      <c r="N802">
        <v>8.2000000000000003E-2</v>
      </c>
      <c r="O802">
        <v>0.30130000000000001</v>
      </c>
      <c r="P802">
        <v>0.1275</v>
      </c>
      <c r="Q802" t="s">
        <v>52</v>
      </c>
      <c r="R802">
        <v>2024</v>
      </c>
      <c r="S802" t="s">
        <v>25</v>
      </c>
    </row>
    <row r="803" spans="1:19" x14ac:dyDescent="0.3">
      <c r="A803" t="s">
        <v>877</v>
      </c>
      <c r="B803" s="1">
        <v>44568</v>
      </c>
      <c r="C803" t="s">
        <v>27</v>
      </c>
      <c r="D803" t="s">
        <v>28</v>
      </c>
      <c r="E803" t="s">
        <v>22</v>
      </c>
      <c r="F803" t="s">
        <v>23</v>
      </c>
      <c r="G803">
        <v>22136.05</v>
      </c>
      <c r="H803">
        <v>12861.78</v>
      </c>
      <c r="I803">
        <v>9274.27</v>
      </c>
      <c r="J803">
        <v>61616.32</v>
      </c>
      <c r="K803">
        <v>60352.91</v>
      </c>
      <c r="L803">
        <v>83671.14</v>
      </c>
      <c r="M803">
        <v>567</v>
      </c>
      <c r="N803">
        <v>-0.1104</v>
      </c>
      <c r="O803">
        <v>0.41899999999999998</v>
      </c>
      <c r="P803">
        <v>0.72130000000000005</v>
      </c>
      <c r="Q803" t="s">
        <v>90</v>
      </c>
      <c r="R803">
        <v>2022</v>
      </c>
      <c r="S803" t="s">
        <v>82</v>
      </c>
    </row>
    <row r="804" spans="1:19" x14ac:dyDescent="0.3">
      <c r="A804" t="s">
        <v>878</v>
      </c>
      <c r="B804" s="1">
        <v>46020</v>
      </c>
      <c r="C804" t="s">
        <v>48</v>
      </c>
      <c r="D804" t="s">
        <v>49</v>
      </c>
      <c r="E804" t="s">
        <v>32</v>
      </c>
      <c r="F804" t="s">
        <v>33</v>
      </c>
      <c r="G804">
        <v>206620.45</v>
      </c>
      <c r="H804">
        <v>152747.97</v>
      </c>
      <c r="I804">
        <v>53872.480000000003</v>
      </c>
      <c r="J804">
        <v>20886.03</v>
      </c>
      <c r="K804">
        <v>227185.96</v>
      </c>
      <c r="L804">
        <v>85285.9</v>
      </c>
      <c r="M804">
        <v>1484</v>
      </c>
      <c r="N804">
        <v>2.7400000000000001E-2</v>
      </c>
      <c r="O804">
        <v>0.26069999999999999</v>
      </c>
      <c r="P804">
        <v>2.6638000000000002</v>
      </c>
      <c r="Q804" t="s">
        <v>66</v>
      </c>
      <c r="R804">
        <v>2025</v>
      </c>
      <c r="S804" t="s">
        <v>82</v>
      </c>
    </row>
    <row r="805" spans="1:19" x14ac:dyDescent="0.3">
      <c r="A805" t="s">
        <v>879</v>
      </c>
      <c r="B805" s="2">
        <v>45987</v>
      </c>
      <c r="C805" t="s">
        <v>78</v>
      </c>
      <c r="D805" t="s">
        <v>79</v>
      </c>
      <c r="E805" t="s">
        <v>38</v>
      </c>
      <c r="F805" t="s">
        <v>23</v>
      </c>
      <c r="G805">
        <v>75641.05</v>
      </c>
      <c r="J805">
        <v>12688.78</v>
      </c>
      <c r="K805">
        <v>17851.29</v>
      </c>
      <c r="L805">
        <v>81132.679999999993</v>
      </c>
      <c r="M805">
        <v>733</v>
      </c>
      <c r="N805">
        <v>0.2661</v>
      </c>
      <c r="P805">
        <v>0.22</v>
      </c>
      <c r="Q805" t="s">
        <v>66</v>
      </c>
      <c r="R805">
        <v>2025</v>
      </c>
      <c r="S805" t="s">
        <v>25</v>
      </c>
    </row>
    <row r="806" spans="1:19" x14ac:dyDescent="0.3">
      <c r="A806" t="s">
        <v>880</v>
      </c>
      <c r="B806" s="1">
        <v>44607</v>
      </c>
      <c r="C806" t="s">
        <v>48</v>
      </c>
      <c r="D806" t="s">
        <v>49</v>
      </c>
      <c r="E806" t="s">
        <v>22</v>
      </c>
      <c r="F806" t="s">
        <v>23</v>
      </c>
      <c r="G806">
        <v>41788.25</v>
      </c>
      <c r="H806">
        <v>30006.65</v>
      </c>
      <c r="I806">
        <v>11781.6</v>
      </c>
      <c r="J806">
        <v>38739.67</v>
      </c>
      <c r="K806">
        <v>44712.480000000003</v>
      </c>
      <c r="L806">
        <v>80065.279999999999</v>
      </c>
      <c r="M806">
        <v>1165</v>
      </c>
      <c r="N806">
        <v>4.8099999999999997E-2</v>
      </c>
      <c r="O806">
        <v>0.28189999999999998</v>
      </c>
      <c r="P806">
        <v>0.5585</v>
      </c>
      <c r="Q806" t="s">
        <v>90</v>
      </c>
      <c r="R806">
        <v>2022</v>
      </c>
      <c r="S806" t="s">
        <v>40</v>
      </c>
    </row>
    <row r="807" spans="1:19" x14ac:dyDescent="0.3">
      <c r="A807" t="s">
        <v>881</v>
      </c>
      <c r="B807" s="1">
        <v>45401</v>
      </c>
      <c r="C807" t="s">
        <v>54</v>
      </c>
      <c r="D807" t="s">
        <v>55</v>
      </c>
      <c r="E807" t="s">
        <v>22</v>
      </c>
      <c r="F807" t="s">
        <v>23</v>
      </c>
      <c r="G807">
        <v>257911.36</v>
      </c>
      <c r="H807">
        <v>175273.35</v>
      </c>
      <c r="I807">
        <v>82638.009999999995</v>
      </c>
      <c r="J807">
        <v>59687.4</v>
      </c>
      <c r="K807">
        <v>21557.7</v>
      </c>
      <c r="L807">
        <v>95865.51</v>
      </c>
      <c r="M807">
        <v>510</v>
      </c>
      <c r="N807">
        <v>-3.1600000000000003E-2</v>
      </c>
      <c r="O807">
        <v>0.32040000000000002</v>
      </c>
      <c r="P807">
        <v>0.22489999999999999</v>
      </c>
      <c r="Q807" t="s">
        <v>111</v>
      </c>
      <c r="R807">
        <v>2024</v>
      </c>
      <c r="S807" t="s">
        <v>25</v>
      </c>
    </row>
    <row r="808" spans="1:19" x14ac:dyDescent="0.3">
      <c r="A808" t="s">
        <v>882</v>
      </c>
      <c r="B808" s="1">
        <v>45362</v>
      </c>
      <c r="C808" t="s">
        <v>48</v>
      </c>
      <c r="D808" t="s">
        <v>49</v>
      </c>
      <c r="E808" t="s">
        <v>51</v>
      </c>
      <c r="F808" t="s">
        <v>23</v>
      </c>
      <c r="G808">
        <v>77792.2</v>
      </c>
      <c r="H808">
        <v>53038.58</v>
      </c>
      <c r="I808">
        <v>24753.62</v>
      </c>
      <c r="J808">
        <v>59500.63</v>
      </c>
      <c r="K808">
        <v>5733.04</v>
      </c>
      <c r="L808">
        <v>80994.33</v>
      </c>
      <c r="M808">
        <v>749</v>
      </c>
      <c r="N808">
        <v>-8.1100000000000005E-2</v>
      </c>
      <c r="O808">
        <v>0.31819999999999998</v>
      </c>
      <c r="P808">
        <v>7.0800000000000002E-2</v>
      </c>
      <c r="Q808" t="s">
        <v>80</v>
      </c>
      <c r="R808">
        <v>2024</v>
      </c>
      <c r="S808" t="s">
        <v>25</v>
      </c>
    </row>
    <row r="809" spans="1:19" x14ac:dyDescent="0.3">
      <c r="A809" t="s">
        <v>883</v>
      </c>
      <c r="B809" s="1">
        <v>45105</v>
      </c>
      <c r="C809" t="s">
        <v>54</v>
      </c>
      <c r="D809" t="s">
        <v>55</v>
      </c>
      <c r="E809" t="s">
        <v>51</v>
      </c>
      <c r="F809" t="s">
        <v>23</v>
      </c>
      <c r="G809">
        <v>121832.22</v>
      </c>
      <c r="H809">
        <v>89674.84</v>
      </c>
      <c r="I809">
        <v>32157.38</v>
      </c>
      <c r="J809">
        <v>10663.67</v>
      </c>
      <c r="K809">
        <v>5372.93</v>
      </c>
      <c r="L809">
        <v>86401.16</v>
      </c>
      <c r="M809">
        <v>732</v>
      </c>
      <c r="N809">
        <v>-6.1699999999999998E-2</v>
      </c>
      <c r="O809">
        <v>0.26390000000000002</v>
      </c>
      <c r="P809">
        <v>6.2199999999999998E-2</v>
      </c>
      <c r="Q809" t="s">
        <v>39</v>
      </c>
      <c r="R809">
        <v>2023</v>
      </c>
      <c r="S809" t="s">
        <v>25</v>
      </c>
    </row>
    <row r="810" spans="1:19" x14ac:dyDescent="0.3">
      <c r="A810" t="s">
        <v>884</v>
      </c>
      <c r="B810" s="1">
        <v>44932</v>
      </c>
      <c r="C810" t="s">
        <v>42</v>
      </c>
      <c r="D810" t="s">
        <v>43</v>
      </c>
      <c r="E810" t="s">
        <v>22</v>
      </c>
      <c r="F810" t="s">
        <v>23</v>
      </c>
      <c r="G810">
        <v>147351.82</v>
      </c>
      <c r="H810">
        <v>118519.27</v>
      </c>
      <c r="I810">
        <v>28832.55</v>
      </c>
      <c r="J810">
        <v>35027.230000000003</v>
      </c>
      <c r="K810">
        <v>9256.41</v>
      </c>
      <c r="L810">
        <v>82302.03</v>
      </c>
      <c r="M810">
        <v>1757</v>
      </c>
      <c r="N810">
        <v>5.9499999999999997E-2</v>
      </c>
      <c r="O810">
        <v>0.19570000000000001</v>
      </c>
      <c r="P810">
        <v>0.1125</v>
      </c>
      <c r="Q810" t="s">
        <v>118</v>
      </c>
      <c r="R810">
        <v>2023</v>
      </c>
      <c r="S810" t="s">
        <v>25</v>
      </c>
    </row>
    <row r="811" spans="1:19" x14ac:dyDescent="0.3">
      <c r="A811" t="s">
        <v>885</v>
      </c>
      <c r="B811" s="1">
        <v>44656</v>
      </c>
      <c r="C811" t="s">
        <v>36</v>
      </c>
      <c r="D811" t="s">
        <v>37</v>
      </c>
      <c r="E811" t="s">
        <v>32</v>
      </c>
      <c r="F811" t="s">
        <v>33</v>
      </c>
      <c r="G811">
        <v>97785.54</v>
      </c>
      <c r="H811">
        <v>71954.679999999993</v>
      </c>
      <c r="I811">
        <v>25830.86</v>
      </c>
      <c r="J811">
        <v>65753.72</v>
      </c>
      <c r="K811">
        <v>65388.46</v>
      </c>
      <c r="L811">
        <v>140476.76</v>
      </c>
      <c r="M811">
        <v>626</v>
      </c>
      <c r="N811">
        <v>-1.1900000000000001E-2</v>
      </c>
      <c r="O811">
        <v>0.26419999999999999</v>
      </c>
      <c r="P811">
        <v>0.46550000000000002</v>
      </c>
      <c r="Q811" t="s">
        <v>58</v>
      </c>
      <c r="R811">
        <v>2022</v>
      </c>
      <c r="S811" t="s">
        <v>40</v>
      </c>
    </row>
    <row r="812" spans="1:19" x14ac:dyDescent="0.3">
      <c r="A812" t="s">
        <v>886</v>
      </c>
      <c r="B812" s="1">
        <v>45136</v>
      </c>
      <c r="C812" t="s">
        <v>42</v>
      </c>
      <c r="E812" t="s">
        <v>22</v>
      </c>
      <c r="F812" t="s">
        <v>23</v>
      </c>
      <c r="G812">
        <v>54598.559999999998</v>
      </c>
      <c r="H812">
        <v>46128.72</v>
      </c>
      <c r="I812">
        <v>8469.84</v>
      </c>
      <c r="J812">
        <v>25273.64</v>
      </c>
      <c r="K812">
        <v>30992.06</v>
      </c>
      <c r="L812">
        <v>69155.77</v>
      </c>
      <c r="M812">
        <v>1622</v>
      </c>
      <c r="N812">
        <v>-4.1500000000000002E-2</v>
      </c>
      <c r="O812">
        <v>0.15509999999999999</v>
      </c>
      <c r="P812">
        <v>0.4481</v>
      </c>
      <c r="Q812" t="s">
        <v>56</v>
      </c>
      <c r="R812">
        <v>2023</v>
      </c>
      <c r="S812" t="s">
        <v>40</v>
      </c>
    </row>
    <row r="813" spans="1:19" x14ac:dyDescent="0.3">
      <c r="A813" t="s">
        <v>887</v>
      </c>
      <c r="B813" s="1">
        <v>45044</v>
      </c>
      <c r="C813" t="s">
        <v>42</v>
      </c>
      <c r="D813" t="s">
        <v>43</v>
      </c>
      <c r="E813" t="s">
        <v>32</v>
      </c>
      <c r="F813" t="s">
        <v>33</v>
      </c>
      <c r="G813">
        <v>138063.51999999999</v>
      </c>
      <c r="H813">
        <v>89531.24</v>
      </c>
      <c r="I813">
        <v>48532.28</v>
      </c>
      <c r="J813">
        <v>21816.13</v>
      </c>
      <c r="K813">
        <v>42555.26</v>
      </c>
      <c r="L813">
        <v>62909.78</v>
      </c>
      <c r="M813">
        <v>910</v>
      </c>
      <c r="N813">
        <v>3.0800000000000001E-2</v>
      </c>
      <c r="O813">
        <v>0.35149999999999998</v>
      </c>
      <c r="P813">
        <v>0.6764</v>
      </c>
      <c r="Q813" t="s">
        <v>39</v>
      </c>
      <c r="R813">
        <v>2023</v>
      </c>
      <c r="S813" t="s">
        <v>82</v>
      </c>
    </row>
    <row r="814" spans="1:19" x14ac:dyDescent="0.3">
      <c r="A814" t="s">
        <v>888</v>
      </c>
      <c r="B814" s="1">
        <v>45422</v>
      </c>
      <c r="C814" t="s">
        <v>48</v>
      </c>
      <c r="D814" t="s">
        <v>49</v>
      </c>
      <c r="E814" t="s">
        <v>38</v>
      </c>
      <c r="F814" t="s">
        <v>23</v>
      </c>
      <c r="G814">
        <v>102208.93</v>
      </c>
      <c r="H814">
        <v>85465.61</v>
      </c>
      <c r="I814">
        <v>16743.32</v>
      </c>
      <c r="J814">
        <v>20866.2</v>
      </c>
      <c r="K814">
        <v>8558.44</v>
      </c>
      <c r="L814">
        <v>96443.23</v>
      </c>
      <c r="M814">
        <v>1500</v>
      </c>
      <c r="N814">
        <v>-3.78E-2</v>
      </c>
      <c r="O814">
        <v>0.1638</v>
      </c>
      <c r="P814">
        <v>8.8700000000000001E-2</v>
      </c>
      <c r="Q814" t="s">
        <v>111</v>
      </c>
      <c r="R814">
        <v>2024</v>
      </c>
      <c r="S814" t="s">
        <v>25</v>
      </c>
    </row>
    <row r="815" spans="1:19" x14ac:dyDescent="0.3">
      <c r="A815" t="s">
        <v>889</v>
      </c>
      <c r="B815" s="1">
        <v>44811</v>
      </c>
      <c r="C815" t="s">
        <v>54</v>
      </c>
      <c r="D815" t="s">
        <v>55</v>
      </c>
      <c r="E815" t="s">
        <v>32</v>
      </c>
      <c r="F815" t="s">
        <v>33</v>
      </c>
      <c r="G815">
        <v>80380.350000000006</v>
      </c>
      <c r="H815">
        <v>49764.19</v>
      </c>
      <c r="I815">
        <v>30616.16</v>
      </c>
      <c r="J815">
        <v>87387.35</v>
      </c>
      <c r="K815">
        <v>86019.64</v>
      </c>
      <c r="L815">
        <v>99013.57</v>
      </c>
      <c r="M815">
        <v>1387</v>
      </c>
      <c r="N815">
        <v>0.13009999999999999</v>
      </c>
      <c r="O815">
        <v>0.38090000000000002</v>
      </c>
      <c r="P815">
        <v>0.86880000000000002</v>
      </c>
      <c r="Q815" t="s">
        <v>76</v>
      </c>
      <c r="R815">
        <v>2022</v>
      </c>
      <c r="S815" t="s">
        <v>82</v>
      </c>
    </row>
    <row r="816" spans="1:19" x14ac:dyDescent="0.3">
      <c r="A816" t="s">
        <v>890</v>
      </c>
      <c r="B816" s="1">
        <v>45093</v>
      </c>
      <c r="C816" t="s">
        <v>85</v>
      </c>
      <c r="D816" t="s">
        <v>86</v>
      </c>
      <c r="E816" t="s">
        <v>38</v>
      </c>
      <c r="F816" t="s">
        <v>23</v>
      </c>
      <c r="G816">
        <v>102388.86</v>
      </c>
      <c r="H816">
        <v>80764.070000000007</v>
      </c>
      <c r="I816">
        <v>21624.79</v>
      </c>
      <c r="J816">
        <v>17671.57</v>
      </c>
      <c r="K816">
        <v>12081.24</v>
      </c>
      <c r="L816">
        <v>198127.72</v>
      </c>
      <c r="M816">
        <v>1330</v>
      </c>
      <c r="N816">
        <v>-0.05</v>
      </c>
      <c r="O816">
        <v>0.2112</v>
      </c>
      <c r="P816">
        <v>6.0999999999999999E-2</v>
      </c>
      <c r="Q816" t="s">
        <v>39</v>
      </c>
      <c r="R816">
        <v>2023</v>
      </c>
      <c r="S816" t="s">
        <v>25</v>
      </c>
    </row>
    <row r="817" spans="1:19" x14ac:dyDescent="0.3">
      <c r="A817" t="s">
        <v>891</v>
      </c>
      <c r="B817" s="1">
        <v>44572</v>
      </c>
      <c r="C817" t="s">
        <v>102</v>
      </c>
      <c r="D817" t="s">
        <v>103</v>
      </c>
      <c r="E817" t="s">
        <v>22</v>
      </c>
      <c r="F817" t="s">
        <v>23</v>
      </c>
      <c r="G817">
        <v>26519.48</v>
      </c>
      <c r="H817">
        <v>21473.37</v>
      </c>
      <c r="I817">
        <v>5046.1099999999997</v>
      </c>
      <c r="J817">
        <v>86379.02</v>
      </c>
      <c r="K817">
        <v>40145.14</v>
      </c>
      <c r="L817">
        <v>203300.37</v>
      </c>
      <c r="M817">
        <v>233</v>
      </c>
      <c r="N817">
        <v>7.8299999999999995E-2</v>
      </c>
      <c r="O817">
        <v>0.1903</v>
      </c>
      <c r="P817">
        <v>0.19750000000000001</v>
      </c>
      <c r="Q817" t="s">
        <v>90</v>
      </c>
      <c r="R817">
        <v>2022</v>
      </c>
      <c r="S817" t="s">
        <v>25</v>
      </c>
    </row>
    <row r="818" spans="1:19" x14ac:dyDescent="0.3">
      <c r="A818" t="s">
        <v>892</v>
      </c>
      <c r="B818" s="1">
        <v>45717</v>
      </c>
      <c r="C818" t="s">
        <v>30</v>
      </c>
      <c r="D818" t="s">
        <v>31</v>
      </c>
      <c r="E818" t="s">
        <v>22</v>
      </c>
      <c r="F818" t="s">
        <v>23</v>
      </c>
      <c r="G818">
        <v>21621.14</v>
      </c>
      <c r="H818">
        <v>16010.97</v>
      </c>
      <c r="I818">
        <v>5610.17</v>
      </c>
      <c r="J818">
        <v>28260.37</v>
      </c>
      <c r="K818">
        <v>28069.74</v>
      </c>
      <c r="L818">
        <v>142833.35</v>
      </c>
      <c r="M818">
        <v>724</v>
      </c>
      <c r="N818">
        <v>0.1358</v>
      </c>
      <c r="O818">
        <v>0.25950000000000001</v>
      </c>
      <c r="P818">
        <v>0.19650000000000001</v>
      </c>
      <c r="Q818" t="s">
        <v>106</v>
      </c>
      <c r="R818">
        <v>2025</v>
      </c>
      <c r="S818" t="s">
        <v>25</v>
      </c>
    </row>
    <row r="819" spans="1:19" x14ac:dyDescent="0.3">
      <c r="A819" t="s">
        <v>893</v>
      </c>
      <c r="B819" s="1">
        <v>45057</v>
      </c>
      <c r="C819" t="s">
        <v>68</v>
      </c>
      <c r="D819" t="s">
        <v>69</v>
      </c>
      <c r="E819" t="s">
        <v>32</v>
      </c>
      <c r="F819" t="s">
        <v>33</v>
      </c>
      <c r="G819">
        <v>113418.42</v>
      </c>
      <c r="H819">
        <v>83284.05</v>
      </c>
      <c r="I819">
        <v>30134.37</v>
      </c>
      <c r="J819">
        <v>9885.0300000000007</v>
      </c>
      <c r="K819">
        <v>7117.47</v>
      </c>
      <c r="L819">
        <v>105181.43</v>
      </c>
      <c r="M819">
        <v>655</v>
      </c>
      <c r="N819">
        <v>-6.7999999999999996E-3</v>
      </c>
      <c r="O819">
        <v>0.26569999999999999</v>
      </c>
      <c r="P819">
        <v>6.7699999999999996E-2</v>
      </c>
      <c r="Q819" t="s">
        <v>39</v>
      </c>
      <c r="R819">
        <v>2023</v>
      </c>
      <c r="S819" t="s">
        <v>25</v>
      </c>
    </row>
    <row r="820" spans="1:19" x14ac:dyDescent="0.3">
      <c r="A820" t="s">
        <v>894</v>
      </c>
      <c r="B820" s="1">
        <v>45260</v>
      </c>
      <c r="C820" t="s">
        <v>48</v>
      </c>
      <c r="D820" t="s">
        <v>49</v>
      </c>
      <c r="E820" t="s">
        <v>51</v>
      </c>
      <c r="F820" t="s">
        <v>23</v>
      </c>
      <c r="G820">
        <v>182214.5</v>
      </c>
      <c r="H820">
        <v>119940.87</v>
      </c>
      <c r="I820">
        <v>62273.63</v>
      </c>
      <c r="K820">
        <v>61023.42</v>
      </c>
      <c r="L820">
        <v>201940.3</v>
      </c>
      <c r="M820">
        <v>933</v>
      </c>
      <c r="N820">
        <v>-6.5000000000000002E-2</v>
      </c>
      <c r="O820">
        <v>0.34179999999999999</v>
      </c>
      <c r="P820">
        <v>0.30220000000000002</v>
      </c>
      <c r="Q820" t="s">
        <v>44</v>
      </c>
      <c r="R820">
        <v>2023</v>
      </c>
      <c r="S820" t="s">
        <v>40</v>
      </c>
    </row>
    <row r="821" spans="1:19" x14ac:dyDescent="0.3">
      <c r="A821" t="s">
        <v>895</v>
      </c>
      <c r="B821" t="s">
        <v>896</v>
      </c>
      <c r="C821" t="s">
        <v>30</v>
      </c>
      <c r="D821" t="s">
        <v>31</v>
      </c>
      <c r="E821" t="s">
        <v>32</v>
      </c>
      <c r="F821" t="s">
        <v>33</v>
      </c>
      <c r="G821">
        <v>180669.59</v>
      </c>
      <c r="H821">
        <v>123973.97</v>
      </c>
      <c r="I821">
        <v>56695.62</v>
      </c>
      <c r="J821">
        <v>33662.93</v>
      </c>
      <c r="K821">
        <v>12507.77</v>
      </c>
      <c r="L821">
        <v>66085.84</v>
      </c>
      <c r="M821">
        <v>756</v>
      </c>
      <c r="N821">
        <v>1.3599999999999999E-2</v>
      </c>
      <c r="O821">
        <v>0.31380000000000002</v>
      </c>
      <c r="P821">
        <v>0.1893</v>
      </c>
      <c r="Q821" t="s">
        <v>90</v>
      </c>
      <c r="R821">
        <v>2022</v>
      </c>
      <c r="S821" t="s">
        <v>25</v>
      </c>
    </row>
    <row r="822" spans="1:19" x14ac:dyDescent="0.3">
      <c r="A822" t="s">
        <v>897</v>
      </c>
      <c r="B822" s="1">
        <v>44807</v>
      </c>
      <c r="C822" t="s">
        <v>61</v>
      </c>
      <c r="D822" t="s">
        <v>74</v>
      </c>
      <c r="E822" t="s">
        <v>22</v>
      </c>
      <c r="F822" t="s">
        <v>23</v>
      </c>
      <c r="H822">
        <v>62532.77</v>
      </c>
      <c r="J822">
        <v>53489.77</v>
      </c>
      <c r="K822">
        <v>18984.310000000001</v>
      </c>
      <c r="L822">
        <v>85343.6</v>
      </c>
      <c r="M822">
        <v>724</v>
      </c>
      <c r="N822">
        <v>6.7000000000000002E-3</v>
      </c>
      <c r="P822">
        <v>0.22239999999999999</v>
      </c>
      <c r="Q822" t="s">
        <v>76</v>
      </c>
      <c r="R822">
        <v>2022</v>
      </c>
      <c r="S822" t="s">
        <v>25</v>
      </c>
    </row>
    <row r="823" spans="1:19" x14ac:dyDescent="0.3">
      <c r="A823" t="s">
        <v>898</v>
      </c>
      <c r="B823" s="1">
        <v>45037</v>
      </c>
      <c r="C823" t="s">
        <v>61</v>
      </c>
      <c r="D823" t="s">
        <v>74</v>
      </c>
      <c r="E823" t="s">
        <v>32</v>
      </c>
      <c r="F823" t="s">
        <v>33</v>
      </c>
      <c r="G823">
        <v>74235.850000000006</v>
      </c>
      <c r="H823">
        <v>63328.35</v>
      </c>
      <c r="I823">
        <v>10907.5</v>
      </c>
      <c r="J823">
        <v>50890.55</v>
      </c>
      <c r="K823">
        <v>17158.27</v>
      </c>
      <c r="L823">
        <v>113412.5</v>
      </c>
      <c r="M823">
        <v>1243</v>
      </c>
      <c r="N823">
        <v>-0.123</v>
      </c>
      <c r="O823">
        <v>0.1469</v>
      </c>
      <c r="P823">
        <v>0.15129999999999999</v>
      </c>
      <c r="Q823" t="s">
        <v>39</v>
      </c>
      <c r="R823">
        <v>2023</v>
      </c>
      <c r="S823" t="s">
        <v>25</v>
      </c>
    </row>
    <row r="824" spans="1:19" x14ac:dyDescent="0.3">
      <c r="A824" t="s">
        <v>899</v>
      </c>
      <c r="B824" s="1">
        <v>45431</v>
      </c>
      <c r="C824" t="s">
        <v>48</v>
      </c>
      <c r="D824" t="s">
        <v>49</v>
      </c>
      <c r="E824" t="s">
        <v>32</v>
      </c>
      <c r="F824" t="s">
        <v>33</v>
      </c>
      <c r="G824">
        <v>37827.32</v>
      </c>
      <c r="H824">
        <v>28937.42</v>
      </c>
      <c r="I824">
        <v>8889.9</v>
      </c>
      <c r="J824">
        <v>68420.81</v>
      </c>
      <c r="K824">
        <v>54131.839999999997</v>
      </c>
      <c r="L824">
        <v>185295.27</v>
      </c>
      <c r="M824">
        <v>1086</v>
      </c>
      <c r="N824">
        <v>-2.1600000000000001E-2</v>
      </c>
      <c r="O824">
        <v>0.23499999999999999</v>
      </c>
      <c r="P824">
        <v>0.29210000000000003</v>
      </c>
      <c r="Q824" t="s">
        <v>111</v>
      </c>
      <c r="R824">
        <v>2024</v>
      </c>
      <c r="S824" t="s">
        <v>25</v>
      </c>
    </row>
    <row r="825" spans="1:19" x14ac:dyDescent="0.3">
      <c r="A825" t="s">
        <v>900</v>
      </c>
      <c r="B825" s="1">
        <v>45580</v>
      </c>
      <c r="C825" t="s">
        <v>85</v>
      </c>
      <c r="D825" t="s">
        <v>86</v>
      </c>
      <c r="E825" t="s">
        <v>32</v>
      </c>
      <c r="F825" t="s">
        <v>33</v>
      </c>
      <c r="G825">
        <v>53900.29</v>
      </c>
      <c r="H825">
        <v>39958.75</v>
      </c>
      <c r="I825">
        <v>13941.54</v>
      </c>
      <c r="J825">
        <v>96004.44</v>
      </c>
      <c r="K825">
        <v>80266.81</v>
      </c>
      <c r="L825">
        <v>130434.92</v>
      </c>
      <c r="M825">
        <v>1222</v>
      </c>
      <c r="N825">
        <v>6.5600000000000006E-2</v>
      </c>
      <c r="O825">
        <v>0.25869999999999999</v>
      </c>
      <c r="P825">
        <v>0.61539999999999995</v>
      </c>
      <c r="Q825" t="s">
        <v>52</v>
      </c>
      <c r="R825">
        <v>2024</v>
      </c>
      <c r="S825" t="s">
        <v>82</v>
      </c>
    </row>
    <row r="826" spans="1:19" x14ac:dyDescent="0.3">
      <c r="A826" t="s">
        <v>901</v>
      </c>
      <c r="B826" s="1">
        <v>45416</v>
      </c>
      <c r="C826" t="s">
        <v>48</v>
      </c>
      <c r="D826" t="s">
        <v>49</v>
      </c>
      <c r="E826" t="s">
        <v>38</v>
      </c>
      <c r="F826" t="s">
        <v>23</v>
      </c>
      <c r="G826">
        <v>122199.18</v>
      </c>
      <c r="H826">
        <v>101017.79</v>
      </c>
      <c r="I826">
        <v>21181.39</v>
      </c>
      <c r="J826">
        <v>52120.2</v>
      </c>
      <c r="K826">
        <v>101283.79</v>
      </c>
      <c r="L826">
        <v>95892.15</v>
      </c>
      <c r="M826">
        <v>1414</v>
      </c>
      <c r="N826">
        <v>3.6700000000000003E-2</v>
      </c>
      <c r="O826">
        <v>0.17330000000000001</v>
      </c>
      <c r="P826">
        <v>1.0562</v>
      </c>
      <c r="Q826" t="s">
        <v>111</v>
      </c>
      <c r="R826">
        <v>2024</v>
      </c>
      <c r="S826" t="s">
        <v>82</v>
      </c>
    </row>
    <row r="827" spans="1:19" x14ac:dyDescent="0.3">
      <c r="A827" t="s">
        <v>902</v>
      </c>
      <c r="B827" s="1">
        <v>45201</v>
      </c>
      <c r="C827" t="s">
        <v>36</v>
      </c>
      <c r="D827" t="s">
        <v>37</v>
      </c>
      <c r="E827" t="s">
        <v>38</v>
      </c>
      <c r="F827" t="s">
        <v>23</v>
      </c>
      <c r="G827">
        <v>137856.67000000001</v>
      </c>
      <c r="H827">
        <v>81933.070000000007</v>
      </c>
      <c r="I827">
        <v>55923.6</v>
      </c>
      <c r="J827">
        <v>39545.75</v>
      </c>
      <c r="K827">
        <v>53702.25</v>
      </c>
      <c r="L827">
        <v>94974.93</v>
      </c>
      <c r="M827">
        <v>932</v>
      </c>
      <c r="N827">
        <v>0.1118</v>
      </c>
      <c r="O827">
        <v>0.40570000000000001</v>
      </c>
      <c r="P827">
        <v>0.56540000000000001</v>
      </c>
      <c r="Q827" t="s">
        <v>44</v>
      </c>
      <c r="R827">
        <v>2023</v>
      </c>
      <c r="S827" t="s">
        <v>40</v>
      </c>
    </row>
    <row r="828" spans="1:19" x14ac:dyDescent="0.3">
      <c r="A828" t="s">
        <v>903</v>
      </c>
      <c r="B828" s="1">
        <v>45936</v>
      </c>
      <c r="C828" t="s">
        <v>68</v>
      </c>
      <c r="D828" t="s">
        <v>69</v>
      </c>
      <c r="E828" t="s">
        <v>32</v>
      </c>
      <c r="F828" t="s">
        <v>33</v>
      </c>
      <c r="G828">
        <v>158197.65</v>
      </c>
      <c r="H828">
        <v>94935.2</v>
      </c>
      <c r="I828">
        <v>63262.45</v>
      </c>
      <c r="J828">
        <v>16724.79</v>
      </c>
      <c r="K828">
        <v>14664.94</v>
      </c>
      <c r="L828">
        <v>59590.87</v>
      </c>
      <c r="M828">
        <v>695</v>
      </c>
      <c r="N828">
        <v>5.7799999999999997E-2</v>
      </c>
      <c r="O828">
        <v>0.39989999999999998</v>
      </c>
      <c r="P828">
        <v>0.24610000000000001</v>
      </c>
      <c r="Q828" t="s">
        <v>66</v>
      </c>
      <c r="R828">
        <v>2025</v>
      </c>
      <c r="S828" t="s">
        <v>25</v>
      </c>
    </row>
    <row r="829" spans="1:19" x14ac:dyDescent="0.3">
      <c r="A829" t="s">
        <v>904</v>
      </c>
      <c r="B829" s="1">
        <v>45678</v>
      </c>
      <c r="C829" t="s">
        <v>36</v>
      </c>
      <c r="D829" t="s">
        <v>37</v>
      </c>
      <c r="E829" t="s">
        <v>51</v>
      </c>
      <c r="F829" t="s">
        <v>23</v>
      </c>
      <c r="G829">
        <v>48947.23</v>
      </c>
      <c r="J829">
        <v>54251.99</v>
      </c>
      <c r="K829">
        <v>60842.2</v>
      </c>
      <c r="L829">
        <v>326965.99</v>
      </c>
      <c r="M829">
        <v>1928</v>
      </c>
      <c r="N829">
        <v>-7.6700000000000004E-2</v>
      </c>
      <c r="P829">
        <v>0.18609999999999999</v>
      </c>
      <c r="Q829" t="s">
        <v>106</v>
      </c>
      <c r="R829">
        <v>2025</v>
      </c>
      <c r="S829" t="s">
        <v>25</v>
      </c>
    </row>
    <row r="830" spans="1:19" x14ac:dyDescent="0.3">
      <c r="A830" t="s">
        <v>905</v>
      </c>
      <c r="B830" s="1">
        <v>44814</v>
      </c>
      <c r="C830" t="s">
        <v>20</v>
      </c>
      <c r="D830" t="s">
        <v>21</v>
      </c>
      <c r="E830" t="s">
        <v>22</v>
      </c>
      <c r="F830" t="s">
        <v>23</v>
      </c>
      <c r="G830">
        <v>284086.74</v>
      </c>
      <c r="H830">
        <v>250330.04</v>
      </c>
      <c r="I830">
        <v>33756.699999999997</v>
      </c>
      <c r="J830">
        <v>24381.29</v>
      </c>
      <c r="K830">
        <v>38565.93</v>
      </c>
      <c r="L830">
        <v>79747.850000000006</v>
      </c>
      <c r="M830">
        <v>1996</v>
      </c>
      <c r="N830">
        <v>-0.1009</v>
      </c>
      <c r="O830">
        <v>0.1188</v>
      </c>
      <c r="P830">
        <v>0.48359999999999997</v>
      </c>
      <c r="Q830" t="s">
        <v>76</v>
      </c>
      <c r="R830">
        <v>2022</v>
      </c>
      <c r="S830" t="s">
        <v>40</v>
      </c>
    </row>
    <row r="831" spans="1:19" x14ac:dyDescent="0.3">
      <c r="A831" t="s">
        <v>906</v>
      </c>
      <c r="B831" s="1">
        <v>45282</v>
      </c>
      <c r="C831" t="s">
        <v>102</v>
      </c>
      <c r="D831" t="s">
        <v>103</v>
      </c>
      <c r="E831" t="s">
        <v>51</v>
      </c>
      <c r="F831" t="s">
        <v>23</v>
      </c>
      <c r="G831">
        <v>124073.85</v>
      </c>
      <c r="H831">
        <v>92149.87</v>
      </c>
      <c r="I831">
        <v>31923.98</v>
      </c>
      <c r="J831">
        <v>18202.28</v>
      </c>
      <c r="K831">
        <v>54249.55</v>
      </c>
      <c r="L831">
        <v>52741.22</v>
      </c>
      <c r="M831">
        <v>2188</v>
      </c>
      <c r="N831">
        <v>5.8200000000000002E-2</v>
      </c>
      <c r="O831">
        <v>0.25729999999999997</v>
      </c>
      <c r="P831">
        <v>1.0286</v>
      </c>
      <c r="Q831" t="s">
        <v>44</v>
      </c>
      <c r="R831">
        <v>2023</v>
      </c>
      <c r="S831" t="s">
        <v>82</v>
      </c>
    </row>
    <row r="832" spans="1:19" x14ac:dyDescent="0.3">
      <c r="A832" t="s">
        <v>907</v>
      </c>
      <c r="B832" s="1">
        <v>45612</v>
      </c>
      <c r="C832" t="s">
        <v>68</v>
      </c>
      <c r="D832" t="s">
        <v>69</v>
      </c>
      <c r="E832" t="s">
        <v>22</v>
      </c>
      <c r="F832" t="s">
        <v>23</v>
      </c>
      <c r="G832">
        <v>29868.97</v>
      </c>
      <c r="H832">
        <v>18620.25</v>
      </c>
      <c r="I832">
        <v>11248.72</v>
      </c>
      <c r="J832">
        <v>108022.46</v>
      </c>
      <c r="K832">
        <v>27206.3</v>
      </c>
      <c r="L832">
        <v>199407.85</v>
      </c>
      <c r="M832">
        <v>688</v>
      </c>
      <c r="N832">
        <v>0.12659999999999999</v>
      </c>
      <c r="O832">
        <v>0.37659999999999999</v>
      </c>
      <c r="P832">
        <v>0.13639999999999999</v>
      </c>
      <c r="Q832" t="s">
        <v>52</v>
      </c>
      <c r="R832">
        <v>2024</v>
      </c>
      <c r="S832" t="s">
        <v>25</v>
      </c>
    </row>
    <row r="833" spans="1:19" x14ac:dyDescent="0.3">
      <c r="A833" t="s">
        <v>908</v>
      </c>
      <c r="B833" s="1">
        <v>45331</v>
      </c>
      <c r="C833" t="s">
        <v>78</v>
      </c>
      <c r="D833" t="s">
        <v>79</v>
      </c>
      <c r="E833" t="s">
        <v>38</v>
      </c>
      <c r="F833" t="s">
        <v>23</v>
      </c>
      <c r="G833">
        <v>273053.09000000003</v>
      </c>
      <c r="H833">
        <v>200406.48</v>
      </c>
      <c r="I833">
        <v>72646.61</v>
      </c>
      <c r="J833">
        <v>138960.16</v>
      </c>
      <c r="K833">
        <v>26645.22</v>
      </c>
      <c r="L833">
        <v>164793.57999999999</v>
      </c>
      <c r="M833">
        <v>874</v>
      </c>
      <c r="N833">
        <v>6.1999999999999998E-3</v>
      </c>
      <c r="O833">
        <v>0.2661</v>
      </c>
      <c r="P833">
        <v>0.16170000000000001</v>
      </c>
      <c r="Q833" t="s">
        <v>80</v>
      </c>
      <c r="R833">
        <v>2024</v>
      </c>
      <c r="S833" t="s">
        <v>25</v>
      </c>
    </row>
    <row r="834" spans="1:19" x14ac:dyDescent="0.3">
      <c r="A834" t="s">
        <v>909</v>
      </c>
      <c r="B834" s="1">
        <v>44778</v>
      </c>
      <c r="C834" t="s">
        <v>61</v>
      </c>
      <c r="D834" t="s">
        <v>74</v>
      </c>
      <c r="E834" t="s">
        <v>38</v>
      </c>
      <c r="F834" t="s">
        <v>23</v>
      </c>
      <c r="G834">
        <v>37219.11</v>
      </c>
      <c r="J834">
        <v>107074.88</v>
      </c>
      <c r="K834">
        <v>73833.929999999993</v>
      </c>
      <c r="L834">
        <v>204321.11</v>
      </c>
      <c r="M834">
        <v>1076</v>
      </c>
      <c r="N834">
        <v>1.2999999999999999E-3</v>
      </c>
      <c r="P834">
        <v>0.3614</v>
      </c>
      <c r="Q834" t="s">
        <v>76</v>
      </c>
      <c r="R834">
        <v>2022</v>
      </c>
      <c r="S834" t="s">
        <v>40</v>
      </c>
    </row>
    <row r="835" spans="1:19" x14ac:dyDescent="0.3">
      <c r="A835" t="s">
        <v>910</v>
      </c>
      <c r="B835" s="1">
        <v>45692</v>
      </c>
      <c r="C835" t="s">
        <v>61</v>
      </c>
      <c r="D835" t="s">
        <v>74</v>
      </c>
      <c r="E835" t="s">
        <v>22</v>
      </c>
      <c r="F835" t="s">
        <v>23</v>
      </c>
      <c r="G835">
        <v>41171.230000000003</v>
      </c>
      <c r="H835">
        <v>26694.65</v>
      </c>
      <c r="I835">
        <v>14476.58</v>
      </c>
      <c r="J835">
        <v>25470.1</v>
      </c>
      <c r="K835">
        <v>18609.009999999998</v>
      </c>
      <c r="L835">
        <v>82693.06</v>
      </c>
      <c r="M835">
        <v>1172</v>
      </c>
      <c r="N835">
        <v>0.10879999999999999</v>
      </c>
      <c r="O835">
        <v>0.35160000000000002</v>
      </c>
      <c r="P835">
        <v>0.22500000000000001</v>
      </c>
      <c r="Q835" t="s">
        <v>106</v>
      </c>
      <c r="R835">
        <v>2025</v>
      </c>
      <c r="S835" t="s">
        <v>25</v>
      </c>
    </row>
    <row r="836" spans="1:19" x14ac:dyDescent="0.3">
      <c r="A836" t="s">
        <v>911</v>
      </c>
      <c r="B836" s="1">
        <v>45472</v>
      </c>
      <c r="C836" t="s">
        <v>42</v>
      </c>
      <c r="D836" t="s">
        <v>43</v>
      </c>
      <c r="E836" t="s">
        <v>38</v>
      </c>
      <c r="F836" t="s">
        <v>23</v>
      </c>
      <c r="G836">
        <v>88408.38</v>
      </c>
      <c r="H836">
        <v>48813.37</v>
      </c>
      <c r="I836">
        <v>39595.01</v>
      </c>
      <c r="J836">
        <v>86191.360000000001</v>
      </c>
      <c r="K836">
        <v>5802.95</v>
      </c>
      <c r="L836">
        <v>106055.18</v>
      </c>
      <c r="M836">
        <v>1044</v>
      </c>
      <c r="N836">
        <v>-4.53E-2</v>
      </c>
      <c r="O836">
        <v>0.44790000000000002</v>
      </c>
      <c r="P836">
        <v>5.4699999999999999E-2</v>
      </c>
      <c r="Q836" t="s">
        <v>111</v>
      </c>
      <c r="R836">
        <v>2024</v>
      </c>
      <c r="S836" t="s">
        <v>25</v>
      </c>
    </row>
    <row r="837" spans="1:19" x14ac:dyDescent="0.3">
      <c r="A837" t="s">
        <v>912</v>
      </c>
      <c r="B837" s="1">
        <v>44681</v>
      </c>
      <c r="C837" t="s">
        <v>68</v>
      </c>
      <c r="D837" t="s">
        <v>69</v>
      </c>
      <c r="E837" t="s">
        <v>32</v>
      </c>
      <c r="F837" t="s">
        <v>33</v>
      </c>
      <c r="G837">
        <v>116711.42</v>
      </c>
      <c r="H837">
        <v>105026.62</v>
      </c>
      <c r="I837">
        <v>11684.8</v>
      </c>
      <c r="J837">
        <v>117458.49</v>
      </c>
      <c r="K837">
        <v>144947.82</v>
      </c>
      <c r="L837">
        <v>141623.01</v>
      </c>
      <c r="M837">
        <v>1260</v>
      </c>
      <c r="N837">
        <v>6.8999999999999999E-3</v>
      </c>
      <c r="O837">
        <v>0.10009999999999999</v>
      </c>
      <c r="P837">
        <v>1.0235000000000001</v>
      </c>
      <c r="Q837" t="s">
        <v>58</v>
      </c>
      <c r="R837">
        <v>2022</v>
      </c>
      <c r="S837" t="s">
        <v>82</v>
      </c>
    </row>
    <row r="838" spans="1:19" x14ac:dyDescent="0.3">
      <c r="A838" t="s">
        <v>913</v>
      </c>
      <c r="B838" s="1">
        <v>45967</v>
      </c>
      <c r="C838" t="s">
        <v>27</v>
      </c>
      <c r="D838" t="s">
        <v>28</v>
      </c>
      <c r="E838" t="s">
        <v>38</v>
      </c>
      <c r="F838" t="s">
        <v>23</v>
      </c>
      <c r="G838">
        <v>64548.38</v>
      </c>
      <c r="H838">
        <v>41271.360000000001</v>
      </c>
      <c r="I838">
        <v>23277.02</v>
      </c>
      <c r="J838">
        <v>52073</v>
      </c>
      <c r="K838">
        <v>82448.509999999995</v>
      </c>
      <c r="L838">
        <v>124801.95</v>
      </c>
      <c r="M838">
        <v>424</v>
      </c>
      <c r="N838">
        <v>7.6200000000000004E-2</v>
      </c>
      <c r="O838">
        <v>0.36059999999999998</v>
      </c>
      <c r="P838">
        <v>0.66059999999999997</v>
      </c>
      <c r="Q838" t="s">
        <v>66</v>
      </c>
      <c r="R838">
        <v>2025</v>
      </c>
      <c r="S838" t="s">
        <v>82</v>
      </c>
    </row>
    <row r="839" spans="1:19" x14ac:dyDescent="0.3">
      <c r="A839" t="s">
        <v>914</v>
      </c>
      <c r="B839" s="1">
        <v>44729</v>
      </c>
      <c r="C839" t="s">
        <v>30</v>
      </c>
      <c r="D839" t="s">
        <v>31</v>
      </c>
      <c r="E839" t="s">
        <v>51</v>
      </c>
      <c r="F839" t="s">
        <v>23</v>
      </c>
      <c r="G839">
        <v>105464.51</v>
      </c>
      <c r="H839">
        <v>78792.88</v>
      </c>
      <c r="I839">
        <v>26671.63</v>
      </c>
      <c r="J839">
        <v>76848.72</v>
      </c>
      <c r="K839">
        <v>7808.39</v>
      </c>
      <c r="L839">
        <v>109791.73</v>
      </c>
      <c r="M839">
        <v>822</v>
      </c>
      <c r="N839">
        <v>0.1069</v>
      </c>
      <c r="O839">
        <v>0.25290000000000001</v>
      </c>
      <c r="P839">
        <v>7.1099999999999997E-2</v>
      </c>
      <c r="Q839" t="s">
        <v>58</v>
      </c>
      <c r="R839">
        <v>2022</v>
      </c>
      <c r="S839" t="s">
        <v>25</v>
      </c>
    </row>
    <row r="840" spans="1:19" x14ac:dyDescent="0.3">
      <c r="A840" t="s">
        <v>915</v>
      </c>
      <c r="B840" s="1">
        <v>45841</v>
      </c>
      <c r="C840" t="s">
        <v>54</v>
      </c>
      <c r="D840" t="s">
        <v>55</v>
      </c>
      <c r="E840" t="s">
        <v>32</v>
      </c>
      <c r="F840" t="s">
        <v>33</v>
      </c>
      <c r="G840">
        <v>186032.97</v>
      </c>
      <c r="H840">
        <v>135078.28</v>
      </c>
      <c r="I840">
        <v>50954.69</v>
      </c>
      <c r="J840">
        <v>20075.560000000001</v>
      </c>
      <c r="K840">
        <v>103702.02</v>
      </c>
      <c r="L840">
        <v>66816.36</v>
      </c>
      <c r="M840">
        <v>865</v>
      </c>
      <c r="N840">
        <v>8.3000000000000001E-3</v>
      </c>
      <c r="O840">
        <v>0.27389999999999998</v>
      </c>
      <c r="P840">
        <v>1.552</v>
      </c>
      <c r="Q840" t="s">
        <v>24</v>
      </c>
      <c r="R840">
        <v>2025</v>
      </c>
      <c r="S840" t="s">
        <v>82</v>
      </c>
    </row>
    <row r="841" spans="1:19" x14ac:dyDescent="0.3">
      <c r="A841" t="s">
        <v>916</v>
      </c>
      <c r="B841" s="1">
        <v>45228</v>
      </c>
      <c r="C841" t="s">
        <v>54</v>
      </c>
      <c r="D841" t="s">
        <v>55</v>
      </c>
      <c r="E841" t="s">
        <v>38</v>
      </c>
      <c r="F841" t="s">
        <v>23</v>
      </c>
      <c r="G841">
        <v>36072.300000000003</v>
      </c>
      <c r="J841">
        <v>78812.77</v>
      </c>
      <c r="K841">
        <v>63587.82</v>
      </c>
      <c r="L841">
        <v>210141.3</v>
      </c>
      <c r="M841">
        <v>1324</v>
      </c>
      <c r="N841">
        <v>8.8000000000000005E-3</v>
      </c>
      <c r="P841">
        <v>0.30259999999999998</v>
      </c>
      <c r="Q841" t="s">
        <v>44</v>
      </c>
      <c r="R841">
        <v>2023</v>
      </c>
      <c r="S841" t="s">
        <v>40</v>
      </c>
    </row>
    <row r="842" spans="1:19" x14ac:dyDescent="0.3">
      <c r="A842" t="s">
        <v>917</v>
      </c>
      <c r="B842" s="1">
        <v>45110</v>
      </c>
      <c r="C842" t="s">
        <v>36</v>
      </c>
      <c r="D842" t="s">
        <v>37</v>
      </c>
      <c r="E842" t="s">
        <v>38</v>
      </c>
      <c r="F842" t="s">
        <v>23</v>
      </c>
      <c r="G842">
        <v>48686.38</v>
      </c>
      <c r="H842">
        <v>27540.12</v>
      </c>
      <c r="I842">
        <v>21146.26</v>
      </c>
      <c r="J842">
        <v>16567.89</v>
      </c>
      <c r="K842">
        <v>9317.0499999999993</v>
      </c>
      <c r="L842">
        <v>118077.69</v>
      </c>
      <c r="M842">
        <v>1426</v>
      </c>
      <c r="N842">
        <v>-4.58E-2</v>
      </c>
      <c r="O842">
        <v>0.43430000000000002</v>
      </c>
      <c r="P842">
        <v>7.8899999999999998E-2</v>
      </c>
      <c r="Q842" t="s">
        <v>56</v>
      </c>
      <c r="R842">
        <v>2023</v>
      </c>
      <c r="S842" t="s">
        <v>25</v>
      </c>
    </row>
    <row r="843" spans="1:19" x14ac:dyDescent="0.3">
      <c r="A843" t="s">
        <v>918</v>
      </c>
      <c r="B843" s="1">
        <v>44921</v>
      </c>
      <c r="C843" t="s">
        <v>30</v>
      </c>
      <c r="D843" t="s">
        <v>31</v>
      </c>
      <c r="E843" t="s">
        <v>22</v>
      </c>
      <c r="F843" t="s">
        <v>23</v>
      </c>
      <c r="G843">
        <v>67027.45</v>
      </c>
      <c r="H843">
        <v>49437.05</v>
      </c>
      <c r="I843">
        <v>17590.400000000001</v>
      </c>
      <c r="J843">
        <v>15499.72</v>
      </c>
      <c r="K843">
        <v>60919.47</v>
      </c>
      <c r="L843">
        <v>191330.27</v>
      </c>
      <c r="M843">
        <v>559</v>
      </c>
      <c r="N843">
        <v>-6.2899999999999998E-2</v>
      </c>
      <c r="O843">
        <v>0.26240000000000002</v>
      </c>
      <c r="P843">
        <v>0.31840000000000002</v>
      </c>
      <c r="Q843" t="s">
        <v>46</v>
      </c>
      <c r="R843">
        <v>2022</v>
      </c>
      <c r="S843" t="s">
        <v>40</v>
      </c>
    </row>
    <row r="844" spans="1:19" x14ac:dyDescent="0.3">
      <c r="A844" t="s">
        <v>919</v>
      </c>
      <c r="B844" s="1">
        <v>44630</v>
      </c>
      <c r="C844" t="s">
        <v>61</v>
      </c>
      <c r="D844" t="s">
        <v>74</v>
      </c>
      <c r="E844" t="s">
        <v>38</v>
      </c>
      <c r="F844" t="s">
        <v>23</v>
      </c>
      <c r="G844">
        <v>44245.9</v>
      </c>
      <c r="H844">
        <v>25589.439999999999</v>
      </c>
      <c r="I844">
        <v>18656.46</v>
      </c>
      <c r="J844">
        <v>54628.6</v>
      </c>
      <c r="K844">
        <v>9246.61</v>
      </c>
      <c r="L844">
        <v>169560.29</v>
      </c>
      <c r="M844">
        <v>1618</v>
      </c>
      <c r="N844">
        <v>1.4E-2</v>
      </c>
      <c r="O844">
        <v>0.42170000000000002</v>
      </c>
      <c r="P844">
        <v>5.45E-2</v>
      </c>
      <c r="Q844" t="s">
        <v>90</v>
      </c>
      <c r="R844">
        <v>2022</v>
      </c>
      <c r="S844" t="s">
        <v>25</v>
      </c>
    </row>
    <row r="845" spans="1:19" x14ac:dyDescent="0.3">
      <c r="A845" t="s">
        <v>920</v>
      </c>
      <c r="B845" s="1">
        <v>44794</v>
      </c>
      <c r="C845" t="s">
        <v>78</v>
      </c>
      <c r="D845" t="s">
        <v>79</v>
      </c>
      <c r="E845" t="s">
        <v>51</v>
      </c>
      <c r="F845" t="s">
        <v>23</v>
      </c>
      <c r="G845">
        <v>115436.94</v>
      </c>
      <c r="H845">
        <v>98526.399999999994</v>
      </c>
      <c r="I845">
        <v>16910.54</v>
      </c>
      <c r="J845">
        <v>91977.81</v>
      </c>
      <c r="K845">
        <v>8950.75</v>
      </c>
      <c r="L845">
        <v>133950.14000000001</v>
      </c>
      <c r="M845">
        <v>3375</v>
      </c>
      <c r="N845">
        <v>6.4299999999999996E-2</v>
      </c>
      <c r="O845">
        <v>0.14649999999999999</v>
      </c>
      <c r="P845">
        <v>6.6799999999999998E-2</v>
      </c>
      <c r="Q845" t="s">
        <v>76</v>
      </c>
      <c r="R845">
        <v>2022</v>
      </c>
      <c r="S845" t="s">
        <v>25</v>
      </c>
    </row>
    <row r="846" spans="1:19" x14ac:dyDescent="0.3">
      <c r="A846" t="s">
        <v>921</v>
      </c>
      <c r="B846" s="1">
        <v>45408</v>
      </c>
      <c r="C846" t="s">
        <v>68</v>
      </c>
      <c r="D846" t="s">
        <v>69</v>
      </c>
      <c r="E846" t="s">
        <v>32</v>
      </c>
      <c r="F846" t="s">
        <v>33</v>
      </c>
      <c r="G846">
        <v>152326.20000000001</v>
      </c>
      <c r="H846">
        <v>84784.53</v>
      </c>
      <c r="I846">
        <v>67541.67</v>
      </c>
      <c r="J846">
        <v>91565.47</v>
      </c>
      <c r="K846">
        <v>13445.82</v>
      </c>
      <c r="L846">
        <v>155463.19</v>
      </c>
      <c r="M846">
        <v>622</v>
      </c>
      <c r="N846">
        <v>-8.2600000000000007E-2</v>
      </c>
      <c r="O846">
        <v>0.44340000000000002</v>
      </c>
      <c r="P846">
        <v>8.6499999999999994E-2</v>
      </c>
      <c r="Q846" t="s">
        <v>111</v>
      </c>
      <c r="R846">
        <v>2024</v>
      </c>
      <c r="S846" t="s">
        <v>25</v>
      </c>
    </row>
    <row r="847" spans="1:19" x14ac:dyDescent="0.3">
      <c r="A847" t="s">
        <v>922</v>
      </c>
      <c r="B847" s="1">
        <v>44657</v>
      </c>
      <c r="C847" t="s">
        <v>102</v>
      </c>
      <c r="D847" t="s">
        <v>103</v>
      </c>
      <c r="E847" t="s">
        <v>22</v>
      </c>
      <c r="F847" t="s">
        <v>23</v>
      </c>
      <c r="G847">
        <v>71312.69</v>
      </c>
      <c r="H847">
        <v>62459.03</v>
      </c>
      <c r="I847">
        <v>8853.66</v>
      </c>
      <c r="J847">
        <v>99998.84</v>
      </c>
      <c r="K847">
        <v>8050.62</v>
      </c>
      <c r="L847">
        <v>136223.59</v>
      </c>
      <c r="M847">
        <v>1617</v>
      </c>
      <c r="N847">
        <v>-6.0299999999999999E-2</v>
      </c>
      <c r="O847">
        <v>0.1242</v>
      </c>
      <c r="P847">
        <v>5.91E-2</v>
      </c>
      <c r="Q847" t="s">
        <v>58</v>
      </c>
      <c r="R847">
        <v>2022</v>
      </c>
      <c r="S847" t="s">
        <v>25</v>
      </c>
    </row>
    <row r="848" spans="1:19" x14ac:dyDescent="0.3">
      <c r="A848" t="s">
        <v>923</v>
      </c>
      <c r="B848" s="1">
        <v>45765</v>
      </c>
      <c r="C848" t="s">
        <v>48</v>
      </c>
      <c r="D848" t="s">
        <v>49</v>
      </c>
      <c r="E848" t="s">
        <v>32</v>
      </c>
      <c r="F848" t="s">
        <v>33</v>
      </c>
      <c r="G848">
        <v>784892.04</v>
      </c>
      <c r="H848">
        <v>54990.09</v>
      </c>
      <c r="I848">
        <v>729901.95</v>
      </c>
      <c r="J848">
        <v>190768.5</v>
      </c>
      <c r="K848">
        <v>190573.04</v>
      </c>
      <c r="L848">
        <v>276080.14</v>
      </c>
      <c r="M848">
        <v>1202</v>
      </c>
      <c r="N848">
        <v>-9.4899999999999998E-2</v>
      </c>
      <c r="O848">
        <v>0.92989999999999995</v>
      </c>
      <c r="P848">
        <v>0.69030000000000002</v>
      </c>
      <c r="Q848" t="s">
        <v>34</v>
      </c>
      <c r="R848">
        <v>2025</v>
      </c>
      <c r="S848" t="s">
        <v>82</v>
      </c>
    </row>
    <row r="849" spans="1:19" x14ac:dyDescent="0.3">
      <c r="A849" t="s">
        <v>924</v>
      </c>
      <c r="B849" s="1">
        <v>45804</v>
      </c>
      <c r="C849" t="s">
        <v>68</v>
      </c>
      <c r="D849" t="s">
        <v>69</v>
      </c>
      <c r="E849" t="s">
        <v>51</v>
      </c>
      <c r="F849" t="s">
        <v>23</v>
      </c>
      <c r="G849">
        <v>58788.82</v>
      </c>
      <c r="H849">
        <v>52010.7</v>
      </c>
      <c r="I849">
        <v>6778.12</v>
      </c>
      <c r="J849">
        <v>42236.5</v>
      </c>
      <c r="K849">
        <v>10590.79</v>
      </c>
      <c r="L849">
        <v>61516.12</v>
      </c>
      <c r="M849">
        <v>925</v>
      </c>
      <c r="N849">
        <v>7.7700000000000005E-2</v>
      </c>
      <c r="O849">
        <v>0.1153</v>
      </c>
      <c r="P849">
        <v>0.17219999999999999</v>
      </c>
      <c r="Q849" t="s">
        <v>34</v>
      </c>
      <c r="R849">
        <v>2025</v>
      </c>
      <c r="S849" t="s">
        <v>25</v>
      </c>
    </row>
    <row r="850" spans="1:19" x14ac:dyDescent="0.3">
      <c r="A850" t="s">
        <v>925</v>
      </c>
      <c r="B850" s="1">
        <v>44782</v>
      </c>
      <c r="C850" t="s">
        <v>78</v>
      </c>
      <c r="D850" t="s">
        <v>79</v>
      </c>
      <c r="E850" t="s">
        <v>32</v>
      </c>
      <c r="F850" t="s">
        <v>33</v>
      </c>
      <c r="G850">
        <v>83763.679999999993</v>
      </c>
      <c r="H850">
        <v>55696.35</v>
      </c>
      <c r="I850">
        <v>28067.33</v>
      </c>
      <c r="J850">
        <v>34226.28</v>
      </c>
      <c r="K850">
        <v>131297.29</v>
      </c>
      <c r="L850">
        <v>77126.91</v>
      </c>
      <c r="M850">
        <v>1544</v>
      </c>
      <c r="N850">
        <v>2.0899999999999998E-2</v>
      </c>
      <c r="O850">
        <v>0.33510000000000001</v>
      </c>
      <c r="P850">
        <v>1.7023999999999999</v>
      </c>
      <c r="Q850" t="s">
        <v>76</v>
      </c>
      <c r="R850">
        <v>2022</v>
      </c>
      <c r="S850" t="s">
        <v>82</v>
      </c>
    </row>
    <row r="851" spans="1:19" x14ac:dyDescent="0.3">
      <c r="A851" t="s">
        <v>926</v>
      </c>
      <c r="B851" s="1">
        <v>45249</v>
      </c>
      <c r="C851" t="s">
        <v>102</v>
      </c>
      <c r="D851" t="s">
        <v>103</v>
      </c>
      <c r="E851" t="s">
        <v>32</v>
      </c>
      <c r="F851" t="s">
        <v>33</v>
      </c>
      <c r="G851">
        <v>93282.41</v>
      </c>
      <c r="H851">
        <v>80859.570000000007</v>
      </c>
      <c r="I851">
        <v>12422.84</v>
      </c>
      <c r="J851">
        <v>61749.72</v>
      </c>
      <c r="K851">
        <v>20949.25</v>
      </c>
      <c r="L851">
        <v>94708.35</v>
      </c>
      <c r="M851">
        <v>802</v>
      </c>
      <c r="N851">
        <v>3.3599999999999998E-2</v>
      </c>
      <c r="O851">
        <v>0.13320000000000001</v>
      </c>
      <c r="P851">
        <v>0.22120000000000001</v>
      </c>
      <c r="Q851" t="s">
        <v>44</v>
      </c>
      <c r="R851">
        <v>2023</v>
      </c>
      <c r="S851" t="s">
        <v>25</v>
      </c>
    </row>
    <row r="852" spans="1:19" x14ac:dyDescent="0.3">
      <c r="A852" t="s">
        <v>927</v>
      </c>
      <c r="B852" s="1">
        <v>45402</v>
      </c>
      <c r="C852" t="s">
        <v>36</v>
      </c>
      <c r="D852" t="s">
        <v>275</v>
      </c>
      <c r="E852" t="s">
        <v>22</v>
      </c>
      <c r="F852" t="s">
        <v>23</v>
      </c>
      <c r="G852">
        <v>59548.480000000003</v>
      </c>
      <c r="H852">
        <v>51575.42</v>
      </c>
      <c r="I852">
        <v>7973.06</v>
      </c>
      <c r="J852">
        <v>40947.129999999997</v>
      </c>
      <c r="K852">
        <v>31864.63</v>
      </c>
      <c r="L852">
        <v>302830.77</v>
      </c>
      <c r="M852">
        <v>786</v>
      </c>
      <c r="N852">
        <v>0.10050000000000001</v>
      </c>
      <c r="O852">
        <v>0.13389999999999999</v>
      </c>
      <c r="P852">
        <v>0.1052</v>
      </c>
      <c r="Q852" t="s">
        <v>111</v>
      </c>
      <c r="R852">
        <v>2024</v>
      </c>
      <c r="S852" t="s">
        <v>25</v>
      </c>
    </row>
    <row r="853" spans="1:19" x14ac:dyDescent="0.3">
      <c r="A853" t="s">
        <v>928</v>
      </c>
      <c r="B853" s="1">
        <v>45645</v>
      </c>
      <c r="C853" t="s">
        <v>102</v>
      </c>
      <c r="D853" t="s">
        <v>103</v>
      </c>
      <c r="E853" t="s">
        <v>38</v>
      </c>
      <c r="F853" t="s">
        <v>23</v>
      </c>
      <c r="G853">
        <v>615173.47</v>
      </c>
      <c r="H853">
        <v>521707.03</v>
      </c>
      <c r="I853">
        <v>93466.44</v>
      </c>
      <c r="J853">
        <v>47954.93</v>
      </c>
      <c r="K853">
        <v>36500.54</v>
      </c>
      <c r="L853">
        <v>214687.24</v>
      </c>
      <c r="M853">
        <v>676</v>
      </c>
      <c r="N853">
        <v>5.3100000000000001E-2</v>
      </c>
      <c r="O853">
        <v>0.15190000000000001</v>
      </c>
      <c r="P853">
        <v>0.17</v>
      </c>
      <c r="Q853" t="s">
        <v>52</v>
      </c>
      <c r="R853">
        <v>2024</v>
      </c>
      <c r="S853" t="s">
        <v>25</v>
      </c>
    </row>
    <row r="854" spans="1:19" x14ac:dyDescent="0.3">
      <c r="A854" t="s">
        <v>929</v>
      </c>
      <c r="B854" s="1">
        <v>45081</v>
      </c>
      <c r="C854" t="s">
        <v>102</v>
      </c>
      <c r="D854" t="s">
        <v>103</v>
      </c>
      <c r="E854" t="s">
        <v>22</v>
      </c>
      <c r="F854" t="s">
        <v>23</v>
      </c>
      <c r="G854">
        <v>464842.67</v>
      </c>
      <c r="H854">
        <v>368134.29</v>
      </c>
      <c r="I854">
        <v>96708.38</v>
      </c>
      <c r="J854">
        <v>26462.68</v>
      </c>
      <c r="K854">
        <v>17966.14</v>
      </c>
      <c r="L854">
        <v>92356.57</v>
      </c>
      <c r="M854">
        <v>967</v>
      </c>
      <c r="N854">
        <v>2.52E-2</v>
      </c>
      <c r="O854">
        <v>0.20799999999999999</v>
      </c>
      <c r="P854">
        <v>0.19450000000000001</v>
      </c>
      <c r="Q854" t="s">
        <v>39</v>
      </c>
      <c r="R854">
        <v>2023</v>
      </c>
      <c r="S854" t="s">
        <v>25</v>
      </c>
    </row>
    <row r="855" spans="1:19" x14ac:dyDescent="0.3">
      <c r="A855" t="s">
        <v>930</v>
      </c>
      <c r="B855" s="1">
        <v>45798</v>
      </c>
      <c r="C855" t="s">
        <v>61</v>
      </c>
      <c r="D855" t="s">
        <v>74</v>
      </c>
      <c r="E855" t="s">
        <v>38</v>
      </c>
      <c r="F855" t="s">
        <v>23</v>
      </c>
      <c r="G855">
        <v>121578.79</v>
      </c>
      <c r="H855">
        <v>83873.740000000005</v>
      </c>
      <c r="I855">
        <v>37705.050000000003</v>
      </c>
      <c r="J855">
        <v>17359.03</v>
      </c>
      <c r="K855">
        <v>13130.16</v>
      </c>
      <c r="L855">
        <v>23523.79</v>
      </c>
      <c r="M855">
        <v>1131</v>
      </c>
      <c r="N855">
        <v>-0.1225</v>
      </c>
      <c r="O855">
        <v>0.31009999999999999</v>
      </c>
      <c r="P855">
        <v>0.55820000000000003</v>
      </c>
      <c r="Q855" t="s">
        <v>34</v>
      </c>
      <c r="R855">
        <v>2025</v>
      </c>
      <c r="S855" t="s">
        <v>40</v>
      </c>
    </row>
    <row r="856" spans="1:19" x14ac:dyDescent="0.3">
      <c r="A856" t="s">
        <v>931</v>
      </c>
      <c r="B856" s="1">
        <v>46018</v>
      </c>
      <c r="C856" t="s">
        <v>48</v>
      </c>
      <c r="D856" t="s">
        <v>275</v>
      </c>
      <c r="E856" t="s">
        <v>38</v>
      </c>
      <c r="F856" t="s">
        <v>23</v>
      </c>
      <c r="G856">
        <v>28981.24</v>
      </c>
      <c r="H856">
        <v>21674.38</v>
      </c>
      <c r="I856">
        <v>7306.86</v>
      </c>
      <c r="J856">
        <v>23257.68</v>
      </c>
      <c r="K856">
        <v>27771.65</v>
      </c>
      <c r="L856">
        <v>43853.48</v>
      </c>
      <c r="M856">
        <v>1104</v>
      </c>
      <c r="N856">
        <v>-5.9299999999999999E-2</v>
      </c>
      <c r="O856">
        <v>0.25209999999999999</v>
      </c>
      <c r="P856">
        <v>0.63329999999999997</v>
      </c>
      <c r="Q856" t="s">
        <v>66</v>
      </c>
      <c r="R856">
        <v>2025</v>
      </c>
      <c r="S856" t="s">
        <v>82</v>
      </c>
    </row>
    <row r="857" spans="1:19" x14ac:dyDescent="0.3">
      <c r="A857" t="s">
        <v>932</v>
      </c>
      <c r="B857" s="1">
        <v>44830</v>
      </c>
      <c r="C857" t="s">
        <v>48</v>
      </c>
      <c r="D857" t="s">
        <v>49</v>
      </c>
      <c r="E857" t="s">
        <v>38</v>
      </c>
      <c r="F857" t="s">
        <v>23</v>
      </c>
      <c r="G857">
        <v>27337.38</v>
      </c>
      <c r="H857">
        <v>20372.39</v>
      </c>
      <c r="I857">
        <v>6964.99</v>
      </c>
      <c r="J857">
        <v>51103.74</v>
      </c>
      <c r="K857">
        <v>51318.62</v>
      </c>
      <c r="L857">
        <v>112488.22</v>
      </c>
      <c r="M857">
        <v>2425</v>
      </c>
      <c r="N857">
        <v>0.108</v>
      </c>
      <c r="O857">
        <v>0.25480000000000003</v>
      </c>
      <c r="P857">
        <v>0.45619999999999999</v>
      </c>
      <c r="Q857" t="s">
        <v>76</v>
      </c>
      <c r="R857">
        <v>2022</v>
      </c>
      <c r="S857" t="s">
        <v>40</v>
      </c>
    </row>
    <row r="858" spans="1:19" x14ac:dyDescent="0.3">
      <c r="A858" t="s">
        <v>933</v>
      </c>
      <c r="B858" s="1">
        <v>44586</v>
      </c>
      <c r="C858" t="s">
        <v>48</v>
      </c>
      <c r="D858" t="s">
        <v>49</v>
      </c>
      <c r="E858" t="s">
        <v>51</v>
      </c>
      <c r="F858" t="s">
        <v>23</v>
      </c>
      <c r="G858">
        <v>45513.18</v>
      </c>
      <c r="H858">
        <v>39248.629999999997</v>
      </c>
      <c r="I858">
        <v>6264.55</v>
      </c>
      <c r="J858">
        <v>63556.62</v>
      </c>
      <c r="K858">
        <v>72384.3</v>
      </c>
      <c r="L858">
        <v>113027.67</v>
      </c>
      <c r="M858">
        <v>730</v>
      </c>
      <c r="N858">
        <v>4.5699999999999998E-2</v>
      </c>
      <c r="O858">
        <v>0.1376</v>
      </c>
      <c r="P858">
        <v>0.64039999999999997</v>
      </c>
      <c r="Q858" t="s">
        <v>90</v>
      </c>
      <c r="R858">
        <v>2022</v>
      </c>
      <c r="S858" t="s">
        <v>82</v>
      </c>
    </row>
    <row r="859" spans="1:19" x14ac:dyDescent="0.3">
      <c r="A859" t="s">
        <v>934</v>
      </c>
      <c r="B859" s="1">
        <v>45282</v>
      </c>
      <c r="C859" t="s">
        <v>78</v>
      </c>
      <c r="D859" t="s">
        <v>79</v>
      </c>
      <c r="E859" t="s">
        <v>22</v>
      </c>
      <c r="F859" t="s">
        <v>23</v>
      </c>
      <c r="G859">
        <v>101926.38</v>
      </c>
      <c r="H859">
        <v>82324.100000000006</v>
      </c>
      <c r="I859">
        <v>19602.28</v>
      </c>
      <c r="J859">
        <v>10791.75</v>
      </c>
      <c r="K859">
        <v>22089.63</v>
      </c>
      <c r="L859">
        <v>60982.07</v>
      </c>
      <c r="M859">
        <v>331</v>
      </c>
      <c r="N859">
        <v>-5.3600000000000002E-2</v>
      </c>
      <c r="O859">
        <v>0.1923</v>
      </c>
      <c r="P859">
        <v>0.36220000000000002</v>
      </c>
      <c r="Q859" t="s">
        <v>44</v>
      </c>
      <c r="R859">
        <v>2023</v>
      </c>
      <c r="S859" t="s">
        <v>40</v>
      </c>
    </row>
    <row r="860" spans="1:19" x14ac:dyDescent="0.3">
      <c r="A860" t="s">
        <v>935</v>
      </c>
      <c r="B860" s="1">
        <v>44574</v>
      </c>
      <c r="C860" t="s">
        <v>20</v>
      </c>
      <c r="D860" t="s">
        <v>21</v>
      </c>
      <c r="E860" t="s">
        <v>51</v>
      </c>
      <c r="F860" t="s">
        <v>23</v>
      </c>
      <c r="G860">
        <v>39008.19</v>
      </c>
      <c r="H860">
        <v>26054.27</v>
      </c>
      <c r="I860">
        <v>12953.92</v>
      </c>
      <c r="J860">
        <v>75138.94</v>
      </c>
      <c r="K860">
        <v>145660.97</v>
      </c>
      <c r="L860">
        <v>106539.34</v>
      </c>
      <c r="M860">
        <v>776</v>
      </c>
      <c r="N860">
        <v>-1.7500000000000002E-2</v>
      </c>
      <c r="O860">
        <v>0.33210000000000001</v>
      </c>
      <c r="P860">
        <v>1.3672</v>
      </c>
      <c r="Q860" t="s">
        <v>90</v>
      </c>
      <c r="R860">
        <v>2022</v>
      </c>
      <c r="S860" t="s">
        <v>82</v>
      </c>
    </row>
    <row r="861" spans="1:19" x14ac:dyDescent="0.3">
      <c r="A861" t="s">
        <v>936</v>
      </c>
      <c r="B861" s="1">
        <v>45851</v>
      </c>
      <c r="C861" t="s">
        <v>36</v>
      </c>
      <c r="D861" t="s">
        <v>37</v>
      </c>
      <c r="E861" t="s">
        <v>38</v>
      </c>
      <c r="F861" t="s">
        <v>23</v>
      </c>
      <c r="G861">
        <v>135441.21</v>
      </c>
      <c r="H861">
        <v>107725.15</v>
      </c>
      <c r="I861">
        <v>27716.06</v>
      </c>
      <c r="J861">
        <v>26524.71</v>
      </c>
      <c r="K861">
        <v>75440.84</v>
      </c>
      <c r="L861">
        <v>52556.12</v>
      </c>
      <c r="M861">
        <v>1659</v>
      </c>
      <c r="N861">
        <v>5.7999999999999996E-3</v>
      </c>
      <c r="O861">
        <v>0.2046</v>
      </c>
      <c r="P861">
        <v>1.4354</v>
      </c>
      <c r="Q861" t="s">
        <v>24</v>
      </c>
      <c r="R861">
        <v>2025</v>
      </c>
      <c r="S861" t="s">
        <v>82</v>
      </c>
    </row>
    <row r="862" spans="1:19" x14ac:dyDescent="0.3">
      <c r="A862" t="s">
        <v>937</v>
      </c>
      <c r="B862" s="1">
        <v>45886</v>
      </c>
      <c r="C862" t="s">
        <v>78</v>
      </c>
      <c r="D862" t="s">
        <v>79</v>
      </c>
      <c r="E862" t="s">
        <v>144</v>
      </c>
      <c r="F862" t="s">
        <v>23</v>
      </c>
      <c r="G862">
        <v>74404.509999999995</v>
      </c>
      <c r="H862">
        <v>50837.07</v>
      </c>
      <c r="I862">
        <v>23567.439999999999</v>
      </c>
      <c r="J862">
        <v>61421.45</v>
      </c>
      <c r="K862">
        <v>124852.09</v>
      </c>
      <c r="L862">
        <v>107359.63</v>
      </c>
      <c r="M862">
        <v>811</v>
      </c>
      <c r="N862">
        <v>3.2199999999999999E-2</v>
      </c>
      <c r="O862">
        <v>0.31669999999999998</v>
      </c>
      <c r="P862">
        <v>1.1629</v>
      </c>
      <c r="Q862" t="s">
        <v>24</v>
      </c>
      <c r="R862">
        <v>2025</v>
      </c>
      <c r="S862" t="s">
        <v>82</v>
      </c>
    </row>
    <row r="863" spans="1:19" x14ac:dyDescent="0.3">
      <c r="A863" t="s">
        <v>938</v>
      </c>
      <c r="B863" s="1">
        <v>45974</v>
      </c>
      <c r="C863" t="s">
        <v>85</v>
      </c>
      <c r="D863" t="s">
        <v>86</v>
      </c>
      <c r="E863" t="s">
        <v>32</v>
      </c>
      <c r="F863" t="s">
        <v>33</v>
      </c>
      <c r="G863">
        <v>50857.49</v>
      </c>
      <c r="H863">
        <v>30083.69</v>
      </c>
      <c r="I863">
        <v>20773.8</v>
      </c>
      <c r="J863">
        <v>26411.360000000001</v>
      </c>
      <c r="K863">
        <v>52133.07</v>
      </c>
      <c r="L863">
        <v>45675.4</v>
      </c>
      <c r="M863">
        <v>906</v>
      </c>
      <c r="N863">
        <v>-0.1608</v>
      </c>
      <c r="O863">
        <v>0.40849999999999997</v>
      </c>
      <c r="P863">
        <v>1.1414</v>
      </c>
      <c r="Q863" t="s">
        <v>66</v>
      </c>
      <c r="R863">
        <v>2025</v>
      </c>
      <c r="S863" t="s">
        <v>82</v>
      </c>
    </row>
    <row r="864" spans="1:19" x14ac:dyDescent="0.3">
      <c r="A864" t="s">
        <v>939</v>
      </c>
      <c r="B864" s="1">
        <v>45886</v>
      </c>
      <c r="C864" t="s">
        <v>102</v>
      </c>
      <c r="D864" t="s">
        <v>103</v>
      </c>
      <c r="E864" t="s">
        <v>22</v>
      </c>
      <c r="F864" t="s">
        <v>23</v>
      </c>
      <c r="G864">
        <v>100683.87</v>
      </c>
      <c r="H864">
        <v>72671.679999999993</v>
      </c>
      <c r="I864">
        <v>28012.19</v>
      </c>
      <c r="J864">
        <v>15504.12</v>
      </c>
      <c r="K864">
        <v>2924.7</v>
      </c>
      <c r="L864">
        <v>67832.039999999994</v>
      </c>
      <c r="M864">
        <v>1951</v>
      </c>
      <c r="N864">
        <v>1.9099999999999999E-2</v>
      </c>
      <c r="O864">
        <v>0.2782</v>
      </c>
      <c r="P864">
        <v>4.3099999999999999E-2</v>
      </c>
      <c r="Q864" t="s">
        <v>24</v>
      </c>
      <c r="R864">
        <v>2025</v>
      </c>
      <c r="S864" t="s">
        <v>25</v>
      </c>
    </row>
    <row r="865" spans="1:19" x14ac:dyDescent="0.3">
      <c r="A865" t="s">
        <v>940</v>
      </c>
      <c r="B865" s="1">
        <v>45439</v>
      </c>
      <c r="C865" t="s">
        <v>36</v>
      </c>
      <c r="D865" t="s">
        <v>37</v>
      </c>
      <c r="E865" t="s">
        <v>32</v>
      </c>
      <c r="F865" t="s">
        <v>33</v>
      </c>
      <c r="G865">
        <v>41526.89</v>
      </c>
      <c r="H865">
        <v>32197.03</v>
      </c>
      <c r="I865">
        <v>9329.86</v>
      </c>
      <c r="J865">
        <v>31138.51</v>
      </c>
      <c r="K865">
        <v>14182.04</v>
      </c>
      <c r="L865">
        <v>72320.639999999999</v>
      </c>
      <c r="M865">
        <v>1968</v>
      </c>
      <c r="N865">
        <v>0.19040000000000001</v>
      </c>
      <c r="O865">
        <v>0.22470000000000001</v>
      </c>
      <c r="P865">
        <v>0.1961</v>
      </c>
      <c r="Q865" t="s">
        <v>111</v>
      </c>
      <c r="R865">
        <v>2024</v>
      </c>
      <c r="S865" t="s">
        <v>25</v>
      </c>
    </row>
    <row r="866" spans="1:19" x14ac:dyDescent="0.3">
      <c r="A866" t="s">
        <v>941</v>
      </c>
      <c r="B866" s="1">
        <v>44770</v>
      </c>
      <c r="C866" t="s">
        <v>68</v>
      </c>
      <c r="D866" t="s">
        <v>69</v>
      </c>
      <c r="E866" t="s">
        <v>22</v>
      </c>
      <c r="F866" t="s">
        <v>23</v>
      </c>
      <c r="G866">
        <v>46296.35</v>
      </c>
      <c r="H866">
        <v>36465.519999999997</v>
      </c>
      <c r="I866">
        <v>9830.83</v>
      </c>
      <c r="J866">
        <v>19172.669999999998</v>
      </c>
      <c r="K866">
        <v>13132.57</v>
      </c>
      <c r="L866">
        <v>54316.4</v>
      </c>
      <c r="N866">
        <v>-0.1162</v>
      </c>
      <c r="O866">
        <v>0.21229999999999999</v>
      </c>
      <c r="P866">
        <v>0.24179999999999999</v>
      </c>
      <c r="Q866" t="s">
        <v>76</v>
      </c>
      <c r="R866">
        <v>2022</v>
      </c>
      <c r="S866" t="s">
        <v>25</v>
      </c>
    </row>
    <row r="867" spans="1:19" x14ac:dyDescent="0.3">
      <c r="A867" t="s">
        <v>942</v>
      </c>
      <c r="B867" s="1">
        <v>45638</v>
      </c>
      <c r="C867" t="s">
        <v>20</v>
      </c>
      <c r="D867" t="s">
        <v>21</v>
      </c>
      <c r="E867" t="s">
        <v>22</v>
      </c>
      <c r="F867" t="s">
        <v>23</v>
      </c>
      <c r="G867">
        <v>50638.12</v>
      </c>
      <c r="H867">
        <v>46192.3</v>
      </c>
      <c r="I867">
        <v>4445.82</v>
      </c>
      <c r="J867">
        <v>7159.06</v>
      </c>
      <c r="K867">
        <v>18582.25</v>
      </c>
      <c r="L867">
        <v>34130.720000000001</v>
      </c>
      <c r="M867">
        <v>734</v>
      </c>
      <c r="N867">
        <v>-3.2399999999999998E-2</v>
      </c>
      <c r="O867">
        <v>8.7800000000000003E-2</v>
      </c>
      <c r="P867">
        <v>0.5444</v>
      </c>
      <c r="Q867" t="s">
        <v>52</v>
      </c>
      <c r="R867">
        <v>2024</v>
      </c>
      <c r="S867" t="s">
        <v>40</v>
      </c>
    </row>
    <row r="868" spans="1:19" x14ac:dyDescent="0.3">
      <c r="A868" t="s">
        <v>943</v>
      </c>
      <c r="B868" s="1">
        <v>44932</v>
      </c>
      <c r="C868" t="s">
        <v>54</v>
      </c>
      <c r="D868" t="s">
        <v>55</v>
      </c>
      <c r="E868" t="s">
        <v>32</v>
      </c>
      <c r="F868" t="s">
        <v>33</v>
      </c>
      <c r="G868">
        <v>211616.99</v>
      </c>
      <c r="H868">
        <v>163566.09</v>
      </c>
      <c r="I868">
        <v>48050.9</v>
      </c>
      <c r="J868">
        <v>66033.259999999995</v>
      </c>
      <c r="K868">
        <v>15625.2</v>
      </c>
      <c r="L868">
        <v>95661.83</v>
      </c>
      <c r="M868">
        <v>709</v>
      </c>
      <c r="N868">
        <v>4.2900000000000001E-2</v>
      </c>
      <c r="O868">
        <v>0.2271</v>
      </c>
      <c r="P868">
        <v>0.1633</v>
      </c>
      <c r="Q868" t="s">
        <v>118</v>
      </c>
      <c r="R868">
        <v>2023</v>
      </c>
      <c r="S868" t="s">
        <v>25</v>
      </c>
    </row>
    <row r="869" spans="1:19" x14ac:dyDescent="0.3">
      <c r="A869" t="s">
        <v>944</v>
      </c>
      <c r="B869" s="1">
        <v>45800</v>
      </c>
      <c r="C869" t="s">
        <v>36</v>
      </c>
      <c r="D869" t="s">
        <v>37</v>
      </c>
      <c r="E869" t="s">
        <v>38</v>
      </c>
      <c r="F869" t="s">
        <v>23</v>
      </c>
      <c r="G869">
        <v>31474.82</v>
      </c>
      <c r="H869">
        <v>26941.01</v>
      </c>
      <c r="I869">
        <v>4533.8100000000004</v>
      </c>
      <c r="J869">
        <v>7000.79</v>
      </c>
      <c r="K869">
        <v>33964.129999999997</v>
      </c>
      <c r="L869">
        <v>45923.06</v>
      </c>
      <c r="M869">
        <v>507</v>
      </c>
      <c r="N869">
        <v>-7.1099999999999997E-2</v>
      </c>
      <c r="O869">
        <v>0.14399999999999999</v>
      </c>
      <c r="P869">
        <v>0.73960000000000004</v>
      </c>
      <c r="Q869" t="s">
        <v>34</v>
      </c>
      <c r="R869">
        <v>2025</v>
      </c>
      <c r="S869" t="s">
        <v>82</v>
      </c>
    </row>
    <row r="870" spans="1:19" x14ac:dyDescent="0.3">
      <c r="A870" t="s">
        <v>945</v>
      </c>
      <c r="B870" s="1">
        <v>44987</v>
      </c>
      <c r="C870" t="s">
        <v>68</v>
      </c>
      <c r="D870" t="s">
        <v>69</v>
      </c>
      <c r="E870" t="s">
        <v>38</v>
      </c>
      <c r="F870" t="s">
        <v>23</v>
      </c>
      <c r="G870">
        <v>75878.41</v>
      </c>
      <c r="H870">
        <v>63808.31</v>
      </c>
      <c r="I870">
        <v>12070.1</v>
      </c>
      <c r="J870">
        <v>9410.2199999999993</v>
      </c>
      <c r="K870">
        <v>7988.52</v>
      </c>
      <c r="L870">
        <v>96303.69</v>
      </c>
      <c r="M870">
        <v>1586</v>
      </c>
      <c r="N870">
        <v>8.2900000000000001E-2</v>
      </c>
      <c r="O870">
        <v>0.15909999999999999</v>
      </c>
      <c r="P870">
        <v>8.3000000000000004E-2</v>
      </c>
      <c r="Q870" t="s">
        <v>118</v>
      </c>
      <c r="R870">
        <v>2023</v>
      </c>
      <c r="S870" t="s">
        <v>25</v>
      </c>
    </row>
    <row r="871" spans="1:19" x14ac:dyDescent="0.3">
      <c r="A871" t="s">
        <v>946</v>
      </c>
      <c r="B871" s="1">
        <v>45941</v>
      </c>
      <c r="C871" t="s">
        <v>61</v>
      </c>
      <c r="D871" t="s">
        <v>74</v>
      </c>
      <c r="E871" t="s">
        <v>22</v>
      </c>
      <c r="F871" t="s">
        <v>23</v>
      </c>
      <c r="G871">
        <v>171778.03</v>
      </c>
      <c r="H871">
        <v>120038.12</v>
      </c>
      <c r="I871">
        <v>51739.91</v>
      </c>
      <c r="J871">
        <v>32505.67</v>
      </c>
      <c r="K871">
        <v>24047.19</v>
      </c>
      <c r="L871">
        <v>72887.34</v>
      </c>
      <c r="M871">
        <v>1575</v>
      </c>
      <c r="N871">
        <v>-0.06</v>
      </c>
      <c r="O871">
        <v>0.30120000000000002</v>
      </c>
      <c r="P871">
        <v>0.32990000000000003</v>
      </c>
      <c r="Q871" t="s">
        <v>66</v>
      </c>
      <c r="R871">
        <v>2025</v>
      </c>
      <c r="S871" t="s">
        <v>40</v>
      </c>
    </row>
    <row r="872" spans="1:19" x14ac:dyDescent="0.3">
      <c r="A872" t="s">
        <v>947</v>
      </c>
      <c r="B872" s="1">
        <v>45300</v>
      </c>
      <c r="C872" t="s">
        <v>48</v>
      </c>
      <c r="D872" t="s">
        <v>49</v>
      </c>
      <c r="E872" t="s">
        <v>38</v>
      </c>
      <c r="F872" t="s">
        <v>23</v>
      </c>
      <c r="G872">
        <v>45652.44</v>
      </c>
      <c r="H872">
        <v>34358.78</v>
      </c>
      <c r="I872">
        <v>11293.66</v>
      </c>
      <c r="J872">
        <v>17555.419999999998</v>
      </c>
      <c r="K872">
        <v>20196.75</v>
      </c>
      <c r="L872">
        <v>41446.25</v>
      </c>
      <c r="M872">
        <v>1524</v>
      </c>
      <c r="N872">
        <v>-3.3799999999999997E-2</v>
      </c>
      <c r="O872">
        <v>0.24740000000000001</v>
      </c>
      <c r="P872">
        <v>0.48730000000000001</v>
      </c>
      <c r="Q872" t="s">
        <v>80</v>
      </c>
      <c r="R872">
        <v>2024</v>
      </c>
      <c r="S872" t="s">
        <v>40</v>
      </c>
    </row>
    <row r="873" spans="1:19" x14ac:dyDescent="0.3">
      <c r="A873" t="s">
        <v>948</v>
      </c>
      <c r="B873" s="1">
        <v>45847</v>
      </c>
      <c r="C873" t="s">
        <v>61</v>
      </c>
      <c r="D873" t="s">
        <v>74</v>
      </c>
      <c r="E873" t="s">
        <v>32</v>
      </c>
      <c r="F873" t="s">
        <v>33</v>
      </c>
      <c r="G873">
        <v>48237.87</v>
      </c>
      <c r="H873">
        <v>31223.5</v>
      </c>
      <c r="I873">
        <v>17014.37</v>
      </c>
      <c r="J873">
        <v>92838.87</v>
      </c>
      <c r="K873">
        <v>26004.18</v>
      </c>
      <c r="L873">
        <v>103055.09</v>
      </c>
      <c r="M873">
        <v>520</v>
      </c>
      <c r="N873">
        <v>-4.53E-2</v>
      </c>
      <c r="O873">
        <v>0.35270000000000001</v>
      </c>
      <c r="P873">
        <v>0.25230000000000002</v>
      </c>
      <c r="Q873" t="s">
        <v>24</v>
      </c>
      <c r="R873">
        <v>2025</v>
      </c>
      <c r="S873" t="s">
        <v>25</v>
      </c>
    </row>
    <row r="874" spans="1:19" x14ac:dyDescent="0.3">
      <c r="A874" t="s">
        <v>949</v>
      </c>
      <c r="B874" s="1">
        <v>45368</v>
      </c>
      <c r="C874" t="s">
        <v>36</v>
      </c>
      <c r="D874" t="s">
        <v>37</v>
      </c>
      <c r="E874" t="s">
        <v>38</v>
      </c>
      <c r="F874" t="s">
        <v>23</v>
      </c>
      <c r="G874">
        <v>47536.85</v>
      </c>
      <c r="H874">
        <v>34767.599999999999</v>
      </c>
      <c r="I874">
        <v>12769.25</v>
      </c>
      <c r="J874">
        <v>53678.96</v>
      </c>
      <c r="K874">
        <v>63063.72</v>
      </c>
      <c r="L874">
        <v>96073.05</v>
      </c>
      <c r="M874">
        <v>911</v>
      </c>
      <c r="N874">
        <v>7.4999999999999997E-3</v>
      </c>
      <c r="O874">
        <v>0.26860000000000001</v>
      </c>
      <c r="P874">
        <v>0.65639999999999998</v>
      </c>
      <c r="Q874" t="s">
        <v>80</v>
      </c>
      <c r="R874">
        <v>2024</v>
      </c>
      <c r="S874" t="s">
        <v>82</v>
      </c>
    </row>
    <row r="875" spans="1:19" x14ac:dyDescent="0.3">
      <c r="A875" t="s">
        <v>950</v>
      </c>
      <c r="B875" s="1">
        <v>45960</v>
      </c>
      <c r="C875" t="s">
        <v>102</v>
      </c>
      <c r="D875" t="s">
        <v>103</v>
      </c>
      <c r="E875" t="s">
        <v>32</v>
      </c>
      <c r="F875" t="s">
        <v>33</v>
      </c>
      <c r="G875">
        <v>96168.57</v>
      </c>
      <c r="H875">
        <v>86295.66</v>
      </c>
      <c r="I875">
        <v>9872.91</v>
      </c>
      <c r="J875">
        <v>57840.32</v>
      </c>
      <c r="K875">
        <v>13667.85</v>
      </c>
      <c r="L875">
        <v>152303.04999999999</v>
      </c>
      <c r="M875">
        <v>639</v>
      </c>
      <c r="N875">
        <v>2.3999999999999998E-3</v>
      </c>
      <c r="O875">
        <v>0.1027</v>
      </c>
      <c r="P875">
        <v>8.9700000000000002E-2</v>
      </c>
      <c r="Q875" t="s">
        <v>66</v>
      </c>
      <c r="R875">
        <v>2025</v>
      </c>
      <c r="S875" t="s">
        <v>25</v>
      </c>
    </row>
    <row r="876" spans="1:19" x14ac:dyDescent="0.3">
      <c r="A876" t="s">
        <v>951</v>
      </c>
      <c r="B876" s="1">
        <v>45460</v>
      </c>
      <c r="C876" t="s">
        <v>78</v>
      </c>
      <c r="D876" t="s">
        <v>79</v>
      </c>
      <c r="E876" t="s">
        <v>22</v>
      </c>
      <c r="F876" t="s">
        <v>23</v>
      </c>
      <c r="G876">
        <v>176674.2</v>
      </c>
      <c r="H876">
        <v>125092.23</v>
      </c>
      <c r="I876">
        <v>51581.97</v>
      </c>
      <c r="J876">
        <v>39990.74</v>
      </c>
      <c r="K876">
        <v>10921.57</v>
      </c>
      <c r="L876">
        <v>170097.08</v>
      </c>
      <c r="M876">
        <v>807</v>
      </c>
      <c r="N876">
        <v>4.2599999999999999E-2</v>
      </c>
      <c r="O876">
        <v>0.29199999999999998</v>
      </c>
      <c r="P876">
        <v>6.4199999999999993E-2</v>
      </c>
      <c r="Q876" t="s">
        <v>111</v>
      </c>
      <c r="R876">
        <v>2024</v>
      </c>
      <c r="S876" t="s">
        <v>25</v>
      </c>
    </row>
    <row r="877" spans="1:19" x14ac:dyDescent="0.3">
      <c r="A877" t="s">
        <v>952</v>
      </c>
      <c r="B877" s="1">
        <v>46011</v>
      </c>
      <c r="C877" t="s">
        <v>27</v>
      </c>
      <c r="D877" t="s">
        <v>28</v>
      </c>
      <c r="E877" t="s">
        <v>51</v>
      </c>
      <c r="F877" t="s">
        <v>23</v>
      </c>
      <c r="G877">
        <v>57295.95</v>
      </c>
      <c r="H877">
        <v>41764.699999999997</v>
      </c>
      <c r="I877">
        <v>15531.25</v>
      </c>
      <c r="J877">
        <v>31755.43</v>
      </c>
      <c r="K877">
        <v>5300.13</v>
      </c>
      <c r="L877">
        <v>92167.52</v>
      </c>
      <c r="M877">
        <v>777</v>
      </c>
      <c r="N877">
        <v>-6.1600000000000002E-2</v>
      </c>
      <c r="O877">
        <v>0.27110000000000001</v>
      </c>
      <c r="P877">
        <v>5.7500000000000002E-2</v>
      </c>
      <c r="Q877" t="s">
        <v>66</v>
      </c>
      <c r="R877">
        <v>2025</v>
      </c>
      <c r="S877" t="s">
        <v>25</v>
      </c>
    </row>
    <row r="878" spans="1:19" x14ac:dyDescent="0.3">
      <c r="A878" t="s">
        <v>953</v>
      </c>
      <c r="B878" s="1">
        <v>44596</v>
      </c>
      <c r="C878" t="s">
        <v>27</v>
      </c>
      <c r="D878" t="s">
        <v>28</v>
      </c>
      <c r="E878" t="s">
        <v>32</v>
      </c>
      <c r="F878" t="s">
        <v>33</v>
      </c>
      <c r="G878">
        <v>356916.4</v>
      </c>
      <c r="H878">
        <v>222797.23</v>
      </c>
      <c r="I878">
        <v>134119.17000000001</v>
      </c>
      <c r="J878">
        <v>58946.17</v>
      </c>
      <c r="K878">
        <v>14160.09</v>
      </c>
      <c r="L878">
        <v>99954.26</v>
      </c>
      <c r="M878">
        <v>625</v>
      </c>
      <c r="N878">
        <v>-4.4900000000000002E-2</v>
      </c>
      <c r="O878">
        <v>0.37580000000000002</v>
      </c>
      <c r="P878">
        <v>0.14169999999999999</v>
      </c>
      <c r="Q878" t="s">
        <v>90</v>
      </c>
      <c r="R878">
        <v>2022</v>
      </c>
      <c r="S878" t="s">
        <v>25</v>
      </c>
    </row>
    <row r="879" spans="1:19" x14ac:dyDescent="0.3">
      <c r="A879" t="s">
        <v>954</v>
      </c>
      <c r="B879" s="1">
        <v>45760</v>
      </c>
      <c r="C879" t="s">
        <v>27</v>
      </c>
      <c r="D879" t="s">
        <v>28</v>
      </c>
      <c r="E879" t="s">
        <v>51</v>
      </c>
      <c r="F879" t="s">
        <v>23</v>
      </c>
      <c r="G879">
        <v>149661.24</v>
      </c>
      <c r="H879">
        <v>113336.86</v>
      </c>
      <c r="I879">
        <v>36324.379999999997</v>
      </c>
      <c r="J879">
        <v>46369.42</v>
      </c>
      <c r="K879">
        <v>13515.52</v>
      </c>
      <c r="L879">
        <v>77133.66</v>
      </c>
      <c r="M879">
        <v>1236</v>
      </c>
      <c r="N879">
        <v>-6.2700000000000006E-2</v>
      </c>
      <c r="O879">
        <v>0.2427</v>
      </c>
      <c r="P879">
        <v>0.17519999999999999</v>
      </c>
      <c r="Q879" t="s">
        <v>34</v>
      </c>
      <c r="R879">
        <v>2025</v>
      </c>
      <c r="S879" t="s">
        <v>25</v>
      </c>
    </row>
    <row r="880" spans="1:19" x14ac:dyDescent="0.3">
      <c r="A880" t="s">
        <v>955</v>
      </c>
      <c r="B880" s="1">
        <v>45156</v>
      </c>
      <c r="C880" t="s">
        <v>30</v>
      </c>
      <c r="D880" t="s">
        <v>31</v>
      </c>
      <c r="E880" t="s">
        <v>32</v>
      </c>
      <c r="F880" t="s">
        <v>33</v>
      </c>
      <c r="G880">
        <v>35830.43</v>
      </c>
      <c r="H880">
        <v>24985.11</v>
      </c>
      <c r="I880">
        <v>10845.32</v>
      </c>
      <c r="J880">
        <v>25510.880000000001</v>
      </c>
      <c r="K880">
        <v>43606.58</v>
      </c>
      <c r="L880">
        <v>90424.39</v>
      </c>
      <c r="M880">
        <v>903</v>
      </c>
      <c r="N880">
        <v>-4.7699999999999999E-2</v>
      </c>
      <c r="O880">
        <v>0.30270000000000002</v>
      </c>
      <c r="P880">
        <v>0.48220000000000002</v>
      </c>
      <c r="Q880" t="s">
        <v>56</v>
      </c>
      <c r="R880">
        <v>2023</v>
      </c>
      <c r="S880" t="s">
        <v>40</v>
      </c>
    </row>
    <row r="881" spans="1:19" x14ac:dyDescent="0.3">
      <c r="A881" t="s">
        <v>956</v>
      </c>
      <c r="B881" s="1">
        <v>45982</v>
      </c>
      <c r="C881" t="s">
        <v>68</v>
      </c>
      <c r="D881" t="s">
        <v>69</v>
      </c>
      <c r="E881" t="s">
        <v>38</v>
      </c>
      <c r="F881" t="s">
        <v>23</v>
      </c>
      <c r="G881">
        <v>84305.05</v>
      </c>
      <c r="H881">
        <v>60422.74</v>
      </c>
      <c r="I881">
        <v>23882.31</v>
      </c>
      <c r="J881">
        <v>81476.87</v>
      </c>
      <c r="K881">
        <v>12115.21</v>
      </c>
      <c r="L881">
        <v>108534.44</v>
      </c>
      <c r="M881">
        <v>1475</v>
      </c>
      <c r="N881">
        <v>-1.8800000000000001E-2</v>
      </c>
      <c r="O881">
        <v>0.2833</v>
      </c>
      <c r="P881">
        <v>0.1116</v>
      </c>
      <c r="Q881" t="s">
        <v>66</v>
      </c>
      <c r="R881">
        <v>2025</v>
      </c>
      <c r="S881" t="s">
        <v>25</v>
      </c>
    </row>
    <row r="882" spans="1:19" x14ac:dyDescent="0.3">
      <c r="A882" t="s">
        <v>957</v>
      </c>
      <c r="B882" s="1">
        <v>45780</v>
      </c>
      <c r="C882" t="s">
        <v>48</v>
      </c>
      <c r="D882" t="s">
        <v>49</v>
      </c>
      <c r="E882" t="s">
        <v>38</v>
      </c>
      <c r="F882" t="s">
        <v>23</v>
      </c>
      <c r="G882">
        <v>147905.53</v>
      </c>
      <c r="H882">
        <v>104710.45</v>
      </c>
      <c r="I882">
        <v>43195.08</v>
      </c>
      <c r="J882">
        <v>26018.87</v>
      </c>
      <c r="K882">
        <v>7957.17</v>
      </c>
      <c r="L882">
        <v>100685.95</v>
      </c>
      <c r="M882">
        <v>991</v>
      </c>
      <c r="N882">
        <v>0.13539999999999999</v>
      </c>
      <c r="O882">
        <v>0.29199999999999998</v>
      </c>
      <c r="P882">
        <v>7.9000000000000001E-2</v>
      </c>
      <c r="Q882" t="s">
        <v>34</v>
      </c>
      <c r="R882">
        <v>2025</v>
      </c>
      <c r="S882" t="s">
        <v>25</v>
      </c>
    </row>
    <row r="883" spans="1:19" x14ac:dyDescent="0.3">
      <c r="A883" t="s">
        <v>958</v>
      </c>
      <c r="B883" s="1">
        <v>45976</v>
      </c>
      <c r="C883" t="s">
        <v>102</v>
      </c>
      <c r="D883" t="s">
        <v>103</v>
      </c>
      <c r="E883" t="s">
        <v>38</v>
      </c>
      <c r="F883" t="s">
        <v>23</v>
      </c>
      <c r="G883">
        <v>115213.85</v>
      </c>
      <c r="H883">
        <v>97473.24</v>
      </c>
      <c r="I883">
        <v>17740.61</v>
      </c>
      <c r="J883">
        <v>17206.419999999998</v>
      </c>
      <c r="K883">
        <v>11804.58</v>
      </c>
      <c r="L883">
        <v>58853.52</v>
      </c>
      <c r="M883">
        <v>896</v>
      </c>
      <c r="N883">
        <v>6.8999999999999999E-3</v>
      </c>
      <c r="O883">
        <v>0.154</v>
      </c>
      <c r="P883">
        <v>0.2006</v>
      </c>
      <c r="Q883" t="s">
        <v>66</v>
      </c>
      <c r="R883">
        <v>2025</v>
      </c>
      <c r="S883" t="s">
        <v>25</v>
      </c>
    </row>
    <row r="884" spans="1:19" x14ac:dyDescent="0.3">
      <c r="A884" t="s">
        <v>959</v>
      </c>
      <c r="B884" s="1">
        <v>45210</v>
      </c>
      <c r="C884" t="s">
        <v>61</v>
      </c>
      <c r="D884" t="s">
        <v>74</v>
      </c>
      <c r="E884" t="s">
        <v>32</v>
      </c>
      <c r="F884" t="s">
        <v>33</v>
      </c>
      <c r="G884">
        <v>38670.11</v>
      </c>
      <c r="H884">
        <v>23368.99</v>
      </c>
      <c r="I884">
        <v>15301.12</v>
      </c>
      <c r="J884">
        <v>119974.34</v>
      </c>
      <c r="K884">
        <v>19988.98</v>
      </c>
      <c r="L884">
        <v>179127.01</v>
      </c>
      <c r="M884">
        <v>787</v>
      </c>
      <c r="N884">
        <v>2.1999999999999999E-2</v>
      </c>
      <c r="O884">
        <v>0.3957</v>
      </c>
      <c r="P884">
        <v>0.1116</v>
      </c>
      <c r="Q884" t="s">
        <v>44</v>
      </c>
      <c r="R884">
        <v>2023</v>
      </c>
      <c r="S884" t="s">
        <v>25</v>
      </c>
    </row>
    <row r="885" spans="1:19" x14ac:dyDescent="0.3">
      <c r="A885" t="s">
        <v>960</v>
      </c>
      <c r="B885" s="1">
        <v>45310</v>
      </c>
      <c r="C885" t="s">
        <v>78</v>
      </c>
      <c r="D885" t="s">
        <v>79</v>
      </c>
      <c r="E885" t="s">
        <v>22</v>
      </c>
      <c r="F885" t="s">
        <v>23</v>
      </c>
      <c r="G885">
        <v>235278.92</v>
      </c>
      <c r="H885">
        <v>193468.94</v>
      </c>
      <c r="I885">
        <v>41809.980000000003</v>
      </c>
      <c r="J885">
        <v>26332.66</v>
      </c>
      <c r="K885">
        <v>18035.59</v>
      </c>
      <c r="L885">
        <v>116306.49</v>
      </c>
      <c r="M885">
        <v>808</v>
      </c>
      <c r="N885">
        <v>-4.7000000000000002E-3</v>
      </c>
      <c r="O885">
        <v>0.1777</v>
      </c>
      <c r="P885">
        <v>0.15509999999999999</v>
      </c>
      <c r="Q885" t="s">
        <v>80</v>
      </c>
      <c r="R885">
        <v>2024</v>
      </c>
      <c r="S885" t="s">
        <v>25</v>
      </c>
    </row>
    <row r="886" spans="1:19" x14ac:dyDescent="0.3">
      <c r="A886" t="s">
        <v>961</v>
      </c>
      <c r="B886" s="1">
        <v>45309</v>
      </c>
      <c r="C886" t="s">
        <v>36</v>
      </c>
      <c r="D886" t="s">
        <v>37</v>
      </c>
      <c r="E886" t="s">
        <v>38</v>
      </c>
      <c r="F886" t="s">
        <v>23</v>
      </c>
      <c r="G886">
        <v>130293.68</v>
      </c>
      <c r="H886">
        <v>92322.05</v>
      </c>
      <c r="I886">
        <v>37971.629999999997</v>
      </c>
      <c r="J886">
        <v>23333.9</v>
      </c>
      <c r="K886">
        <v>28655.439999999999</v>
      </c>
      <c r="L886">
        <v>250250.62</v>
      </c>
      <c r="M886">
        <v>480</v>
      </c>
      <c r="N886">
        <v>0.1313</v>
      </c>
      <c r="O886">
        <v>0.29139999999999999</v>
      </c>
      <c r="P886">
        <v>0.1145</v>
      </c>
      <c r="Q886" t="s">
        <v>80</v>
      </c>
      <c r="R886">
        <v>2024</v>
      </c>
      <c r="S886" t="s">
        <v>25</v>
      </c>
    </row>
    <row r="887" spans="1:19" x14ac:dyDescent="0.3">
      <c r="A887" t="s">
        <v>962</v>
      </c>
      <c r="B887" s="1">
        <v>45789</v>
      </c>
      <c r="C887" t="s">
        <v>102</v>
      </c>
      <c r="D887" t="s">
        <v>103</v>
      </c>
      <c r="E887" t="s">
        <v>32</v>
      </c>
      <c r="F887" t="s">
        <v>33</v>
      </c>
      <c r="G887">
        <v>97653.65</v>
      </c>
      <c r="H887">
        <v>63297.81</v>
      </c>
      <c r="I887">
        <v>34355.839999999997</v>
      </c>
      <c r="J887">
        <v>59605.53</v>
      </c>
      <c r="K887">
        <v>60560.85</v>
      </c>
      <c r="L887">
        <v>157231.48000000001</v>
      </c>
      <c r="M887">
        <v>822</v>
      </c>
      <c r="N887">
        <v>5.0999999999999997E-2</v>
      </c>
      <c r="O887">
        <v>0.3518</v>
      </c>
      <c r="P887">
        <v>0.38519999999999999</v>
      </c>
      <c r="Q887" t="s">
        <v>34</v>
      </c>
      <c r="R887">
        <v>2025</v>
      </c>
      <c r="S887" t="s">
        <v>40</v>
      </c>
    </row>
    <row r="888" spans="1:19" x14ac:dyDescent="0.3">
      <c r="A888" t="s">
        <v>963</v>
      </c>
      <c r="B888" s="1">
        <v>45195</v>
      </c>
      <c r="C888" t="s">
        <v>42</v>
      </c>
      <c r="D888" t="s">
        <v>43</v>
      </c>
      <c r="E888" t="s">
        <v>38</v>
      </c>
      <c r="F888" t="s">
        <v>23</v>
      </c>
      <c r="G888">
        <v>45512.31</v>
      </c>
      <c r="H888">
        <v>29569.86</v>
      </c>
      <c r="I888">
        <v>15942.45</v>
      </c>
      <c r="J888">
        <v>53777.26</v>
      </c>
      <c r="K888">
        <v>35107.69</v>
      </c>
      <c r="L888">
        <v>75806.789999999994</v>
      </c>
      <c r="M888">
        <v>803</v>
      </c>
      <c r="N888">
        <v>3.5000000000000003E-2</v>
      </c>
      <c r="O888">
        <v>0.3503</v>
      </c>
      <c r="P888">
        <v>0.46310000000000001</v>
      </c>
      <c r="Q888" t="s">
        <v>56</v>
      </c>
      <c r="R888">
        <v>2023</v>
      </c>
      <c r="S888" t="s">
        <v>40</v>
      </c>
    </row>
    <row r="889" spans="1:19" x14ac:dyDescent="0.3">
      <c r="A889" t="s">
        <v>964</v>
      </c>
      <c r="B889" s="1">
        <v>45477</v>
      </c>
      <c r="C889" t="s">
        <v>20</v>
      </c>
      <c r="D889" t="s">
        <v>21</v>
      </c>
      <c r="E889" t="s">
        <v>38</v>
      </c>
      <c r="F889" t="s">
        <v>23</v>
      </c>
      <c r="G889">
        <v>65377.53</v>
      </c>
      <c r="H889">
        <v>55856.959999999999</v>
      </c>
      <c r="I889">
        <v>9520.57</v>
      </c>
      <c r="J889">
        <v>9762.76</v>
      </c>
      <c r="K889">
        <v>14067.21</v>
      </c>
      <c r="L889">
        <v>48265.62</v>
      </c>
      <c r="M889">
        <v>1056</v>
      </c>
      <c r="N889">
        <v>0.1573</v>
      </c>
      <c r="O889">
        <v>0.14560000000000001</v>
      </c>
      <c r="P889">
        <v>0.29149999999999998</v>
      </c>
      <c r="Q889" t="s">
        <v>72</v>
      </c>
      <c r="R889">
        <v>2024</v>
      </c>
      <c r="S889" t="s">
        <v>25</v>
      </c>
    </row>
    <row r="890" spans="1:19" x14ac:dyDescent="0.3">
      <c r="A890" t="s">
        <v>965</v>
      </c>
      <c r="B890" s="1">
        <v>45688</v>
      </c>
      <c r="C890" t="s">
        <v>68</v>
      </c>
      <c r="D890" t="s">
        <v>69</v>
      </c>
      <c r="E890" t="s">
        <v>32</v>
      </c>
      <c r="F890" t="s">
        <v>33</v>
      </c>
      <c r="G890">
        <v>69061.53</v>
      </c>
      <c r="H890">
        <v>40706.730000000003</v>
      </c>
      <c r="I890">
        <v>28354.799999999999</v>
      </c>
      <c r="J890">
        <v>23871.360000000001</v>
      </c>
      <c r="K890">
        <v>16362.11</v>
      </c>
      <c r="L890">
        <v>79632.679999999993</v>
      </c>
      <c r="M890">
        <v>1015</v>
      </c>
      <c r="N890">
        <v>-4.2299999999999997E-2</v>
      </c>
      <c r="O890">
        <v>0.41060000000000002</v>
      </c>
      <c r="P890">
        <v>0.20549999999999999</v>
      </c>
      <c r="Q890" t="s">
        <v>106</v>
      </c>
      <c r="R890">
        <v>2025</v>
      </c>
      <c r="S890" t="s">
        <v>25</v>
      </c>
    </row>
    <row r="891" spans="1:19" x14ac:dyDescent="0.3">
      <c r="A891" t="s">
        <v>966</v>
      </c>
      <c r="B891" s="1">
        <v>45361</v>
      </c>
      <c r="C891" t="s">
        <v>27</v>
      </c>
      <c r="D891" t="s">
        <v>28</v>
      </c>
      <c r="E891" t="s">
        <v>38</v>
      </c>
      <c r="F891" t="s">
        <v>23</v>
      </c>
      <c r="G891">
        <v>99363.61</v>
      </c>
      <c r="H891">
        <v>56051.39</v>
      </c>
      <c r="I891">
        <v>43312.22</v>
      </c>
      <c r="J891">
        <v>91724.52</v>
      </c>
      <c r="K891">
        <v>117979.34</v>
      </c>
      <c r="L891">
        <v>147117.01</v>
      </c>
      <c r="M891">
        <v>615</v>
      </c>
      <c r="N891">
        <v>-1.9800000000000002E-2</v>
      </c>
      <c r="O891">
        <v>0.43590000000000001</v>
      </c>
      <c r="P891">
        <v>0.80189999999999995</v>
      </c>
      <c r="Q891" t="s">
        <v>80</v>
      </c>
      <c r="R891">
        <v>2024</v>
      </c>
      <c r="S891" t="s">
        <v>82</v>
      </c>
    </row>
    <row r="892" spans="1:19" x14ac:dyDescent="0.3">
      <c r="A892" t="s">
        <v>967</v>
      </c>
      <c r="B892" s="1">
        <v>44783</v>
      </c>
      <c r="C892" t="s">
        <v>48</v>
      </c>
      <c r="D892" t="s">
        <v>275</v>
      </c>
      <c r="E892" t="s">
        <v>22</v>
      </c>
      <c r="F892" t="s">
        <v>23</v>
      </c>
      <c r="G892">
        <v>71545.649999999994</v>
      </c>
      <c r="H892">
        <v>47433.39</v>
      </c>
      <c r="I892">
        <v>24112.26</v>
      </c>
      <c r="J892">
        <v>45753.25</v>
      </c>
      <c r="K892">
        <v>6568.11</v>
      </c>
      <c r="L892">
        <v>82818.95</v>
      </c>
      <c r="M892">
        <v>1165</v>
      </c>
      <c r="N892">
        <v>-0.10290000000000001</v>
      </c>
      <c r="O892">
        <v>0.33700000000000002</v>
      </c>
      <c r="P892">
        <v>7.9299999999999995E-2</v>
      </c>
      <c r="Q892" t="s">
        <v>76</v>
      </c>
      <c r="R892">
        <v>2022</v>
      </c>
      <c r="S892" t="s">
        <v>25</v>
      </c>
    </row>
    <row r="893" spans="1:19" x14ac:dyDescent="0.3">
      <c r="A893" t="s">
        <v>968</v>
      </c>
      <c r="B893" s="1">
        <v>45727</v>
      </c>
      <c r="C893" t="s">
        <v>68</v>
      </c>
      <c r="D893" t="s">
        <v>69</v>
      </c>
      <c r="E893" t="s">
        <v>32</v>
      </c>
      <c r="F893" t="s">
        <v>33</v>
      </c>
      <c r="G893">
        <v>113650.87</v>
      </c>
      <c r="H893">
        <v>94672.07</v>
      </c>
      <c r="I893">
        <v>18978.8</v>
      </c>
      <c r="J893">
        <v>25345.43</v>
      </c>
      <c r="K893">
        <v>26936.05</v>
      </c>
      <c r="L893">
        <v>68852.52</v>
      </c>
      <c r="M893">
        <v>1324</v>
      </c>
      <c r="N893">
        <v>-8.8300000000000003E-2</v>
      </c>
      <c r="O893">
        <v>0.16700000000000001</v>
      </c>
      <c r="P893">
        <v>0.39119999999999999</v>
      </c>
      <c r="Q893" t="s">
        <v>106</v>
      </c>
      <c r="R893">
        <v>2025</v>
      </c>
      <c r="S893" t="s">
        <v>40</v>
      </c>
    </row>
    <row r="894" spans="1:19" x14ac:dyDescent="0.3">
      <c r="A894" t="s">
        <v>969</v>
      </c>
      <c r="B894" s="1">
        <v>44807</v>
      </c>
      <c r="C894" t="s">
        <v>61</v>
      </c>
      <c r="D894" t="s">
        <v>74</v>
      </c>
      <c r="E894" t="s">
        <v>22</v>
      </c>
      <c r="F894" t="s">
        <v>23</v>
      </c>
      <c r="G894">
        <v>71795.649999999994</v>
      </c>
      <c r="H894">
        <v>60517.04</v>
      </c>
      <c r="I894">
        <v>11278.61</v>
      </c>
      <c r="J894">
        <v>12148.67</v>
      </c>
      <c r="K894">
        <v>215143.03</v>
      </c>
      <c r="L894">
        <v>28580.14</v>
      </c>
      <c r="M894">
        <v>1226</v>
      </c>
      <c r="N894">
        <v>9.7500000000000003E-2</v>
      </c>
      <c r="O894">
        <v>0.15709999999999999</v>
      </c>
      <c r="P894">
        <v>7.5277000000000003</v>
      </c>
      <c r="Q894" t="s">
        <v>76</v>
      </c>
      <c r="R894">
        <v>2022</v>
      </c>
      <c r="S894" t="s">
        <v>82</v>
      </c>
    </row>
    <row r="895" spans="1:19" x14ac:dyDescent="0.3">
      <c r="A895" t="s">
        <v>970</v>
      </c>
      <c r="B895" s="1">
        <v>44845</v>
      </c>
      <c r="C895" t="s">
        <v>102</v>
      </c>
      <c r="D895" t="s">
        <v>103</v>
      </c>
      <c r="E895" t="s">
        <v>38</v>
      </c>
      <c r="F895" t="s">
        <v>23</v>
      </c>
      <c r="G895">
        <v>60549.29</v>
      </c>
      <c r="H895">
        <v>49649.74</v>
      </c>
      <c r="I895">
        <v>10899.55</v>
      </c>
      <c r="J895">
        <v>44842.05</v>
      </c>
      <c r="K895">
        <v>35384.01</v>
      </c>
      <c r="L895">
        <v>119641.17</v>
      </c>
      <c r="M895">
        <v>674</v>
      </c>
      <c r="N895">
        <v>3.61E-2</v>
      </c>
      <c r="O895">
        <v>0.18</v>
      </c>
      <c r="P895">
        <v>0.29580000000000001</v>
      </c>
      <c r="Q895" t="s">
        <v>46</v>
      </c>
      <c r="R895">
        <v>2022</v>
      </c>
      <c r="S895" t="s">
        <v>25</v>
      </c>
    </row>
    <row r="896" spans="1:19" x14ac:dyDescent="0.3">
      <c r="A896" t="s">
        <v>971</v>
      </c>
      <c r="B896" s="1">
        <v>45258</v>
      </c>
      <c r="C896" t="s">
        <v>48</v>
      </c>
      <c r="D896" t="s">
        <v>49</v>
      </c>
      <c r="E896" t="s">
        <v>22</v>
      </c>
      <c r="F896" t="s">
        <v>23</v>
      </c>
      <c r="G896">
        <v>309240.18</v>
      </c>
      <c r="H896">
        <v>281399.58</v>
      </c>
      <c r="I896">
        <v>27840.6</v>
      </c>
      <c r="J896">
        <v>34205.64</v>
      </c>
      <c r="K896">
        <v>29288.39</v>
      </c>
      <c r="L896">
        <v>71315.710000000006</v>
      </c>
      <c r="M896">
        <v>874</v>
      </c>
      <c r="N896">
        <v>9.4600000000000004E-2</v>
      </c>
      <c r="O896">
        <v>0.09</v>
      </c>
      <c r="P896">
        <v>0.41070000000000001</v>
      </c>
      <c r="Q896" t="s">
        <v>44</v>
      </c>
      <c r="R896">
        <v>2023</v>
      </c>
      <c r="S896" t="s">
        <v>40</v>
      </c>
    </row>
    <row r="897" spans="1:19" x14ac:dyDescent="0.3">
      <c r="A897" t="s">
        <v>972</v>
      </c>
      <c r="B897" s="1">
        <v>45438</v>
      </c>
      <c r="C897" t="s">
        <v>68</v>
      </c>
      <c r="D897" t="s">
        <v>69</v>
      </c>
      <c r="E897" t="s">
        <v>32</v>
      </c>
      <c r="F897" t="s">
        <v>33</v>
      </c>
      <c r="G897">
        <v>59463.15</v>
      </c>
      <c r="H897">
        <v>40768.089999999997</v>
      </c>
      <c r="I897">
        <v>18695.060000000001</v>
      </c>
      <c r="J897">
        <v>15179.78</v>
      </c>
      <c r="K897">
        <v>125328.99</v>
      </c>
      <c r="L897">
        <v>115812.82</v>
      </c>
      <c r="M897">
        <v>484</v>
      </c>
      <c r="N897">
        <v>9.9599999999999994E-2</v>
      </c>
      <c r="O897">
        <v>0.31440000000000001</v>
      </c>
      <c r="P897">
        <v>1.0822000000000001</v>
      </c>
      <c r="Q897" t="s">
        <v>111</v>
      </c>
      <c r="R897">
        <v>2024</v>
      </c>
      <c r="S897" t="s">
        <v>82</v>
      </c>
    </row>
    <row r="898" spans="1:19" x14ac:dyDescent="0.3">
      <c r="A898" t="s">
        <v>973</v>
      </c>
      <c r="B898" s="2">
        <v>44857</v>
      </c>
      <c r="C898" t="s">
        <v>20</v>
      </c>
      <c r="D898" t="s">
        <v>21</v>
      </c>
      <c r="E898" t="s">
        <v>51</v>
      </c>
      <c r="F898" t="s">
        <v>23</v>
      </c>
      <c r="G898">
        <v>46286.080000000002</v>
      </c>
      <c r="H898">
        <v>37654.17</v>
      </c>
      <c r="I898">
        <v>8631.91</v>
      </c>
      <c r="J898">
        <v>51465.42</v>
      </c>
      <c r="K898">
        <v>10158.299999999999</v>
      </c>
      <c r="L898">
        <v>126222.04</v>
      </c>
      <c r="M898">
        <v>887</v>
      </c>
      <c r="N898">
        <v>-0.1191</v>
      </c>
      <c r="O898">
        <v>0.1865</v>
      </c>
      <c r="P898">
        <v>8.0500000000000002E-2</v>
      </c>
      <c r="Q898" t="s">
        <v>46</v>
      </c>
      <c r="R898">
        <v>2022</v>
      </c>
      <c r="S898" t="s">
        <v>25</v>
      </c>
    </row>
    <row r="899" spans="1:19" x14ac:dyDescent="0.3">
      <c r="A899" t="s">
        <v>974</v>
      </c>
      <c r="B899" s="1">
        <v>44905</v>
      </c>
      <c r="C899" t="s">
        <v>36</v>
      </c>
      <c r="D899" t="s">
        <v>37</v>
      </c>
      <c r="E899" t="s">
        <v>32</v>
      </c>
      <c r="F899" t="s">
        <v>33</v>
      </c>
      <c r="G899">
        <v>18633.66</v>
      </c>
      <c r="H899">
        <v>14149.06</v>
      </c>
      <c r="I899">
        <v>4484.6000000000004</v>
      </c>
      <c r="J899">
        <v>93561.67</v>
      </c>
      <c r="K899">
        <v>42687.34</v>
      </c>
      <c r="L899">
        <v>145952.26999999999</v>
      </c>
      <c r="M899">
        <v>962</v>
      </c>
      <c r="N899">
        <v>-1.9900000000000001E-2</v>
      </c>
      <c r="O899">
        <v>0.2407</v>
      </c>
      <c r="P899">
        <v>0.29249999999999998</v>
      </c>
      <c r="Q899" t="s">
        <v>46</v>
      </c>
      <c r="R899">
        <v>2022</v>
      </c>
      <c r="S899" t="s">
        <v>25</v>
      </c>
    </row>
    <row r="900" spans="1:19" x14ac:dyDescent="0.3">
      <c r="A900" t="s">
        <v>975</v>
      </c>
      <c r="B900" s="1">
        <v>44624</v>
      </c>
      <c r="C900" t="s">
        <v>61</v>
      </c>
      <c r="D900" t="s">
        <v>74</v>
      </c>
      <c r="E900" t="s">
        <v>144</v>
      </c>
      <c r="F900" t="s">
        <v>23</v>
      </c>
      <c r="G900">
        <v>28409.18</v>
      </c>
      <c r="H900">
        <v>17731.009999999998</v>
      </c>
      <c r="I900">
        <v>10678.17</v>
      </c>
      <c r="J900">
        <v>39652.019999999997</v>
      </c>
      <c r="K900">
        <v>50284.74</v>
      </c>
      <c r="L900">
        <v>137882.48000000001</v>
      </c>
      <c r="N900">
        <v>4.3799999999999999E-2</v>
      </c>
      <c r="O900">
        <v>0.37590000000000001</v>
      </c>
      <c r="P900">
        <v>0.36470000000000002</v>
      </c>
      <c r="Q900" t="s">
        <v>90</v>
      </c>
      <c r="R900">
        <v>2022</v>
      </c>
      <c r="S900" t="s">
        <v>40</v>
      </c>
    </row>
    <row r="901" spans="1:19" x14ac:dyDescent="0.3">
      <c r="A901" t="s">
        <v>976</v>
      </c>
      <c r="B901" s="1">
        <v>44638</v>
      </c>
      <c r="C901" t="s">
        <v>61</v>
      </c>
      <c r="D901" t="s">
        <v>74</v>
      </c>
      <c r="E901" t="s">
        <v>22</v>
      </c>
      <c r="F901" t="s">
        <v>23</v>
      </c>
      <c r="G901">
        <v>51399.07</v>
      </c>
      <c r="H901">
        <v>37275.67</v>
      </c>
      <c r="I901">
        <v>14123.4</v>
      </c>
      <c r="J901">
        <v>96344.01</v>
      </c>
      <c r="K901">
        <v>47343.42</v>
      </c>
      <c r="L901">
        <v>150014.99</v>
      </c>
      <c r="M901">
        <v>1018</v>
      </c>
      <c r="N901">
        <v>2.8999999999999998E-3</v>
      </c>
      <c r="O901">
        <v>0.27479999999999999</v>
      </c>
      <c r="P901">
        <v>0.31559999999999999</v>
      </c>
      <c r="Q901" t="s">
        <v>90</v>
      </c>
      <c r="R901">
        <v>2022</v>
      </c>
      <c r="S901" t="s">
        <v>40</v>
      </c>
    </row>
    <row r="902" spans="1:19" x14ac:dyDescent="0.3">
      <c r="A902" t="s">
        <v>977</v>
      </c>
      <c r="B902" s="1">
        <v>45391</v>
      </c>
      <c r="C902" t="s">
        <v>78</v>
      </c>
      <c r="D902" t="s">
        <v>79</v>
      </c>
      <c r="E902" t="s">
        <v>38</v>
      </c>
      <c r="F902" t="s">
        <v>23</v>
      </c>
      <c r="G902">
        <v>38180.04</v>
      </c>
      <c r="H902">
        <v>34256.400000000001</v>
      </c>
      <c r="I902">
        <v>3923.64</v>
      </c>
      <c r="J902">
        <v>152591.82999999999</v>
      </c>
      <c r="K902">
        <v>21573.89</v>
      </c>
      <c r="L902">
        <v>198239.46</v>
      </c>
      <c r="M902">
        <v>872</v>
      </c>
      <c r="N902">
        <v>-2.3599999999999999E-2</v>
      </c>
      <c r="O902">
        <v>0.1028</v>
      </c>
      <c r="P902">
        <v>0.10879999999999999</v>
      </c>
      <c r="Q902" t="s">
        <v>111</v>
      </c>
      <c r="R902">
        <v>2024</v>
      </c>
      <c r="S902" t="s">
        <v>25</v>
      </c>
    </row>
    <row r="903" spans="1:19" x14ac:dyDescent="0.3">
      <c r="A903" t="s">
        <v>978</v>
      </c>
      <c r="B903" s="1">
        <v>45426</v>
      </c>
      <c r="C903" t="s">
        <v>27</v>
      </c>
      <c r="D903" t="s">
        <v>28</v>
      </c>
      <c r="E903" t="s">
        <v>109</v>
      </c>
      <c r="F903" t="s">
        <v>23</v>
      </c>
      <c r="G903">
        <v>111323.1</v>
      </c>
      <c r="H903">
        <v>65010.98</v>
      </c>
      <c r="I903">
        <v>46312.12</v>
      </c>
      <c r="J903">
        <v>165691.23000000001</v>
      </c>
      <c r="K903">
        <v>15986.1</v>
      </c>
      <c r="L903">
        <v>212555.67</v>
      </c>
      <c r="M903">
        <v>2210</v>
      </c>
      <c r="N903">
        <v>-1.3100000000000001E-2</v>
      </c>
      <c r="O903">
        <v>0.41599999999999998</v>
      </c>
      <c r="P903">
        <v>7.5200000000000003E-2</v>
      </c>
      <c r="Q903" t="s">
        <v>111</v>
      </c>
      <c r="R903">
        <v>2024</v>
      </c>
      <c r="S903" t="s">
        <v>25</v>
      </c>
    </row>
    <row r="904" spans="1:19" x14ac:dyDescent="0.3">
      <c r="A904" t="s">
        <v>979</v>
      </c>
      <c r="B904" s="1">
        <v>45151</v>
      </c>
      <c r="C904" t="s">
        <v>20</v>
      </c>
      <c r="D904" t="s">
        <v>21</v>
      </c>
      <c r="E904" t="s">
        <v>22</v>
      </c>
      <c r="F904" t="s">
        <v>23</v>
      </c>
      <c r="G904">
        <v>38161.82</v>
      </c>
      <c r="H904">
        <v>25661.09</v>
      </c>
      <c r="I904">
        <v>12500.73</v>
      </c>
      <c r="J904">
        <v>18059.61</v>
      </c>
      <c r="K904">
        <v>28849.93</v>
      </c>
      <c r="L904">
        <v>34080</v>
      </c>
      <c r="M904">
        <v>1170</v>
      </c>
      <c r="N904">
        <v>-0.2029</v>
      </c>
      <c r="O904">
        <v>0.3276</v>
      </c>
      <c r="P904">
        <v>0.84650000000000003</v>
      </c>
      <c r="Q904" t="s">
        <v>56</v>
      </c>
      <c r="R904">
        <v>2023</v>
      </c>
      <c r="S904" t="s">
        <v>82</v>
      </c>
    </row>
    <row r="905" spans="1:19" x14ac:dyDescent="0.3">
      <c r="A905" t="s">
        <v>980</v>
      </c>
      <c r="B905" s="1">
        <v>45355</v>
      </c>
      <c r="C905" t="s">
        <v>61</v>
      </c>
      <c r="D905" t="s">
        <v>74</v>
      </c>
      <c r="E905" t="s">
        <v>32</v>
      </c>
      <c r="F905" t="s">
        <v>33</v>
      </c>
      <c r="G905">
        <v>46801.55</v>
      </c>
      <c r="H905">
        <v>31792.54</v>
      </c>
      <c r="I905">
        <v>15009.01</v>
      </c>
      <c r="J905">
        <v>22968.76</v>
      </c>
      <c r="K905">
        <v>53537.95</v>
      </c>
      <c r="L905">
        <v>132909.31</v>
      </c>
      <c r="M905">
        <v>533</v>
      </c>
      <c r="N905">
        <v>6.4399999999999999E-2</v>
      </c>
      <c r="O905">
        <v>0.32069999999999999</v>
      </c>
      <c r="P905">
        <v>0.40279999999999999</v>
      </c>
      <c r="Q905" t="s">
        <v>80</v>
      </c>
      <c r="R905">
        <v>2024</v>
      </c>
      <c r="S905" t="s">
        <v>40</v>
      </c>
    </row>
    <row r="906" spans="1:19" x14ac:dyDescent="0.3">
      <c r="A906" t="s">
        <v>981</v>
      </c>
      <c r="B906" s="1">
        <v>45651</v>
      </c>
      <c r="C906" t="s">
        <v>68</v>
      </c>
      <c r="D906" t="s">
        <v>69</v>
      </c>
      <c r="E906" t="s">
        <v>32</v>
      </c>
      <c r="F906" t="s">
        <v>33</v>
      </c>
      <c r="G906">
        <v>110150.23</v>
      </c>
      <c r="H906">
        <v>67819.679999999993</v>
      </c>
      <c r="I906">
        <v>42330.55</v>
      </c>
      <c r="J906">
        <v>93999.06</v>
      </c>
      <c r="K906">
        <v>11628.1</v>
      </c>
      <c r="L906">
        <v>117254.95</v>
      </c>
      <c r="M906">
        <v>1557</v>
      </c>
      <c r="N906">
        <v>2.8799999999999999E-2</v>
      </c>
      <c r="O906">
        <v>0.38429999999999997</v>
      </c>
      <c r="P906">
        <v>9.9199999999999997E-2</v>
      </c>
      <c r="Q906" t="s">
        <v>52</v>
      </c>
      <c r="R906">
        <v>2024</v>
      </c>
      <c r="S906" t="s">
        <v>25</v>
      </c>
    </row>
    <row r="907" spans="1:19" x14ac:dyDescent="0.3">
      <c r="A907" t="s">
        <v>982</v>
      </c>
      <c r="B907" s="1">
        <v>44760</v>
      </c>
      <c r="C907" t="s">
        <v>20</v>
      </c>
      <c r="D907" t="s">
        <v>21</v>
      </c>
      <c r="E907" t="s">
        <v>22</v>
      </c>
      <c r="F907" t="s">
        <v>23</v>
      </c>
      <c r="G907">
        <v>70167.66</v>
      </c>
      <c r="H907">
        <v>60145.31</v>
      </c>
      <c r="I907">
        <v>10022.35</v>
      </c>
      <c r="J907">
        <v>12663.3</v>
      </c>
      <c r="K907">
        <v>30130</v>
      </c>
      <c r="L907">
        <v>98178.04</v>
      </c>
      <c r="M907">
        <v>1520</v>
      </c>
      <c r="N907">
        <v>-0.11409999999999999</v>
      </c>
      <c r="O907">
        <v>0.14280000000000001</v>
      </c>
      <c r="P907">
        <v>0.30690000000000001</v>
      </c>
      <c r="Q907" t="s">
        <v>76</v>
      </c>
      <c r="R907">
        <v>2022</v>
      </c>
      <c r="S907" t="s">
        <v>40</v>
      </c>
    </row>
    <row r="908" spans="1:19" x14ac:dyDescent="0.3">
      <c r="A908" t="s">
        <v>983</v>
      </c>
      <c r="B908" s="1">
        <v>45474</v>
      </c>
      <c r="C908" t="s">
        <v>36</v>
      </c>
      <c r="D908" t="s">
        <v>37</v>
      </c>
      <c r="E908" t="s">
        <v>32</v>
      </c>
      <c r="F908" t="s">
        <v>33</v>
      </c>
      <c r="G908">
        <v>81496.44</v>
      </c>
      <c r="H908">
        <v>54616.93</v>
      </c>
      <c r="I908">
        <v>26879.51</v>
      </c>
      <c r="J908">
        <v>69007.13</v>
      </c>
      <c r="K908">
        <v>22786.7</v>
      </c>
      <c r="L908">
        <v>230301.63</v>
      </c>
      <c r="M908">
        <v>773</v>
      </c>
      <c r="N908">
        <v>-0.14069999999999999</v>
      </c>
      <c r="O908">
        <v>0.32979999999999998</v>
      </c>
      <c r="P908">
        <v>9.8900000000000002E-2</v>
      </c>
      <c r="Q908" t="s">
        <v>72</v>
      </c>
      <c r="R908">
        <v>2024</v>
      </c>
      <c r="S908" t="s">
        <v>25</v>
      </c>
    </row>
    <row r="909" spans="1:19" x14ac:dyDescent="0.3">
      <c r="A909" t="s">
        <v>984</v>
      </c>
      <c r="B909" s="1">
        <v>44575</v>
      </c>
      <c r="C909" t="s">
        <v>85</v>
      </c>
      <c r="D909" t="s">
        <v>86</v>
      </c>
      <c r="E909" t="s">
        <v>38</v>
      </c>
      <c r="F909" t="s">
        <v>23</v>
      </c>
      <c r="G909">
        <v>30605</v>
      </c>
      <c r="H909">
        <v>21063.81</v>
      </c>
      <c r="I909">
        <v>9541.19</v>
      </c>
      <c r="J909">
        <v>23389.09</v>
      </c>
      <c r="K909">
        <v>12091.78</v>
      </c>
      <c r="L909">
        <v>64056.18</v>
      </c>
      <c r="M909">
        <v>709</v>
      </c>
      <c r="N909">
        <v>0.1905</v>
      </c>
      <c r="O909">
        <v>0.31180000000000002</v>
      </c>
      <c r="P909">
        <v>0.1888</v>
      </c>
      <c r="Q909" t="s">
        <v>90</v>
      </c>
      <c r="R909">
        <v>2022</v>
      </c>
      <c r="S909" t="s">
        <v>25</v>
      </c>
    </row>
    <row r="910" spans="1:19" x14ac:dyDescent="0.3">
      <c r="A910" t="s">
        <v>985</v>
      </c>
      <c r="B910" s="1">
        <v>45668</v>
      </c>
      <c r="C910" t="s">
        <v>78</v>
      </c>
      <c r="D910" t="s">
        <v>79</v>
      </c>
      <c r="E910" t="s">
        <v>51</v>
      </c>
      <c r="F910" t="s">
        <v>23</v>
      </c>
      <c r="G910">
        <v>120855.52</v>
      </c>
      <c r="H910">
        <v>106092.7</v>
      </c>
      <c r="I910">
        <v>14762.82</v>
      </c>
      <c r="J910">
        <v>56852.3</v>
      </c>
      <c r="K910">
        <v>34337.74</v>
      </c>
      <c r="L910">
        <v>124526.79</v>
      </c>
      <c r="M910">
        <v>914</v>
      </c>
      <c r="N910">
        <v>-0.1469</v>
      </c>
      <c r="O910">
        <v>0.1222</v>
      </c>
      <c r="P910">
        <v>0.2757</v>
      </c>
      <c r="Q910" t="s">
        <v>106</v>
      </c>
      <c r="R910">
        <v>2025</v>
      </c>
      <c r="S910" t="s">
        <v>25</v>
      </c>
    </row>
    <row r="911" spans="1:19" x14ac:dyDescent="0.3">
      <c r="A911" t="s">
        <v>986</v>
      </c>
      <c r="B911" s="1">
        <v>45129</v>
      </c>
      <c r="C911" t="s">
        <v>54</v>
      </c>
      <c r="D911" t="s">
        <v>55</v>
      </c>
      <c r="E911" t="s">
        <v>32</v>
      </c>
      <c r="F911" t="s">
        <v>33</v>
      </c>
      <c r="G911">
        <v>57530.31</v>
      </c>
      <c r="H911">
        <v>37180.589999999997</v>
      </c>
      <c r="I911">
        <v>20349.72</v>
      </c>
      <c r="J911">
        <v>27772.16</v>
      </c>
      <c r="K911">
        <v>15501.79</v>
      </c>
      <c r="L911">
        <v>112802.86</v>
      </c>
      <c r="M911">
        <v>1619</v>
      </c>
      <c r="N911">
        <v>9.7799999999999998E-2</v>
      </c>
      <c r="O911">
        <v>0.35370000000000001</v>
      </c>
      <c r="P911">
        <v>0.13739999999999999</v>
      </c>
      <c r="Q911" t="s">
        <v>56</v>
      </c>
      <c r="R911">
        <v>2023</v>
      </c>
      <c r="S911" t="s">
        <v>25</v>
      </c>
    </row>
    <row r="912" spans="1:19" x14ac:dyDescent="0.3">
      <c r="A912" t="s">
        <v>987</v>
      </c>
      <c r="B912" s="1">
        <v>45484</v>
      </c>
      <c r="C912" t="s">
        <v>78</v>
      </c>
      <c r="D912" t="s">
        <v>79</v>
      </c>
      <c r="E912" t="s">
        <v>32</v>
      </c>
      <c r="F912" t="s">
        <v>33</v>
      </c>
      <c r="G912">
        <v>32313.25</v>
      </c>
      <c r="H912">
        <v>28456.66</v>
      </c>
      <c r="I912">
        <v>3856.59</v>
      </c>
      <c r="J912">
        <v>81019.259999999995</v>
      </c>
      <c r="K912">
        <v>40955.69</v>
      </c>
      <c r="L912">
        <v>97178.07</v>
      </c>
      <c r="M912">
        <v>755</v>
      </c>
      <c r="N912">
        <v>-2.76E-2</v>
      </c>
      <c r="O912">
        <v>0.11940000000000001</v>
      </c>
      <c r="P912">
        <v>0.4214</v>
      </c>
      <c r="Q912" t="s">
        <v>72</v>
      </c>
      <c r="R912">
        <v>2024</v>
      </c>
      <c r="S912" t="s">
        <v>40</v>
      </c>
    </row>
    <row r="913" spans="1:19" x14ac:dyDescent="0.3">
      <c r="A913" t="s">
        <v>988</v>
      </c>
      <c r="B913" s="1">
        <v>45116</v>
      </c>
      <c r="C913" t="s">
        <v>61</v>
      </c>
      <c r="D913" t="s">
        <v>74</v>
      </c>
      <c r="E913" t="s">
        <v>22</v>
      </c>
      <c r="F913" t="s">
        <v>23</v>
      </c>
      <c r="G913">
        <v>30718.02</v>
      </c>
      <c r="H913">
        <v>16905.63</v>
      </c>
      <c r="I913">
        <v>13812.39</v>
      </c>
      <c r="J913">
        <v>49821.84</v>
      </c>
      <c r="K913">
        <v>23395.09</v>
      </c>
      <c r="L913">
        <v>215885.43</v>
      </c>
      <c r="M913">
        <v>824</v>
      </c>
      <c r="N913">
        <v>7.3700000000000002E-2</v>
      </c>
      <c r="O913">
        <v>0.44969999999999999</v>
      </c>
      <c r="P913">
        <v>0.1084</v>
      </c>
      <c r="Q913" t="s">
        <v>56</v>
      </c>
      <c r="R913">
        <v>2023</v>
      </c>
      <c r="S913" t="s">
        <v>25</v>
      </c>
    </row>
    <row r="914" spans="1:19" x14ac:dyDescent="0.3">
      <c r="A914" t="s">
        <v>989</v>
      </c>
      <c r="B914" s="1">
        <v>45963</v>
      </c>
      <c r="C914" t="s">
        <v>102</v>
      </c>
      <c r="D914" t="s">
        <v>103</v>
      </c>
      <c r="E914" t="s">
        <v>38</v>
      </c>
      <c r="F914" t="s">
        <v>23</v>
      </c>
      <c r="G914">
        <v>193309.51</v>
      </c>
      <c r="H914">
        <v>143997.12</v>
      </c>
      <c r="I914">
        <v>49312.39</v>
      </c>
      <c r="J914">
        <v>26923.7</v>
      </c>
      <c r="K914">
        <v>10925.53</v>
      </c>
      <c r="L914">
        <v>58486.73</v>
      </c>
      <c r="M914">
        <v>934</v>
      </c>
      <c r="N914">
        <v>-2.69E-2</v>
      </c>
      <c r="O914">
        <v>0.25509999999999999</v>
      </c>
      <c r="P914">
        <v>0.18679999999999999</v>
      </c>
      <c r="Q914" t="s">
        <v>66</v>
      </c>
      <c r="R914">
        <v>2025</v>
      </c>
      <c r="S914" t="s">
        <v>25</v>
      </c>
    </row>
    <row r="915" spans="1:19" x14ac:dyDescent="0.3">
      <c r="A915" t="s">
        <v>990</v>
      </c>
      <c r="B915" s="1">
        <v>45758</v>
      </c>
      <c r="C915" t="s">
        <v>102</v>
      </c>
      <c r="D915" t="s">
        <v>103</v>
      </c>
      <c r="E915" t="s">
        <v>22</v>
      </c>
      <c r="F915" t="s">
        <v>23</v>
      </c>
      <c r="G915">
        <v>171890.43</v>
      </c>
      <c r="H915">
        <v>142376.38</v>
      </c>
      <c r="I915">
        <v>29514.05</v>
      </c>
      <c r="J915">
        <v>71775.179999999993</v>
      </c>
      <c r="K915">
        <v>58727.22</v>
      </c>
      <c r="L915">
        <v>132048.41</v>
      </c>
      <c r="M915">
        <v>474</v>
      </c>
      <c r="N915">
        <v>8.3299999999999999E-2</v>
      </c>
      <c r="O915">
        <v>0.17169999999999999</v>
      </c>
      <c r="P915">
        <v>0.44469999999999998</v>
      </c>
      <c r="Q915" t="s">
        <v>34</v>
      </c>
      <c r="R915">
        <v>2025</v>
      </c>
      <c r="S915" t="s">
        <v>40</v>
      </c>
    </row>
    <row r="916" spans="1:19" x14ac:dyDescent="0.3">
      <c r="A916" t="s">
        <v>991</v>
      </c>
      <c r="B916" s="1">
        <v>45304</v>
      </c>
      <c r="C916" t="s">
        <v>85</v>
      </c>
      <c r="D916" t="s">
        <v>86</v>
      </c>
      <c r="E916" t="s">
        <v>38</v>
      </c>
      <c r="F916" t="s">
        <v>23</v>
      </c>
      <c r="G916">
        <v>61344.36</v>
      </c>
      <c r="H916">
        <v>35029.53</v>
      </c>
      <c r="I916">
        <v>26314.83</v>
      </c>
      <c r="J916">
        <v>12421.12</v>
      </c>
      <c r="K916">
        <v>28224.07</v>
      </c>
      <c r="L916">
        <v>88774.92</v>
      </c>
      <c r="M916">
        <v>2181</v>
      </c>
      <c r="N916">
        <v>6.4100000000000004E-2</v>
      </c>
      <c r="O916">
        <v>0.42899999999999999</v>
      </c>
      <c r="P916">
        <v>0.31790000000000002</v>
      </c>
      <c r="Q916" t="s">
        <v>80</v>
      </c>
      <c r="R916">
        <v>2024</v>
      </c>
      <c r="S916" t="s">
        <v>40</v>
      </c>
    </row>
    <row r="917" spans="1:19" x14ac:dyDescent="0.3">
      <c r="A917" t="s">
        <v>992</v>
      </c>
      <c r="B917" s="1">
        <v>45535</v>
      </c>
      <c r="C917" t="s">
        <v>85</v>
      </c>
      <c r="D917" t="s">
        <v>86</v>
      </c>
      <c r="E917" t="s">
        <v>22</v>
      </c>
      <c r="F917" t="s">
        <v>23</v>
      </c>
      <c r="G917">
        <v>49207.57</v>
      </c>
      <c r="H917">
        <v>29027.87</v>
      </c>
      <c r="I917">
        <v>20179.7</v>
      </c>
      <c r="J917">
        <v>36874.639999999999</v>
      </c>
      <c r="K917">
        <v>9238.67</v>
      </c>
      <c r="L917">
        <v>170517.29</v>
      </c>
      <c r="M917">
        <v>824</v>
      </c>
      <c r="N917">
        <v>-0.15279999999999999</v>
      </c>
      <c r="O917">
        <v>0.41010000000000002</v>
      </c>
      <c r="P917">
        <v>5.4199999999999998E-2</v>
      </c>
      <c r="Q917" t="s">
        <v>72</v>
      </c>
      <c r="R917">
        <v>2024</v>
      </c>
      <c r="S917" t="s">
        <v>25</v>
      </c>
    </row>
    <row r="918" spans="1:19" x14ac:dyDescent="0.3">
      <c r="A918" t="s">
        <v>993</v>
      </c>
      <c r="B918" s="1">
        <v>45682</v>
      </c>
      <c r="C918" t="s">
        <v>54</v>
      </c>
      <c r="D918" t="s">
        <v>62</v>
      </c>
      <c r="E918" t="s">
        <v>22</v>
      </c>
      <c r="F918" t="s">
        <v>23</v>
      </c>
      <c r="G918">
        <v>26312.14</v>
      </c>
      <c r="H918">
        <v>17417.560000000001</v>
      </c>
      <c r="I918">
        <v>8894.58</v>
      </c>
      <c r="J918">
        <v>22178.83</v>
      </c>
      <c r="K918">
        <v>32626.02</v>
      </c>
      <c r="L918">
        <v>38553.5</v>
      </c>
      <c r="M918">
        <v>799</v>
      </c>
      <c r="N918">
        <v>0.19500000000000001</v>
      </c>
      <c r="O918">
        <v>0.33800000000000002</v>
      </c>
      <c r="P918">
        <v>0.84630000000000005</v>
      </c>
      <c r="Q918" t="s">
        <v>106</v>
      </c>
      <c r="R918">
        <v>2025</v>
      </c>
      <c r="S918" t="s">
        <v>82</v>
      </c>
    </row>
    <row r="919" spans="1:19" x14ac:dyDescent="0.3">
      <c r="A919" t="s">
        <v>994</v>
      </c>
      <c r="B919" s="1">
        <v>45255</v>
      </c>
      <c r="C919" t="s">
        <v>20</v>
      </c>
      <c r="D919" t="s">
        <v>21</v>
      </c>
      <c r="E919" t="s">
        <v>38</v>
      </c>
      <c r="F919" t="s">
        <v>23</v>
      </c>
      <c r="G919">
        <v>18400.25</v>
      </c>
      <c r="H919">
        <v>13807.37</v>
      </c>
      <c r="I919">
        <v>4592.88</v>
      </c>
      <c r="J919">
        <v>27900.23</v>
      </c>
      <c r="K919">
        <v>64702.66</v>
      </c>
      <c r="L919">
        <v>204412.82</v>
      </c>
      <c r="M919">
        <v>2588</v>
      </c>
      <c r="N919">
        <v>-0.1081</v>
      </c>
      <c r="O919">
        <v>0.24959999999999999</v>
      </c>
      <c r="P919">
        <v>0.3165</v>
      </c>
      <c r="Q919" t="s">
        <v>44</v>
      </c>
      <c r="R919">
        <v>2023</v>
      </c>
      <c r="S919" t="s">
        <v>40</v>
      </c>
    </row>
    <row r="920" spans="1:19" x14ac:dyDescent="0.3">
      <c r="A920" t="s">
        <v>995</v>
      </c>
      <c r="B920" s="1">
        <v>44639</v>
      </c>
      <c r="C920" t="s">
        <v>20</v>
      </c>
      <c r="D920" t="s">
        <v>21</v>
      </c>
      <c r="E920" t="s">
        <v>38</v>
      </c>
      <c r="F920" t="s">
        <v>23</v>
      </c>
      <c r="G920">
        <v>123575.73</v>
      </c>
      <c r="H920">
        <v>102122.14</v>
      </c>
      <c r="I920">
        <v>21453.59</v>
      </c>
      <c r="J920">
        <v>14365.93</v>
      </c>
      <c r="K920">
        <v>63816.92</v>
      </c>
      <c r="L920">
        <v>182517.41</v>
      </c>
      <c r="M920">
        <v>983</v>
      </c>
      <c r="N920">
        <v>-5.8999999999999999E-3</v>
      </c>
      <c r="O920">
        <v>0.1736</v>
      </c>
      <c r="P920">
        <v>0.34960000000000002</v>
      </c>
      <c r="Q920" t="s">
        <v>90</v>
      </c>
      <c r="R920">
        <v>2022</v>
      </c>
      <c r="S920" t="s">
        <v>40</v>
      </c>
    </row>
    <row r="921" spans="1:19" x14ac:dyDescent="0.3">
      <c r="A921" t="s">
        <v>996</v>
      </c>
      <c r="B921" s="1">
        <v>45613</v>
      </c>
      <c r="C921" t="s">
        <v>102</v>
      </c>
      <c r="D921" t="s">
        <v>103</v>
      </c>
      <c r="E921" t="s">
        <v>22</v>
      </c>
      <c r="F921" t="s">
        <v>23</v>
      </c>
      <c r="G921">
        <v>30052.01</v>
      </c>
      <c r="H921">
        <v>17724.61</v>
      </c>
      <c r="I921">
        <v>12327.4</v>
      </c>
      <c r="J921">
        <v>26670.84</v>
      </c>
      <c r="K921">
        <v>11823.66</v>
      </c>
      <c r="L921">
        <v>79641.570000000007</v>
      </c>
      <c r="M921">
        <v>2567</v>
      </c>
      <c r="N921">
        <v>-8.9999999999999993E-3</v>
      </c>
      <c r="O921">
        <v>0.41020000000000001</v>
      </c>
      <c r="P921">
        <v>0.14849999999999999</v>
      </c>
      <c r="Q921" t="s">
        <v>52</v>
      </c>
      <c r="R921">
        <v>2024</v>
      </c>
      <c r="S921" t="s">
        <v>25</v>
      </c>
    </row>
    <row r="922" spans="1:19" x14ac:dyDescent="0.3">
      <c r="A922" t="s">
        <v>997</v>
      </c>
      <c r="B922" s="1">
        <v>45001</v>
      </c>
      <c r="C922" t="s">
        <v>102</v>
      </c>
      <c r="D922" t="s">
        <v>103</v>
      </c>
      <c r="E922" t="s">
        <v>22</v>
      </c>
      <c r="F922" t="s">
        <v>23</v>
      </c>
      <c r="G922">
        <v>64996.49</v>
      </c>
      <c r="H922">
        <v>42673.58</v>
      </c>
      <c r="I922">
        <v>22322.91</v>
      </c>
      <c r="J922">
        <v>24668.61</v>
      </c>
      <c r="K922">
        <v>16202.43</v>
      </c>
      <c r="L922">
        <v>76515.69</v>
      </c>
      <c r="M922">
        <v>956</v>
      </c>
      <c r="N922">
        <v>2.0899999999999998E-2</v>
      </c>
      <c r="O922">
        <v>0.34339999999999998</v>
      </c>
      <c r="P922">
        <v>0.21179999999999999</v>
      </c>
      <c r="Q922" t="s">
        <v>118</v>
      </c>
      <c r="R922">
        <v>2023</v>
      </c>
      <c r="S922" t="s">
        <v>25</v>
      </c>
    </row>
    <row r="923" spans="1:19" x14ac:dyDescent="0.3">
      <c r="A923" t="s">
        <v>998</v>
      </c>
      <c r="B923" s="1">
        <v>44614</v>
      </c>
      <c r="C923" t="s">
        <v>27</v>
      </c>
      <c r="D923" t="s">
        <v>28</v>
      </c>
      <c r="E923" t="s">
        <v>109</v>
      </c>
      <c r="F923" t="s">
        <v>23</v>
      </c>
      <c r="G923">
        <v>67926.69</v>
      </c>
      <c r="H923">
        <v>57354.94</v>
      </c>
      <c r="I923">
        <v>10571.75</v>
      </c>
      <c r="J923">
        <v>31599.72</v>
      </c>
      <c r="K923">
        <v>8491.99</v>
      </c>
      <c r="L923">
        <v>74600.81</v>
      </c>
      <c r="M923">
        <v>1032</v>
      </c>
      <c r="N923">
        <v>-5.5999999999999999E-3</v>
      </c>
      <c r="O923">
        <v>0.15559999999999999</v>
      </c>
      <c r="P923">
        <v>0.1138</v>
      </c>
      <c r="Q923" t="s">
        <v>90</v>
      </c>
      <c r="R923">
        <v>2022</v>
      </c>
      <c r="S923" t="s">
        <v>25</v>
      </c>
    </row>
    <row r="924" spans="1:19" x14ac:dyDescent="0.3">
      <c r="A924" t="s">
        <v>999</v>
      </c>
      <c r="B924" s="1">
        <v>45121</v>
      </c>
      <c r="C924" t="s">
        <v>78</v>
      </c>
      <c r="D924" t="s">
        <v>79</v>
      </c>
      <c r="E924" t="s">
        <v>32</v>
      </c>
      <c r="F924" t="s">
        <v>33</v>
      </c>
      <c r="G924">
        <v>52007.45</v>
      </c>
      <c r="H924">
        <v>41582.04</v>
      </c>
      <c r="I924">
        <v>10425.41</v>
      </c>
      <c r="J924">
        <v>33349.72</v>
      </c>
      <c r="K924">
        <v>10124.209999999999</v>
      </c>
      <c r="L924">
        <v>45401.01</v>
      </c>
      <c r="M924">
        <v>854</v>
      </c>
      <c r="N924">
        <v>8.9800000000000005E-2</v>
      </c>
      <c r="O924">
        <v>0.20050000000000001</v>
      </c>
      <c r="P924">
        <v>0.223</v>
      </c>
      <c r="Q924" t="s">
        <v>56</v>
      </c>
      <c r="R924">
        <v>2023</v>
      </c>
      <c r="S924" t="s">
        <v>25</v>
      </c>
    </row>
    <row r="925" spans="1:19" x14ac:dyDescent="0.3">
      <c r="A925" t="s">
        <v>1000</v>
      </c>
      <c r="B925" s="1">
        <v>44759</v>
      </c>
      <c r="C925" t="s">
        <v>30</v>
      </c>
      <c r="D925" t="s">
        <v>31</v>
      </c>
      <c r="E925" t="s">
        <v>38</v>
      </c>
      <c r="F925" t="s">
        <v>23</v>
      </c>
      <c r="G925">
        <v>147817.51999999999</v>
      </c>
      <c r="H925">
        <v>110950.48</v>
      </c>
      <c r="I925">
        <v>36867.040000000001</v>
      </c>
      <c r="J925">
        <v>28029.24</v>
      </c>
      <c r="K925">
        <v>20954.38</v>
      </c>
      <c r="L925">
        <v>282833.83</v>
      </c>
      <c r="M925">
        <v>400</v>
      </c>
      <c r="N925">
        <v>-0.14130000000000001</v>
      </c>
      <c r="O925">
        <v>0.24940000000000001</v>
      </c>
      <c r="P925">
        <v>7.4099999999999999E-2</v>
      </c>
      <c r="Q925" t="s">
        <v>76</v>
      </c>
      <c r="R925">
        <v>2022</v>
      </c>
      <c r="S925" t="s">
        <v>25</v>
      </c>
    </row>
    <row r="926" spans="1:19" x14ac:dyDescent="0.3">
      <c r="A926" t="s">
        <v>1001</v>
      </c>
      <c r="B926" s="1">
        <v>44696</v>
      </c>
      <c r="C926" t="s">
        <v>20</v>
      </c>
      <c r="D926" t="s">
        <v>21</v>
      </c>
      <c r="E926" t="s">
        <v>32</v>
      </c>
      <c r="F926" t="s">
        <v>33</v>
      </c>
      <c r="G926">
        <v>59548.39</v>
      </c>
      <c r="H926">
        <v>36001.99</v>
      </c>
      <c r="I926">
        <v>23546.400000000001</v>
      </c>
      <c r="J926">
        <v>55181.22</v>
      </c>
      <c r="K926">
        <v>9592.5499999999993</v>
      </c>
      <c r="L926">
        <v>102338.77</v>
      </c>
      <c r="M926">
        <v>904</v>
      </c>
      <c r="N926">
        <v>-2.12E-2</v>
      </c>
      <c r="O926">
        <v>0.39539999999999997</v>
      </c>
      <c r="P926">
        <v>9.3700000000000006E-2</v>
      </c>
      <c r="Q926" t="s">
        <v>58</v>
      </c>
      <c r="R926">
        <v>2022</v>
      </c>
      <c r="S926" t="s">
        <v>25</v>
      </c>
    </row>
    <row r="927" spans="1:19" x14ac:dyDescent="0.3">
      <c r="A927" t="s">
        <v>1002</v>
      </c>
      <c r="B927" s="1">
        <v>45377</v>
      </c>
      <c r="C927" t="s">
        <v>68</v>
      </c>
      <c r="D927" t="s">
        <v>69</v>
      </c>
      <c r="E927" t="s">
        <v>22</v>
      </c>
      <c r="F927" t="s">
        <v>23</v>
      </c>
      <c r="G927">
        <v>215070.61</v>
      </c>
      <c r="H927">
        <v>196735.52</v>
      </c>
      <c r="I927">
        <v>18335.09</v>
      </c>
      <c r="J927">
        <v>27273.14</v>
      </c>
      <c r="K927">
        <v>10501.46</v>
      </c>
      <c r="L927">
        <v>133983.74</v>
      </c>
      <c r="M927">
        <v>1236</v>
      </c>
      <c r="N927">
        <v>0.12790000000000001</v>
      </c>
      <c r="O927">
        <v>8.5300000000000001E-2</v>
      </c>
      <c r="P927">
        <v>7.8399999999999997E-2</v>
      </c>
      <c r="Q927" t="s">
        <v>80</v>
      </c>
      <c r="R927">
        <v>2024</v>
      </c>
      <c r="S927" t="s">
        <v>25</v>
      </c>
    </row>
    <row r="928" spans="1:19" x14ac:dyDescent="0.3">
      <c r="A928" t="s">
        <v>1003</v>
      </c>
      <c r="B928" s="1">
        <v>45947</v>
      </c>
      <c r="C928" t="s">
        <v>102</v>
      </c>
      <c r="D928" t="s">
        <v>103</v>
      </c>
      <c r="E928" t="s">
        <v>38</v>
      </c>
      <c r="F928" t="s">
        <v>23</v>
      </c>
      <c r="G928">
        <v>101941.73</v>
      </c>
      <c r="H928">
        <v>83334.649999999994</v>
      </c>
      <c r="I928">
        <v>18607.080000000002</v>
      </c>
      <c r="J928">
        <v>31063.52</v>
      </c>
      <c r="K928">
        <v>77678.89</v>
      </c>
      <c r="L928">
        <v>143406.71</v>
      </c>
      <c r="M928">
        <v>1297</v>
      </c>
      <c r="N928">
        <v>-0.24690000000000001</v>
      </c>
      <c r="O928">
        <v>0.1825</v>
      </c>
      <c r="P928">
        <v>0.54169999999999996</v>
      </c>
      <c r="Q928" t="s">
        <v>66</v>
      </c>
      <c r="R928">
        <v>2025</v>
      </c>
      <c r="S928" t="s">
        <v>40</v>
      </c>
    </row>
    <row r="929" spans="1:19" x14ac:dyDescent="0.3">
      <c r="A929" t="s">
        <v>1004</v>
      </c>
      <c r="B929" s="1">
        <v>44633</v>
      </c>
      <c r="C929" t="s">
        <v>48</v>
      </c>
      <c r="D929" t="s">
        <v>49</v>
      </c>
      <c r="E929" t="s">
        <v>38</v>
      </c>
      <c r="F929" t="s">
        <v>23</v>
      </c>
      <c r="G929">
        <v>31995.200000000001</v>
      </c>
      <c r="H929">
        <v>25947.82</v>
      </c>
      <c r="I929">
        <v>6047.38</v>
      </c>
      <c r="J929">
        <v>33062.03</v>
      </c>
      <c r="K929">
        <v>11820.9</v>
      </c>
      <c r="L929">
        <v>61619.6</v>
      </c>
      <c r="M929">
        <v>1119</v>
      </c>
      <c r="N929">
        <v>-1.5599999999999999E-2</v>
      </c>
      <c r="O929">
        <v>0.189</v>
      </c>
      <c r="P929">
        <v>0.1918</v>
      </c>
      <c r="Q929" t="s">
        <v>90</v>
      </c>
      <c r="R929">
        <v>2022</v>
      </c>
      <c r="S929" t="s">
        <v>25</v>
      </c>
    </row>
    <row r="930" spans="1:19" x14ac:dyDescent="0.3">
      <c r="A930" t="s">
        <v>1005</v>
      </c>
      <c r="B930" s="1">
        <v>44563</v>
      </c>
      <c r="C930" t="s">
        <v>102</v>
      </c>
      <c r="D930" t="s">
        <v>103</v>
      </c>
      <c r="E930" t="s">
        <v>38</v>
      </c>
      <c r="F930" t="s">
        <v>23</v>
      </c>
      <c r="G930">
        <v>135385.66</v>
      </c>
      <c r="H930">
        <v>84167.02</v>
      </c>
      <c r="I930">
        <v>51218.64</v>
      </c>
      <c r="J930">
        <v>52695.56</v>
      </c>
      <c r="K930">
        <v>28929.95</v>
      </c>
      <c r="L930">
        <v>69202.429999999993</v>
      </c>
      <c r="M930">
        <v>1323</v>
      </c>
      <c r="N930">
        <v>-2.0400000000000001E-2</v>
      </c>
      <c r="O930">
        <v>0.37830000000000003</v>
      </c>
      <c r="P930">
        <v>0.41799999999999998</v>
      </c>
      <c r="Q930" t="s">
        <v>90</v>
      </c>
      <c r="R930">
        <v>2022</v>
      </c>
      <c r="S930" t="s">
        <v>40</v>
      </c>
    </row>
    <row r="931" spans="1:19" x14ac:dyDescent="0.3">
      <c r="A931" t="s">
        <v>1006</v>
      </c>
      <c r="B931" s="1">
        <v>45005</v>
      </c>
      <c r="C931" t="s">
        <v>54</v>
      </c>
      <c r="D931" t="s">
        <v>55</v>
      </c>
      <c r="E931" t="s">
        <v>32</v>
      </c>
      <c r="F931" t="s">
        <v>33</v>
      </c>
      <c r="G931">
        <v>186379.61</v>
      </c>
      <c r="H931">
        <v>125450.06</v>
      </c>
      <c r="I931">
        <v>60929.55</v>
      </c>
      <c r="J931">
        <v>44241.95</v>
      </c>
      <c r="K931">
        <v>17621.36</v>
      </c>
      <c r="L931">
        <v>151521.9</v>
      </c>
      <c r="M931">
        <v>465</v>
      </c>
      <c r="N931">
        <v>2.76E-2</v>
      </c>
      <c r="O931">
        <v>0.32690000000000002</v>
      </c>
      <c r="P931">
        <v>0.1163</v>
      </c>
      <c r="Q931" t="s">
        <v>118</v>
      </c>
      <c r="R931">
        <v>2023</v>
      </c>
      <c r="S931" t="s">
        <v>25</v>
      </c>
    </row>
    <row r="932" spans="1:19" x14ac:dyDescent="0.3">
      <c r="A932" t="s">
        <v>1007</v>
      </c>
      <c r="B932" s="1">
        <v>45220</v>
      </c>
      <c r="C932" t="s">
        <v>36</v>
      </c>
      <c r="D932" t="s">
        <v>37</v>
      </c>
      <c r="E932" t="s">
        <v>38</v>
      </c>
      <c r="F932" t="s">
        <v>23</v>
      </c>
      <c r="G932">
        <v>97365.78</v>
      </c>
      <c r="H932">
        <v>89006.06</v>
      </c>
      <c r="I932">
        <v>8359.7199999999993</v>
      </c>
      <c r="J932">
        <v>22818.39</v>
      </c>
      <c r="K932">
        <v>45630.73</v>
      </c>
      <c r="L932">
        <v>76427.8</v>
      </c>
      <c r="M932">
        <v>910</v>
      </c>
      <c r="N932">
        <v>-3.0999999999999999E-3</v>
      </c>
      <c r="O932">
        <v>8.5900000000000004E-2</v>
      </c>
      <c r="P932">
        <v>0.59699999999999998</v>
      </c>
      <c r="Q932" t="s">
        <v>44</v>
      </c>
      <c r="R932">
        <v>2023</v>
      </c>
      <c r="S932" t="s">
        <v>40</v>
      </c>
    </row>
    <row r="933" spans="1:19" x14ac:dyDescent="0.3">
      <c r="A933" t="s">
        <v>1008</v>
      </c>
      <c r="B933" s="1">
        <v>45320</v>
      </c>
      <c r="C933" t="s">
        <v>85</v>
      </c>
      <c r="D933" t="s">
        <v>86</v>
      </c>
      <c r="E933" t="s">
        <v>38</v>
      </c>
      <c r="F933" t="s">
        <v>23</v>
      </c>
      <c r="G933">
        <v>85969.18</v>
      </c>
      <c r="H933">
        <v>68916.38</v>
      </c>
      <c r="I933">
        <v>17052.8</v>
      </c>
      <c r="J933">
        <v>22044.6</v>
      </c>
      <c r="K933">
        <v>38117.82</v>
      </c>
      <c r="L933">
        <v>89881.66</v>
      </c>
      <c r="M933">
        <v>305</v>
      </c>
      <c r="N933">
        <v>-4.0899999999999999E-2</v>
      </c>
      <c r="O933">
        <v>0.19839999999999999</v>
      </c>
      <c r="P933">
        <v>0.42409999999999998</v>
      </c>
      <c r="Q933" t="s">
        <v>80</v>
      </c>
      <c r="R933">
        <v>2024</v>
      </c>
      <c r="S933" t="s">
        <v>40</v>
      </c>
    </row>
    <row r="934" spans="1:19" x14ac:dyDescent="0.3">
      <c r="A934" t="s">
        <v>1009</v>
      </c>
      <c r="B934" s="1">
        <v>45167</v>
      </c>
      <c r="C934" t="s">
        <v>61</v>
      </c>
      <c r="D934" t="s">
        <v>74</v>
      </c>
      <c r="E934" t="s">
        <v>32</v>
      </c>
      <c r="F934" t="s">
        <v>33</v>
      </c>
      <c r="G934">
        <v>34464.32</v>
      </c>
      <c r="H934">
        <v>31442.720000000001</v>
      </c>
      <c r="I934">
        <v>3021.6</v>
      </c>
      <c r="J934">
        <v>8212.51</v>
      </c>
      <c r="K934">
        <v>172579.55</v>
      </c>
      <c r="L934">
        <v>53541.75</v>
      </c>
      <c r="M934">
        <v>733</v>
      </c>
      <c r="N934">
        <v>8.9700000000000002E-2</v>
      </c>
      <c r="O934">
        <v>8.77E-2</v>
      </c>
      <c r="P934">
        <v>3.2233000000000001</v>
      </c>
      <c r="Q934" t="s">
        <v>56</v>
      </c>
      <c r="R934">
        <v>2023</v>
      </c>
      <c r="S934" t="s">
        <v>82</v>
      </c>
    </row>
    <row r="935" spans="1:19" x14ac:dyDescent="0.3">
      <c r="A935" t="s">
        <v>1010</v>
      </c>
      <c r="B935" s="1">
        <v>45131</v>
      </c>
      <c r="C935" t="s">
        <v>36</v>
      </c>
      <c r="D935" t="s">
        <v>37</v>
      </c>
      <c r="E935" t="s">
        <v>32</v>
      </c>
      <c r="F935" t="s">
        <v>33</v>
      </c>
      <c r="G935">
        <v>112588.73</v>
      </c>
      <c r="H935">
        <v>96455.22</v>
      </c>
      <c r="I935">
        <v>16133.51</v>
      </c>
      <c r="J935">
        <v>28658.43</v>
      </c>
      <c r="K935">
        <v>13212.42</v>
      </c>
      <c r="L935">
        <v>81772.05</v>
      </c>
      <c r="M935">
        <v>568</v>
      </c>
      <c r="N935">
        <v>3.5400000000000001E-2</v>
      </c>
      <c r="O935">
        <v>0.14330000000000001</v>
      </c>
      <c r="P935">
        <v>0.16159999999999999</v>
      </c>
      <c r="Q935" t="s">
        <v>56</v>
      </c>
      <c r="R935">
        <v>2023</v>
      </c>
      <c r="S935" t="s">
        <v>25</v>
      </c>
    </row>
    <row r="936" spans="1:19" x14ac:dyDescent="0.3">
      <c r="A936" t="s">
        <v>1011</v>
      </c>
      <c r="B936" s="1">
        <v>45852</v>
      </c>
      <c r="C936" t="s">
        <v>54</v>
      </c>
      <c r="D936" t="s">
        <v>55</v>
      </c>
      <c r="E936" t="s">
        <v>22</v>
      </c>
      <c r="F936" t="s">
        <v>23</v>
      </c>
      <c r="G936">
        <v>153455.03</v>
      </c>
      <c r="H936">
        <v>111883.21</v>
      </c>
      <c r="I936">
        <v>41571.82</v>
      </c>
      <c r="J936">
        <v>14383.51</v>
      </c>
      <c r="K936">
        <v>19149.87</v>
      </c>
      <c r="L936">
        <v>68623.91</v>
      </c>
      <c r="M936">
        <v>819</v>
      </c>
      <c r="N936">
        <v>2.3099999999999999E-2</v>
      </c>
      <c r="O936">
        <v>0.27089999999999997</v>
      </c>
      <c r="P936">
        <v>0.27910000000000001</v>
      </c>
      <c r="Q936" t="s">
        <v>24</v>
      </c>
      <c r="R936">
        <v>2025</v>
      </c>
      <c r="S936" t="s">
        <v>25</v>
      </c>
    </row>
    <row r="937" spans="1:19" x14ac:dyDescent="0.3">
      <c r="A937" t="s">
        <v>1012</v>
      </c>
      <c r="B937" s="1">
        <v>44878</v>
      </c>
      <c r="C937" t="s">
        <v>85</v>
      </c>
      <c r="D937" t="s">
        <v>86</v>
      </c>
      <c r="E937" t="s">
        <v>38</v>
      </c>
      <c r="F937" t="s">
        <v>23</v>
      </c>
      <c r="G937">
        <v>99141.04</v>
      </c>
      <c r="H937">
        <v>63173.09</v>
      </c>
      <c r="I937">
        <v>35967.949999999997</v>
      </c>
      <c r="J937">
        <v>39342.730000000003</v>
      </c>
      <c r="K937">
        <v>21624.77</v>
      </c>
      <c r="L937">
        <v>132195.09</v>
      </c>
      <c r="M937">
        <v>1018</v>
      </c>
      <c r="N937">
        <v>0.1474</v>
      </c>
      <c r="O937">
        <v>0.36280000000000001</v>
      </c>
      <c r="P937">
        <v>0.1636</v>
      </c>
      <c r="Q937" t="s">
        <v>46</v>
      </c>
      <c r="R937">
        <v>2022</v>
      </c>
      <c r="S937" t="s">
        <v>25</v>
      </c>
    </row>
    <row r="938" spans="1:19" x14ac:dyDescent="0.3">
      <c r="A938" t="s">
        <v>1013</v>
      </c>
      <c r="B938" s="1">
        <v>45830</v>
      </c>
      <c r="C938" t="s">
        <v>68</v>
      </c>
      <c r="D938" t="s">
        <v>69</v>
      </c>
      <c r="E938" t="s">
        <v>32</v>
      </c>
      <c r="F938" t="s">
        <v>33</v>
      </c>
      <c r="G938">
        <v>40516.86</v>
      </c>
      <c r="H938">
        <v>30572.05</v>
      </c>
      <c r="I938">
        <v>9944.81</v>
      </c>
      <c r="J938">
        <v>50155.09</v>
      </c>
      <c r="K938">
        <v>18117.59</v>
      </c>
      <c r="L938">
        <v>69857.740000000005</v>
      </c>
      <c r="M938">
        <v>877</v>
      </c>
      <c r="N938">
        <v>-0.1086</v>
      </c>
      <c r="O938">
        <v>0.24540000000000001</v>
      </c>
      <c r="P938">
        <v>0.25929999999999997</v>
      </c>
      <c r="Q938" t="s">
        <v>34</v>
      </c>
      <c r="R938">
        <v>2025</v>
      </c>
      <c r="S938" t="s">
        <v>25</v>
      </c>
    </row>
    <row r="939" spans="1:19" x14ac:dyDescent="0.3">
      <c r="A939" t="s">
        <v>1014</v>
      </c>
      <c r="B939" s="1">
        <v>45389</v>
      </c>
      <c r="C939" t="s">
        <v>27</v>
      </c>
      <c r="D939" t="s">
        <v>28</v>
      </c>
      <c r="E939" t="s">
        <v>38</v>
      </c>
      <c r="F939" t="s">
        <v>23</v>
      </c>
      <c r="G939">
        <v>42721.71</v>
      </c>
      <c r="H939">
        <v>34466.9</v>
      </c>
      <c r="I939">
        <v>8254.81</v>
      </c>
      <c r="J939">
        <v>36776.93</v>
      </c>
      <c r="K939">
        <v>39097.03</v>
      </c>
      <c r="L939">
        <v>76583.12</v>
      </c>
      <c r="M939">
        <v>715</v>
      </c>
      <c r="N939">
        <v>-0.104</v>
      </c>
      <c r="O939">
        <v>0.19320000000000001</v>
      </c>
      <c r="P939">
        <v>0.51049999999999995</v>
      </c>
      <c r="Q939" t="s">
        <v>111</v>
      </c>
      <c r="R939">
        <v>2024</v>
      </c>
      <c r="S939" t="s">
        <v>40</v>
      </c>
    </row>
    <row r="940" spans="1:19" x14ac:dyDescent="0.3">
      <c r="A940" t="s">
        <v>1015</v>
      </c>
      <c r="B940" s="1">
        <v>45871</v>
      </c>
      <c r="C940" t="s">
        <v>42</v>
      </c>
      <c r="D940" t="s">
        <v>43</v>
      </c>
      <c r="E940" t="s">
        <v>38</v>
      </c>
      <c r="F940" t="s">
        <v>23</v>
      </c>
      <c r="G940">
        <v>82319.55</v>
      </c>
      <c r="H940">
        <v>49602.7</v>
      </c>
      <c r="I940">
        <v>32716.85</v>
      </c>
      <c r="J940">
        <v>15911.97</v>
      </c>
      <c r="K940">
        <v>41943.21</v>
      </c>
      <c r="L940">
        <v>89812.7</v>
      </c>
      <c r="M940">
        <v>714</v>
      </c>
      <c r="N940">
        <v>-0.1996</v>
      </c>
      <c r="O940">
        <v>0.39739999999999998</v>
      </c>
      <c r="P940">
        <v>0.46700000000000003</v>
      </c>
      <c r="Q940" t="s">
        <v>24</v>
      </c>
      <c r="R940">
        <v>2025</v>
      </c>
      <c r="S940" t="s">
        <v>40</v>
      </c>
    </row>
    <row r="941" spans="1:19" x14ac:dyDescent="0.3">
      <c r="A941" t="s">
        <v>1016</v>
      </c>
      <c r="B941" s="1">
        <v>44848</v>
      </c>
      <c r="C941" t="s">
        <v>61</v>
      </c>
      <c r="D941" t="s">
        <v>74</v>
      </c>
      <c r="E941" t="s">
        <v>38</v>
      </c>
      <c r="F941" t="s">
        <v>23</v>
      </c>
      <c r="G941">
        <v>417621.49</v>
      </c>
      <c r="H941">
        <v>336191.56</v>
      </c>
      <c r="I941">
        <v>81429.929999999993</v>
      </c>
      <c r="J941">
        <v>24414.28</v>
      </c>
      <c r="K941">
        <v>14726.99</v>
      </c>
      <c r="L941">
        <v>79398.740000000005</v>
      </c>
      <c r="M941">
        <v>703</v>
      </c>
      <c r="N941">
        <v>0.1048</v>
      </c>
      <c r="O941">
        <v>0.19500000000000001</v>
      </c>
      <c r="P941">
        <v>0.1855</v>
      </c>
      <c r="Q941" t="s">
        <v>46</v>
      </c>
      <c r="R941">
        <v>2022</v>
      </c>
      <c r="S941" t="s">
        <v>25</v>
      </c>
    </row>
    <row r="942" spans="1:19" x14ac:dyDescent="0.3">
      <c r="A942" t="s">
        <v>1017</v>
      </c>
      <c r="B942" s="1">
        <v>45336</v>
      </c>
      <c r="C942" t="s">
        <v>85</v>
      </c>
      <c r="D942" t="s">
        <v>86</v>
      </c>
      <c r="E942" t="s">
        <v>38</v>
      </c>
      <c r="F942" t="s">
        <v>23</v>
      </c>
      <c r="G942">
        <v>53852.77</v>
      </c>
      <c r="H942">
        <v>41605.199999999997</v>
      </c>
      <c r="I942">
        <v>12247.57</v>
      </c>
      <c r="J942">
        <v>72029.55</v>
      </c>
      <c r="K942">
        <v>7338.98</v>
      </c>
      <c r="L942">
        <v>228290.07</v>
      </c>
      <c r="M942">
        <v>900</v>
      </c>
      <c r="N942">
        <v>7.9100000000000004E-2</v>
      </c>
      <c r="O942">
        <v>0.22739999999999999</v>
      </c>
      <c r="P942">
        <v>3.2099999999999997E-2</v>
      </c>
      <c r="Q942" t="s">
        <v>80</v>
      </c>
      <c r="R942">
        <v>2024</v>
      </c>
      <c r="S942" t="s">
        <v>25</v>
      </c>
    </row>
    <row r="943" spans="1:19" x14ac:dyDescent="0.3">
      <c r="A943" t="s">
        <v>1018</v>
      </c>
      <c r="B943" s="1">
        <v>45120</v>
      </c>
      <c r="C943" t="s">
        <v>36</v>
      </c>
      <c r="D943" t="s">
        <v>37</v>
      </c>
      <c r="E943" t="s">
        <v>51</v>
      </c>
      <c r="F943" t="s">
        <v>23</v>
      </c>
      <c r="G943">
        <v>52631.5</v>
      </c>
      <c r="H943">
        <v>33679.46</v>
      </c>
      <c r="I943">
        <v>18952.04</v>
      </c>
      <c r="J943">
        <v>36512.269999999997</v>
      </c>
      <c r="K943">
        <v>37295.96</v>
      </c>
      <c r="L943">
        <v>155586.56</v>
      </c>
      <c r="M943">
        <v>377</v>
      </c>
      <c r="N943">
        <v>-5.1700000000000003E-2</v>
      </c>
      <c r="O943">
        <v>0.36009999999999998</v>
      </c>
      <c r="P943">
        <v>0.2397</v>
      </c>
      <c r="Q943" t="s">
        <v>56</v>
      </c>
      <c r="R943">
        <v>2023</v>
      </c>
      <c r="S943" t="s">
        <v>25</v>
      </c>
    </row>
    <row r="944" spans="1:19" x14ac:dyDescent="0.3">
      <c r="A944" t="s">
        <v>1019</v>
      </c>
      <c r="B944" s="1">
        <v>45414</v>
      </c>
      <c r="C944" t="s">
        <v>30</v>
      </c>
      <c r="D944" t="s">
        <v>31</v>
      </c>
      <c r="E944" t="s">
        <v>22</v>
      </c>
      <c r="F944" t="s">
        <v>23</v>
      </c>
      <c r="G944">
        <v>285929.88</v>
      </c>
      <c r="H944">
        <v>214957.58</v>
      </c>
      <c r="I944">
        <v>70972.3</v>
      </c>
      <c r="J944">
        <v>49916.77</v>
      </c>
      <c r="K944">
        <v>157184.44</v>
      </c>
      <c r="L944">
        <v>113476.62</v>
      </c>
      <c r="M944">
        <v>159</v>
      </c>
      <c r="N944">
        <v>0.1028</v>
      </c>
      <c r="O944">
        <v>0.2482</v>
      </c>
      <c r="P944">
        <v>1.3852</v>
      </c>
      <c r="Q944" t="s">
        <v>111</v>
      </c>
      <c r="R944">
        <v>2024</v>
      </c>
      <c r="S944" t="s">
        <v>82</v>
      </c>
    </row>
    <row r="945" spans="1:19" x14ac:dyDescent="0.3">
      <c r="A945" t="s">
        <v>1020</v>
      </c>
      <c r="B945" s="1">
        <v>45258</v>
      </c>
      <c r="C945" t="s">
        <v>48</v>
      </c>
      <c r="D945" t="s">
        <v>49</v>
      </c>
      <c r="E945" t="s">
        <v>51</v>
      </c>
      <c r="F945" t="s">
        <v>23</v>
      </c>
      <c r="G945">
        <v>56444.36</v>
      </c>
      <c r="H945">
        <v>51364.46</v>
      </c>
      <c r="I945">
        <v>5079.8999999999996</v>
      </c>
      <c r="J945">
        <v>24037.01</v>
      </c>
      <c r="K945">
        <v>18425.72</v>
      </c>
      <c r="L945">
        <v>59156.79</v>
      </c>
      <c r="M945">
        <v>1955</v>
      </c>
      <c r="N945">
        <v>0.1167</v>
      </c>
      <c r="O945">
        <v>0.09</v>
      </c>
      <c r="P945">
        <v>0.3115</v>
      </c>
      <c r="Q945" t="s">
        <v>44</v>
      </c>
      <c r="R945">
        <v>2023</v>
      </c>
      <c r="S945" t="s">
        <v>40</v>
      </c>
    </row>
    <row r="946" spans="1:19" x14ac:dyDescent="0.3">
      <c r="A946" t="s">
        <v>1021</v>
      </c>
      <c r="B946" s="1">
        <v>45182</v>
      </c>
      <c r="C946" t="s">
        <v>78</v>
      </c>
      <c r="D946" t="s">
        <v>79</v>
      </c>
      <c r="E946" t="s">
        <v>22</v>
      </c>
      <c r="F946" t="s">
        <v>23</v>
      </c>
      <c r="G946">
        <v>64243.41</v>
      </c>
      <c r="H946">
        <v>39934.410000000003</v>
      </c>
      <c r="I946">
        <v>24309</v>
      </c>
      <c r="J946">
        <v>24553.29</v>
      </c>
      <c r="K946">
        <v>4952.22</v>
      </c>
      <c r="L946">
        <v>148652.44</v>
      </c>
      <c r="M946">
        <v>1084</v>
      </c>
      <c r="N946">
        <v>-6.5500000000000003E-2</v>
      </c>
      <c r="O946">
        <v>0.37840000000000001</v>
      </c>
      <c r="P946">
        <v>3.3300000000000003E-2</v>
      </c>
      <c r="Q946" t="s">
        <v>56</v>
      </c>
      <c r="R946">
        <v>2023</v>
      </c>
      <c r="S946" t="s">
        <v>25</v>
      </c>
    </row>
    <row r="947" spans="1:19" x14ac:dyDescent="0.3">
      <c r="A947" t="s">
        <v>1022</v>
      </c>
      <c r="B947" s="1">
        <v>45111</v>
      </c>
      <c r="C947" t="s">
        <v>85</v>
      </c>
      <c r="D947" t="s">
        <v>86</v>
      </c>
      <c r="E947" t="s">
        <v>38</v>
      </c>
      <c r="F947" t="s">
        <v>23</v>
      </c>
      <c r="G947">
        <v>217373.09</v>
      </c>
      <c r="H947">
        <v>136064.79999999999</v>
      </c>
      <c r="I947">
        <v>81308.289999999994</v>
      </c>
      <c r="J947">
        <v>29834.7</v>
      </c>
      <c r="K947">
        <v>12379.22</v>
      </c>
      <c r="L947">
        <v>52321.66</v>
      </c>
      <c r="M947">
        <v>1204</v>
      </c>
      <c r="N947">
        <v>4.4900000000000002E-2</v>
      </c>
      <c r="O947">
        <v>0.374</v>
      </c>
      <c r="P947">
        <v>0.2366</v>
      </c>
      <c r="Q947" t="s">
        <v>56</v>
      </c>
      <c r="R947">
        <v>2023</v>
      </c>
      <c r="S947" t="s">
        <v>25</v>
      </c>
    </row>
    <row r="948" spans="1:19" x14ac:dyDescent="0.3">
      <c r="A948" t="s">
        <v>1023</v>
      </c>
      <c r="B948" s="1">
        <v>44684</v>
      </c>
      <c r="C948" t="s">
        <v>42</v>
      </c>
      <c r="D948" t="s">
        <v>43</v>
      </c>
      <c r="E948" t="s">
        <v>22</v>
      </c>
      <c r="F948" t="s">
        <v>23</v>
      </c>
      <c r="G948">
        <v>84873.02</v>
      </c>
      <c r="H948">
        <v>61500.42</v>
      </c>
      <c r="I948">
        <v>23372.6</v>
      </c>
      <c r="J948">
        <v>20501.16</v>
      </c>
      <c r="K948">
        <v>22086.97</v>
      </c>
      <c r="L948">
        <v>124418.29</v>
      </c>
      <c r="M948">
        <v>900</v>
      </c>
      <c r="N948">
        <v>-0.12859999999999999</v>
      </c>
      <c r="O948">
        <v>0.27539999999999998</v>
      </c>
      <c r="P948">
        <v>0.17749999999999999</v>
      </c>
      <c r="Q948" t="s">
        <v>58</v>
      </c>
      <c r="R948">
        <v>2022</v>
      </c>
      <c r="S948" t="s">
        <v>25</v>
      </c>
    </row>
    <row r="949" spans="1:19" x14ac:dyDescent="0.3">
      <c r="A949" t="s">
        <v>1024</v>
      </c>
      <c r="B949" s="1">
        <v>45195</v>
      </c>
      <c r="C949" t="s">
        <v>54</v>
      </c>
      <c r="D949" t="s">
        <v>55</v>
      </c>
      <c r="E949" t="s">
        <v>38</v>
      </c>
      <c r="F949" t="s">
        <v>23</v>
      </c>
      <c r="G949">
        <v>107001.69</v>
      </c>
      <c r="H949">
        <v>97366.93</v>
      </c>
      <c r="I949">
        <v>9634.76</v>
      </c>
      <c r="J949">
        <v>44417.87</v>
      </c>
      <c r="K949">
        <v>55896.76</v>
      </c>
      <c r="L949">
        <v>72976.53</v>
      </c>
      <c r="M949">
        <v>1857</v>
      </c>
      <c r="N949">
        <v>-6.2399999999999997E-2</v>
      </c>
      <c r="O949">
        <v>0.09</v>
      </c>
      <c r="P949">
        <v>0.76600000000000001</v>
      </c>
      <c r="Q949" t="s">
        <v>56</v>
      </c>
      <c r="R949">
        <v>2023</v>
      </c>
      <c r="S949" t="s">
        <v>82</v>
      </c>
    </row>
    <row r="950" spans="1:19" x14ac:dyDescent="0.3">
      <c r="A950" t="s">
        <v>1025</v>
      </c>
      <c r="B950" s="1">
        <v>45731</v>
      </c>
      <c r="C950" t="s">
        <v>78</v>
      </c>
      <c r="D950" t="s">
        <v>79</v>
      </c>
      <c r="E950" t="s">
        <v>38</v>
      </c>
      <c r="F950" t="s">
        <v>23</v>
      </c>
      <c r="G950">
        <v>26478.49</v>
      </c>
      <c r="H950">
        <v>23189.93</v>
      </c>
      <c r="I950">
        <v>3288.56</v>
      </c>
      <c r="J950">
        <v>54588.17</v>
      </c>
      <c r="K950">
        <v>10257.459999999999</v>
      </c>
      <c r="L950">
        <v>83078.009999999995</v>
      </c>
      <c r="M950">
        <v>659</v>
      </c>
      <c r="N950">
        <v>-2.3300000000000001E-2</v>
      </c>
      <c r="O950">
        <v>0.1242</v>
      </c>
      <c r="P950">
        <v>0.1235</v>
      </c>
      <c r="Q950" t="s">
        <v>106</v>
      </c>
      <c r="R950">
        <v>2025</v>
      </c>
      <c r="S950" t="s">
        <v>25</v>
      </c>
    </row>
    <row r="951" spans="1:19" x14ac:dyDescent="0.3">
      <c r="A951" t="s">
        <v>1026</v>
      </c>
      <c r="B951" s="1">
        <v>45210</v>
      </c>
      <c r="C951" t="s">
        <v>85</v>
      </c>
      <c r="D951" t="s">
        <v>86</v>
      </c>
      <c r="E951" t="s">
        <v>38</v>
      </c>
      <c r="F951" t="s">
        <v>23</v>
      </c>
      <c r="G951">
        <v>32989.040000000001</v>
      </c>
      <c r="H951">
        <v>18394.099999999999</v>
      </c>
      <c r="I951">
        <v>14594.94</v>
      </c>
      <c r="J951">
        <v>6275.54</v>
      </c>
      <c r="K951">
        <v>27233.59</v>
      </c>
      <c r="L951">
        <v>51819.78</v>
      </c>
      <c r="M951">
        <v>1043</v>
      </c>
      <c r="N951">
        <v>2.1100000000000001E-2</v>
      </c>
      <c r="O951">
        <v>0.44240000000000002</v>
      </c>
      <c r="P951">
        <v>0.52549999999999997</v>
      </c>
      <c r="Q951" t="s">
        <v>44</v>
      </c>
      <c r="R951">
        <v>2023</v>
      </c>
      <c r="S951" t="s">
        <v>40</v>
      </c>
    </row>
    <row r="952" spans="1:19" x14ac:dyDescent="0.3">
      <c r="A952" t="s">
        <v>1027</v>
      </c>
      <c r="B952" s="1">
        <v>45400</v>
      </c>
      <c r="C952" t="s">
        <v>102</v>
      </c>
      <c r="D952" t="s">
        <v>103</v>
      </c>
      <c r="E952" t="s">
        <v>32</v>
      </c>
      <c r="F952" t="s">
        <v>33</v>
      </c>
      <c r="G952">
        <v>69003.44</v>
      </c>
      <c r="H952">
        <v>53861.64</v>
      </c>
      <c r="I952">
        <v>15141.8</v>
      </c>
      <c r="J952">
        <v>21203.14</v>
      </c>
      <c r="K952">
        <v>39491.300000000003</v>
      </c>
      <c r="L952">
        <v>138323.4</v>
      </c>
      <c r="M952">
        <v>824</v>
      </c>
      <c r="N952">
        <v>-9.8299999999999998E-2</v>
      </c>
      <c r="O952">
        <v>0.21940000000000001</v>
      </c>
      <c r="P952">
        <v>0.28549999999999998</v>
      </c>
      <c r="Q952" t="s">
        <v>111</v>
      </c>
      <c r="R952">
        <v>2024</v>
      </c>
      <c r="S952" t="s">
        <v>25</v>
      </c>
    </row>
    <row r="953" spans="1:19" x14ac:dyDescent="0.3">
      <c r="A953" t="s">
        <v>1028</v>
      </c>
      <c r="B953" s="1">
        <v>44717</v>
      </c>
      <c r="C953" t="s">
        <v>61</v>
      </c>
      <c r="D953" t="s">
        <v>74</v>
      </c>
      <c r="E953" t="s">
        <v>38</v>
      </c>
      <c r="F953" t="s">
        <v>23</v>
      </c>
      <c r="G953">
        <v>107188.4</v>
      </c>
      <c r="H953">
        <v>88091.92</v>
      </c>
      <c r="I953">
        <v>19096.48</v>
      </c>
      <c r="J953">
        <v>32822.19</v>
      </c>
      <c r="K953">
        <v>13701.32</v>
      </c>
      <c r="L953">
        <v>145554.44</v>
      </c>
      <c r="M953">
        <v>631</v>
      </c>
      <c r="N953">
        <v>-2E-3</v>
      </c>
      <c r="O953">
        <v>0.1782</v>
      </c>
      <c r="P953">
        <v>9.4100000000000003E-2</v>
      </c>
      <c r="Q953" t="s">
        <v>58</v>
      </c>
      <c r="R953">
        <v>2022</v>
      </c>
      <c r="S953" t="s">
        <v>25</v>
      </c>
    </row>
    <row r="954" spans="1:19" x14ac:dyDescent="0.3">
      <c r="A954" t="s">
        <v>1029</v>
      </c>
      <c r="B954" s="1">
        <v>44747</v>
      </c>
      <c r="C954" t="s">
        <v>48</v>
      </c>
      <c r="D954" t="s">
        <v>49</v>
      </c>
      <c r="E954" t="s">
        <v>22</v>
      </c>
      <c r="F954" t="s">
        <v>23</v>
      </c>
      <c r="G954">
        <v>94460.09</v>
      </c>
      <c r="H954">
        <v>70602.67</v>
      </c>
      <c r="I954">
        <v>23857.42</v>
      </c>
      <c r="J954">
        <v>44105.17</v>
      </c>
      <c r="K954">
        <v>38177.19</v>
      </c>
      <c r="L954">
        <v>202396.39</v>
      </c>
      <c r="M954">
        <v>569</v>
      </c>
      <c r="N954">
        <v>9.1600000000000001E-2</v>
      </c>
      <c r="O954">
        <v>0.25259999999999999</v>
      </c>
      <c r="P954">
        <v>0.18859999999999999</v>
      </c>
      <c r="Q954" t="s">
        <v>76</v>
      </c>
      <c r="R954">
        <v>2022</v>
      </c>
      <c r="S954" t="s">
        <v>25</v>
      </c>
    </row>
    <row r="955" spans="1:19" x14ac:dyDescent="0.3">
      <c r="A955" t="s">
        <v>1030</v>
      </c>
      <c r="B955" s="1">
        <v>45735</v>
      </c>
      <c r="C955" t="s">
        <v>61</v>
      </c>
      <c r="D955" t="s">
        <v>74</v>
      </c>
      <c r="E955" t="s">
        <v>32</v>
      </c>
      <c r="F955" t="s">
        <v>33</v>
      </c>
      <c r="G955">
        <v>41698.26</v>
      </c>
      <c r="H955">
        <v>35219.64</v>
      </c>
      <c r="I955">
        <v>6478.62</v>
      </c>
      <c r="J955">
        <v>72760.929999999993</v>
      </c>
      <c r="K955">
        <v>7971.52</v>
      </c>
      <c r="L955">
        <v>84187.78</v>
      </c>
      <c r="M955">
        <v>2056</v>
      </c>
      <c r="N955">
        <v>1.84E-2</v>
      </c>
      <c r="O955">
        <v>0.15540000000000001</v>
      </c>
      <c r="P955">
        <v>9.4700000000000006E-2</v>
      </c>
      <c r="Q955" t="s">
        <v>106</v>
      </c>
      <c r="R955">
        <v>2025</v>
      </c>
      <c r="S955" t="s">
        <v>25</v>
      </c>
    </row>
    <row r="956" spans="1:19" x14ac:dyDescent="0.3">
      <c r="A956" t="s">
        <v>1031</v>
      </c>
      <c r="B956" s="1">
        <v>44738</v>
      </c>
      <c r="C956" t="s">
        <v>102</v>
      </c>
      <c r="D956" t="s">
        <v>103</v>
      </c>
      <c r="E956" t="s">
        <v>38</v>
      </c>
      <c r="F956" t="s">
        <v>23</v>
      </c>
      <c r="G956">
        <v>48444.15</v>
      </c>
      <c r="H956">
        <v>38240.370000000003</v>
      </c>
      <c r="I956">
        <v>10203.780000000001</v>
      </c>
      <c r="J956">
        <v>8652.77</v>
      </c>
      <c r="K956">
        <v>181092.93</v>
      </c>
      <c r="L956">
        <v>63521.36</v>
      </c>
      <c r="M956">
        <v>1900</v>
      </c>
      <c r="N956">
        <v>3.3000000000000002E-2</v>
      </c>
      <c r="O956">
        <v>0.21060000000000001</v>
      </c>
      <c r="P956">
        <v>2.8509000000000002</v>
      </c>
      <c r="Q956" t="s">
        <v>58</v>
      </c>
      <c r="R956">
        <v>2022</v>
      </c>
      <c r="S956" t="s">
        <v>82</v>
      </c>
    </row>
    <row r="957" spans="1:19" x14ac:dyDescent="0.3">
      <c r="A957" t="s">
        <v>1032</v>
      </c>
      <c r="B957" s="1">
        <v>44588</v>
      </c>
      <c r="C957" t="s">
        <v>61</v>
      </c>
      <c r="D957" t="s">
        <v>74</v>
      </c>
      <c r="E957" t="s">
        <v>51</v>
      </c>
      <c r="F957" t="s">
        <v>23</v>
      </c>
      <c r="G957">
        <v>64750.86</v>
      </c>
      <c r="H957">
        <v>45501.87</v>
      </c>
      <c r="I957">
        <v>19248.990000000002</v>
      </c>
      <c r="J957">
        <v>67701.27</v>
      </c>
      <c r="K957">
        <v>38825.94</v>
      </c>
      <c r="L957">
        <v>247723.84</v>
      </c>
      <c r="M957">
        <v>951</v>
      </c>
      <c r="N957">
        <v>-3.4299999999999997E-2</v>
      </c>
      <c r="O957">
        <v>0.29730000000000001</v>
      </c>
      <c r="P957">
        <v>0.15670000000000001</v>
      </c>
      <c r="Q957" t="s">
        <v>90</v>
      </c>
      <c r="R957">
        <v>2022</v>
      </c>
      <c r="S957" t="s">
        <v>25</v>
      </c>
    </row>
    <row r="958" spans="1:19" x14ac:dyDescent="0.3">
      <c r="A958" t="s">
        <v>1033</v>
      </c>
      <c r="B958" s="1">
        <v>45731</v>
      </c>
      <c r="C958" t="s">
        <v>36</v>
      </c>
      <c r="D958" t="s">
        <v>37</v>
      </c>
      <c r="E958" t="s">
        <v>38</v>
      </c>
      <c r="F958" t="s">
        <v>23</v>
      </c>
      <c r="G958">
        <v>40671.17</v>
      </c>
      <c r="H958">
        <v>23942.51</v>
      </c>
      <c r="I958">
        <v>16728.66</v>
      </c>
      <c r="J958">
        <v>217255.67999999999</v>
      </c>
      <c r="K958">
        <v>85710.39</v>
      </c>
      <c r="L958">
        <v>317317.11</v>
      </c>
      <c r="M958">
        <v>1021</v>
      </c>
      <c r="N958">
        <v>2.41E-2</v>
      </c>
      <c r="O958">
        <v>0.4113</v>
      </c>
      <c r="P958">
        <v>0.27010000000000001</v>
      </c>
      <c r="Q958" t="s">
        <v>106</v>
      </c>
      <c r="R958">
        <v>2025</v>
      </c>
      <c r="S958" t="s">
        <v>25</v>
      </c>
    </row>
    <row r="959" spans="1:19" x14ac:dyDescent="0.3">
      <c r="A959" t="s">
        <v>1034</v>
      </c>
      <c r="B959" s="1">
        <v>45478</v>
      </c>
      <c r="C959" t="s">
        <v>30</v>
      </c>
      <c r="D959" t="s">
        <v>31</v>
      </c>
      <c r="E959" t="s">
        <v>22</v>
      </c>
      <c r="F959" t="s">
        <v>23</v>
      </c>
      <c r="G959">
        <v>55982.64</v>
      </c>
      <c r="H959">
        <v>34089.769999999997</v>
      </c>
      <c r="I959">
        <v>21892.87</v>
      </c>
      <c r="J959">
        <v>55090.68</v>
      </c>
      <c r="K959">
        <v>5387.45</v>
      </c>
      <c r="L959">
        <v>77272.679999999993</v>
      </c>
      <c r="M959">
        <v>2025</v>
      </c>
      <c r="N959">
        <v>0.1331</v>
      </c>
      <c r="O959">
        <v>0.3911</v>
      </c>
      <c r="P959">
        <v>6.9699999999999998E-2</v>
      </c>
      <c r="Q959" t="s">
        <v>72</v>
      </c>
      <c r="R959">
        <v>2024</v>
      </c>
      <c r="S959" t="s">
        <v>25</v>
      </c>
    </row>
    <row r="960" spans="1:19" x14ac:dyDescent="0.3">
      <c r="A960" t="s">
        <v>1035</v>
      </c>
      <c r="B960" s="1">
        <v>44588</v>
      </c>
      <c r="C960" t="s">
        <v>20</v>
      </c>
      <c r="D960" t="s">
        <v>21</v>
      </c>
      <c r="E960" t="s">
        <v>38</v>
      </c>
      <c r="F960" t="s">
        <v>23</v>
      </c>
      <c r="G960">
        <v>21778.720000000001</v>
      </c>
      <c r="H960">
        <v>12049.46</v>
      </c>
      <c r="I960">
        <v>9729.26</v>
      </c>
      <c r="J960">
        <v>57049.93</v>
      </c>
      <c r="K960">
        <v>30004.19</v>
      </c>
      <c r="L960">
        <v>117185.1</v>
      </c>
      <c r="M960">
        <v>2941</v>
      </c>
      <c r="N960">
        <v>0.1217</v>
      </c>
      <c r="O960">
        <v>0.44669999999999999</v>
      </c>
      <c r="P960">
        <v>0.25600000000000001</v>
      </c>
      <c r="Q960" t="s">
        <v>90</v>
      </c>
      <c r="R960">
        <v>2022</v>
      </c>
      <c r="S960" t="s">
        <v>25</v>
      </c>
    </row>
    <row r="961" spans="1:19" x14ac:dyDescent="0.3">
      <c r="A961" t="s">
        <v>1036</v>
      </c>
      <c r="B961" s="1">
        <v>45035</v>
      </c>
      <c r="C961" t="s">
        <v>85</v>
      </c>
      <c r="D961" t="s">
        <v>86</v>
      </c>
      <c r="E961" t="s">
        <v>32</v>
      </c>
      <c r="F961" t="s">
        <v>33</v>
      </c>
      <c r="G961">
        <v>53634.42</v>
      </c>
      <c r="H961">
        <v>36529.24</v>
      </c>
      <c r="I961">
        <v>17105.18</v>
      </c>
      <c r="J961">
        <v>57965.5</v>
      </c>
      <c r="K961">
        <v>30303.68</v>
      </c>
      <c r="L961">
        <v>110622.67</v>
      </c>
      <c r="M961">
        <v>933</v>
      </c>
      <c r="N961">
        <v>8.8000000000000005E-3</v>
      </c>
      <c r="O961">
        <v>0.31890000000000002</v>
      </c>
      <c r="P961">
        <v>0.27389999999999998</v>
      </c>
      <c r="Q961" t="s">
        <v>39</v>
      </c>
      <c r="R961">
        <v>2023</v>
      </c>
      <c r="S961" t="s">
        <v>25</v>
      </c>
    </row>
    <row r="962" spans="1:19" x14ac:dyDescent="0.3">
      <c r="A962" t="s">
        <v>1037</v>
      </c>
      <c r="B962" s="1">
        <v>45637</v>
      </c>
      <c r="C962" t="s">
        <v>78</v>
      </c>
      <c r="D962" t="s">
        <v>79</v>
      </c>
      <c r="E962" t="s">
        <v>38</v>
      </c>
      <c r="F962" t="s">
        <v>23</v>
      </c>
      <c r="G962">
        <v>20061.04</v>
      </c>
      <c r="H962">
        <v>11590.43</v>
      </c>
      <c r="I962">
        <v>8470.61</v>
      </c>
      <c r="J962">
        <v>41467.440000000002</v>
      </c>
      <c r="K962">
        <v>28544.03</v>
      </c>
      <c r="L962">
        <v>105847.05</v>
      </c>
      <c r="M962">
        <v>1063</v>
      </c>
      <c r="N962">
        <v>-2.6800000000000001E-2</v>
      </c>
      <c r="O962">
        <v>0.42220000000000002</v>
      </c>
      <c r="P962">
        <v>0.2697</v>
      </c>
      <c r="Q962" t="s">
        <v>52</v>
      </c>
      <c r="R962">
        <v>2024</v>
      </c>
      <c r="S962" t="s">
        <v>25</v>
      </c>
    </row>
    <row r="963" spans="1:19" x14ac:dyDescent="0.3">
      <c r="A963" t="s">
        <v>1038</v>
      </c>
      <c r="B963" s="1">
        <v>45259</v>
      </c>
      <c r="C963" t="s">
        <v>30</v>
      </c>
      <c r="D963" t="s">
        <v>31</v>
      </c>
      <c r="E963" t="s">
        <v>32</v>
      </c>
      <c r="F963" t="s">
        <v>33</v>
      </c>
      <c r="G963">
        <v>108863.89</v>
      </c>
      <c r="H963">
        <v>88078.47</v>
      </c>
      <c r="I963">
        <v>20785.419999999998</v>
      </c>
      <c r="J963">
        <v>24514.62</v>
      </c>
      <c r="K963">
        <v>155555.78</v>
      </c>
      <c r="L963">
        <v>147126.35</v>
      </c>
      <c r="M963">
        <v>875</v>
      </c>
      <c r="N963">
        <v>-5.6800000000000003E-2</v>
      </c>
      <c r="O963">
        <v>0.19089999999999999</v>
      </c>
      <c r="P963">
        <v>1.0572999999999999</v>
      </c>
      <c r="Q963" t="s">
        <v>44</v>
      </c>
      <c r="R963">
        <v>2023</v>
      </c>
      <c r="S963" t="s">
        <v>82</v>
      </c>
    </row>
    <row r="964" spans="1:19" x14ac:dyDescent="0.3">
      <c r="A964" t="s">
        <v>1039</v>
      </c>
      <c r="B964" s="1">
        <v>45266</v>
      </c>
      <c r="C964" t="s">
        <v>61</v>
      </c>
      <c r="D964" t="s">
        <v>74</v>
      </c>
      <c r="E964" t="s">
        <v>38</v>
      </c>
      <c r="F964" t="s">
        <v>23</v>
      </c>
      <c r="G964">
        <v>64751.95</v>
      </c>
      <c r="H964">
        <v>40590.879999999997</v>
      </c>
      <c r="I964">
        <v>24161.07</v>
      </c>
      <c r="J964">
        <v>57523.519999999997</v>
      </c>
      <c r="K964">
        <v>54286.89</v>
      </c>
      <c r="L964">
        <v>135467.57999999999</v>
      </c>
      <c r="M964">
        <v>1159</v>
      </c>
      <c r="N964">
        <v>3.8699999999999998E-2</v>
      </c>
      <c r="O964">
        <v>0.37309999999999999</v>
      </c>
      <c r="P964">
        <v>0.4007</v>
      </c>
      <c r="Q964" t="s">
        <v>44</v>
      </c>
      <c r="R964">
        <v>2023</v>
      </c>
      <c r="S964" t="s">
        <v>40</v>
      </c>
    </row>
    <row r="965" spans="1:19" x14ac:dyDescent="0.3">
      <c r="A965" t="s">
        <v>1040</v>
      </c>
      <c r="B965" s="1">
        <v>44598</v>
      </c>
      <c r="C965" t="s">
        <v>30</v>
      </c>
      <c r="D965" t="s">
        <v>31</v>
      </c>
      <c r="E965" t="s">
        <v>38</v>
      </c>
      <c r="F965" t="s">
        <v>23</v>
      </c>
      <c r="G965">
        <v>86012.35</v>
      </c>
      <c r="H965">
        <v>76874.25</v>
      </c>
      <c r="I965">
        <v>9138.1</v>
      </c>
      <c r="J965">
        <v>5952.15</v>
      </c>
      <c r="K965">
        <v>18569.32</v>
      </c>
      <c r="L965">
        <v>32885.83</v>
      </c>
      <c r="M965">
        <v>1302</v>
      </c>
      <c r="N965">
        <v>-0.1031</v>
      </c>
      <c r="O965">
        <v>0.1062</v>
      </c>
      <c r="P965">
        <v>0.56469999999999998</v>
      </c>
      <c r="Q965" t="s">
        <v>90</v>
      </c>
      <c r="R965">
        <v>2022</v>
      </c>
      <c r="S965" t="s">
        <v>40</v>
      </c>
    </row>
    <row r="966" spans="1:19" x14ac:dyDescent="0.3">
      <c r="A966" t="s">
        <v>1041</v>
      </c>
      <c r="B966" s="1">
        <v>45073</v>
      </c>
      <c r="C966" t="s">
        <v>42</v>
      </c>
      <c r="D966" t="s">
        <v>43</v>
      </c>
      <c r="E966" t="s">
        <v>51</v>
      </c>
      <c r="F966" t="s">
        <v>23</v>
      </c>
      <c r="G966">
        <v>63904.73</v>
      </c>
      <c r="H966">
        <v>46703.53</v>
      </c>
      <c r="I966">
        <v>17201.2</v>
      </c>
      <c r="J966">
        <v>35243.74</v>
      </c>
      <c r="K966">
        <v>119419.37</v>
      </c>
      <c r="L966">
        <v>188897.98</v>
      </c>
      <c r="M966">
        <v>428</v>
      </c>
      <c r="N966">
        <v>-4.9700000000000001E-2</v>
      </c>
      <c r="O966">
        <v>0.26919999999999999</v>
      </c>
      <c r="P966">
        <v>0.63219999999999998</v>
      </c>
      <c r="Q966" t="s">
        <v>39</v>
      </c>
      <c r="R966">
        <v>2023</v>
      </c>
      <c r="S966" t="s">
        <v>82</v>
      </c>
    </row>
    <row r="967" spans="1:19" x14ac:dyDescent="0.3">
      <c r="A967" t="s">
        <v>1042</v>
      </c>
      <c r="B967" s="1">
        <v>45933</v>
      </c>
      <c r="C967" t="s">
        <v>68</v>
      </c>
      <c r="D967" t="s">
        <v>69</v>
      </c>
      <c r="E967" t="s">
        <v>32</v>
      </c>
      <c r="F967" t="s">
        <v>33</v>
      </c>
      <c r="G967">
        <v>96457.3</v>
      </c>
      <c r="H967">
        <v>78650.070000000007</v>
      </c>
      <c r="I967">
        <v>17807.23</v>
      </c>
      <c r="J967">
        <v>37556.32</v>
      </c>
      <c r="K967">
        <v>16223.16</v>
      </c>
      <c r="L967">
        <v>124920.62</v>
      </c>
      <c r="M967">
        <v>719</v>
      </c>
      <c r="N967">
        <v>-0.18840000000000001</v>
      </c>
      <c r="O967">
        <v>0.18459999999999999</v>
      </c>
      <c r="P967">
        <v>0.12989999999999999</v>
      </c>
      <c r="Q967" t="s">
        <v>66</v>
      </c>
      <c r="R967">
        <v>2025</v>
      </c>
      <c r="S967" t="s">
        <v>25</v>
      </c>
    </row>
    <row r="968" spans="1:19" x14ac:dyDescent="0.3">
      <c r="A968" t="s">
        <v>1043</v>
      </c>
      <c r="B968" s="1">
        <v>45613</v>
      </c>
      <c r="C968" t="s">
        <v>78</v>
      </c>
      <c r="D968" t="s">
        <v>79</v>
      </c>
      <c r="E968" t="s">
        <v>51</v>
      </c>
      <c r="F968" t="s">
        <v>23</v>
      </c>
      <c r="G968">
        <v>141318.46</v>
      </c>
      <c r="H968">
        <v>102315.52</v>
      </c>
      <c r="I968">
        <v>39002.94</v>
      </c>
      <c r="J968">
        <v>14889.71</v>
      </c>
      <c r="K968">
        <v>35401.29</v>
      </c>
      <c r="L968">
        <v>73465.759999999995</v>
      </c>
      <c r="M968">
        <v>433</v>
      </c>
      <c r="N968">
        <v>-8.4699999999999998E-2</v>
      </c>
      <c r="O968">
        <v>0.27600000000000002</v>
      </c>
      <c r="P968">
        <v>0.4819</v>
      </c>
      <c r="Q968" t="s">
        <v>52</v>
      </c>
      <c r="R968">
        <v>2024</v>
      </c>
      <c r="S968" t="s">
        <v>40</v>
      </c>
    </row>
    <row r="969" spans="1:19" x14ac:dyDescent="0.3">
      <c r="A969" t="s">
        <v>1044</v>
      </c>
      <c r="B969" s="1">
        <v>45336</v>
      </c>
      <c r="C969" t="s">
        <v>61</v>
      </c>
      <c r="D969" t="s">
        <v>74</v>
      </c>
      <c r="E969" t="s">
        <v>22</v>
      </c>
      <c r="F969" t="s">
        <v>23</v>
      </c>
      <c r="G969">
        <v>380025.73</v>
      </c>
      <c r="H969">
        <v>234438.95</v>
      </c>
      <c r="I969">
        <v>145586.78</v>
      </c>
      <c r="J969">
        <v>31003.77</v>
      </c>
      <c r="K969">
        <v>6694.54</v>
      </c>
      <c r="L969">
        <v>106884.39</v>
      </c>
      <c r="M969">
        <v>1261</v>
      </c>
      <c r="N969">
        <v>4.9299999999999997E-2</v>
      </c>
      <c r="O969">
        <v>0.3831</v>
      </c>
      <c r="P969">
        <v>6.2600000000000003E-2</v>
      </c>
      <c r="Q969" t="s">
        <v>80</v>
      </c>
      <c r="R969">
        <v>2024</v>
      </c>
      <c r="S969" t="s">
        <v>25</v>
      </c>
    </row>
    <row r="970" spans="1:19" x14ac:dyDescent="0.3">
      <c r="A970" t="s">
        <v>1045</v>
      </c>
      <c r="B970" s="1">
        <v>44806</v>
      </c>
      <c r="C970" t="s">
        <v>61</v>
      </c>
      <c r="D970" t="s">
        <v>74</v>
      </c>
      <c r="E970" t="s">
        <v>38</v>
      </c>
      <c r="F970" t="s">
        <v>23</v>
      </c>
      <c r="G970">
        <v>242924.43</v>
      </c>
      <c r="H970">
        <v>171600.4</v>
      </c>
      <c r="I970">
        <v>71324.03</v>
      </c>
      <c r="J970">
        <v>35455.47</v>
      </c>
      <c r="K970">
        <v>9732.67</v>
      </c>
      <c r="L970">
        <v>144473.81</v>
      </c>
      <c r="M970">
        <v>842</v>
      </c>
      <c r="N970">
        <v>-4.3099999999999999E-2</v>
      </c>
      <c r="O970">
        <v>0.29360000000000003</v>
      </c>
      <c r="P970">
        <v>6.7400000000000002E-2</v>
      </c>
      <c r="Q970" t="s">
        <v>76</v>
      </c>
      <c r="R970">
        <v>2022</v>
      </c>
      <c r="S970" t="s">
        <v>25</v>
      </c>
    </row>
    <row r="971" spans="1:19" x14ac:dyDescent="0.3">
      <c r="A971" t="s">
        <v>1046</v>
      </c>
      <c r="B971" s="1">
        <v>44588</v>
      </c>
      <c r="C971" t="s">
        <v>20</v>
      </c>
      <c r="D971" t="s">
        <v>21</v>
      </c>
      <c r="E971" t="s">
        <v>51</v>
      </c>
      <c r="F971" t="s">
        <v>23</v>
      </c>
      <c r="G971">
        <v>59249.95</v>
      </c>
      <c r="H971">
        <v>37470.67</v>
      </c>
      <c r="I971">
        <v>21779.279999999999</v>
      </c>
      <c r="J971">
        <v>37087.47</v>
      </c>
      <c r="K971">
        <v>19522.77</v>
      </c>
      <c r="L971">
        <v>233591.64</v>
      </c>
      <c r="M971">
        <v>1161</v>
      </c>
      <c r="N971">
        <v>0.14050000000000001</v>
      </c>
      <c r="O971">
        <v>0.36759999999999998</v>
      </c>
      <c r="P971">
        <v>8.3599999999999994E-2</v>
      </c>
      <c r="Q971" t="s">
        <v>90</v>
      </c>
      <c r="R971">
        <v>2022</v>
      </c>
      <c r="S971" t="s">
        <v>25</v>
      </c>
    </row>
    <row r="972" spans="1:19" x14ac:dyDescent="0.3">
      <c r="A972" t="s">
        <v>1047</v>
      </c>
      <c r="B972" s="1">
        <v>45866</v>
      </c>
      <c r="C972" t="s">
        <v>102</v>
      </c>
      <c r="D972" t="s">
        <v>103</v>
      </c>
      <c r="E972" t="s">
        <v>38</v>
      </c>
      <c r="F972" t="s">
        <v>23</v>
      </c>
      <c r="G972">
        <v>62540.12</v>
      </c>
      <c r="H972">
        <v>39628.959999999999</v>
      </c>
      <c r="I972">
        <v>22911.16</v>
      </c>
      <c r="J972">
        <v>18140.689999999999</v>
      </c>
      <c r="K972">
        <v>18521.11</v>
      </c>
      <c r="L972">
        <v>131002.11</v>
      </c>
      <c r="M972">
        <v>773</v>
      </c>
      <c r="N972">
        <v>-2.3599999999999999E-2</v>
      </c>
      <c r="O972">
        <v>0.36630000000000001</v>
      </c>
      <c r="P972">
        <v>0.1414</v>
      </c>
      <c r="Q972" t="s">
        <v>24</v>
      </c>
      <c r="R972">
        <v>2025</v>
      </c>
      <c r="S972" t="s">
        <v>25</v>
      </c>
    </row>
    <row r="973" spans="1:19" x14ac:dyDescent="0.3">
      <c r="A973" t="s">
        <v>1048</v>
      </c>
      <c r="B973" s="1">
        <v>45385</v>
      </c>
      <c r="C973" t="s">
        <v>20</v>
      </c>
      <c r="D973" t="s">
        <v>21</v>
      </c>
      <c r="E973" t="s">
        <v>22</v>
      </c>
      <c r="F973" t="s">
        <v>23</v>
      </c>
      <c r="G973">
        <v>71992.42</v>
      </c>
      <c r="H973">
        <v>58971.65</v>
      </c>
      <c r="I973">
        <v>13020.77</v>
      </c>
      <c r="J973">
        <v>46977.33</v>
      </c>
      <c r="K973">
        <v>10767.94</v>
      </c>
      <c r="L973">
        <v>89100.97</v>
      </c>
      <c r="M973">
        <v>516</v>
      </c>
      <c r="N973">
        <v>-5.7000000000000002E-3</v>
      </c>
      <c r="O973">
        <v>0.18090000000000001</v>
      </c>
      <c r="P973">
        <v>0.12089999999999999</v>
      </c>
      <c r="Q973" t="s">
        <v>111</v>
      </c>
      <c r="R973">
        <v>2024</v>
      </c>
      <c r="S973" t="s">
        <v>25</v>
      </c>
    </row>
    <row r="974" spans="1:19" x14ac:dyDescent="0.3">
      <c r="A974" t="s">
        <v>1049</v>
      </c>
      <c r="B974" s="1">
        <v>45647</v>
      </c>
      <c r="C974" t="s">
        <v>20</v>
      </c>
      <c r="D974" t="s">
        <v>21</v>
      </c>
      <c r="E974" t="s">
        <v>38</v>
      </c>
      <c r="F974" t="s">
        <v>23</v>
      </c>
      <c r="G974">
        <v>231044.12</v>
      </c>
      <c r="H974">
        <v>173072.71</v>
      </c>
      <c r="I974">
        <v>57971.41</v>
      </c>
      <c r="J974">
        <v>78741.66</v>
      </c>
      <c r="K974">
        <v>14339.06</v>
      </c>
      <c r="L974">
        <v>155566.19</v>
      </c>
      <c r="M974">
        <v>407</v>
      </c>
      <c r="N974">
        <v>4.3999999999999997E-2</v>
      </c>
      <c r="O974">
        <v>0.25090000000000001</v>
      </c>
      <c r="P974">
        <v>9.2200000000000004E-2</v>
      </c>
      <c r="Q974" t="s">
        <v>52</v>
      </c>
      <c r="R974">
        <v>2024</v>
      </c>
      <c r="S974" t="s">
        <v>25</v>
      </c>
    </row>
    <row r="975" spans="1:19" x14ac:dyDescent="0.3">
      <c r="A975" t="s">
        <v>1050</v>
      </c>
      <c r="B975" s="1">
        <v>45995</v>
      </c>
      <c r="C975" t="s">
        <v>85</v>
      </c>
      <c r="D975" t="s">
        <v>86</v>
      </c>
      <c r="E975" t="s">
        <v>38</v>
      </c>
      <c r="F975" t="s">
        <v>23</v>
      </c>
      <c r="G975">
        <v>45895.56</v>
      </c>
      <c r="H975">
        <v>41377.919999999998</v>
      </c>
      <c r="I975">
        <v>4517.6400000000003</v>
      </c>
      <c r="J975">
        <v>13637.63</v>
      </c>
      <c r="K975">
        <v>6046.46</v>
      </c>
      <c r="L975">
        <v>149345.70000000001</v>
      </c>
      <c r="M975">
        <v>843</v>
      </c>
      <c r="N975">
        <v>3.7600000000000001E-2</v>
      </c>
      <c r="O975">
        <v>9.8400000000000001E-2</v>
      </c>
      <c r="P975">
        <v>4.0500000000000001E-2</v>
      </c>
      <c r="Q975" t="s">
        <v>66</v>
      </c>
      <c r="R975">
        <v>2025</v>
      </c>
      <c r="S975" t="s">
        <v>25</v>
      </c>
    </row>
    <row r="976" spans="1:19" x14ac:dyDescent="0.3">
      <c r="A976" t="s">
        <v>1051</v>
      </c>
      <c r="B976" s="1">
        <v>45659</v>
      </c>
      <c r="C976" t="s">
        <v>61</v>
      </c>
      <c r="D976" t="s">
        <v>74</v>
      </c>
      <c r="E976" t="s">
        <v>32</v>
      </c>
      <c r="F976" t="s">
        <v>33</v>
      </c>
      <c r="G976">
        <v>114647.46</v>
      </c>
      <c r="H976">
        <v>70078.27</v>
      </c>
      <c r="I976">
        <v>44569.19</v>
      </c>
      <c r="J976">
        <v>23860.46</v>
      </c>
      <c r="K976">
        <v>31165.98</v>
      </c>
      <c r="L976">
        <v>244611.17</v>
      </c>
      <c r="M976">
        <v>914</v>
      </c>
      <c r="N976">
        <v>3.7100000000000001E-2</v>
      </c>
      <c r="O976">
        <v>0.38869999999999999</v>
      </c>
      <c r="P976">
        <v>0.12740000000000001</v>
      </c>
      <c r="Q976" t="s">
        <v>106</v>
      </c>
      <c r="R976">
        <v>2025</v>
      </c>
      <c r="S976" t="s">
        <v>25</v>
      </c>
    </row>
    <row r="977" spans="1:19" x14ac:dyDescent="0.3">
      <c r="A977" t="s">
        <v>1052</v>
      </c>
      <c r="B977" s="1">
        <v>45992</v>
      </c>
      <c r="C977" t="s">
        <v>27</v>
      </c>
      <c r="D977" t="s">
        <v>28</v>
      </c>
      <c r="E977" t="s">
        <v>22</v>
      </c>
      <c r="F977" t="s">
        <v>23</v>
      </c>
      <c r="G977">
        <v>26032.959999999999</v>
      </c>
      <c r="H977">
        <v>16340.24</v>
      </c>
      <c r="I977">
        <v>9692.7199999999993</v>
      </c>
      <c r="J977">
        <v>81245.009999999995</v>
      </c>
      <c r="K977">
        <v>25322.87</v>
      </c>
      <c r="L977">
        <v>270938.23999999999</v>
      </c>
      <c r="M977">
        <v>667</v>
      </c>
      <c r="N977">
        <v>-3.4599999999999999E-2</v>
      </c>
      <c r="O977">
        <v>0.37230000000000002</v>
      </c>
      <c r="P977">
        <v>9.35E-2</v>
      </c>
      <c r="Q977" t="s">
        <v>66</v>
      </c>
      <c r="R977">
        <v>2025</v>
      </c>
      <c r="S977" t="s">
        <v>25</v>
      </c>
    </row>
    <row r="978" spans="1:19" x14ac:dyDescent="0.3">
      <c r="A978" t="s">
        <v>1053</v>
      </c>
      <c r="B978" s="1">
        <v>44873</v>
      </c>
      <c r="C978" t="s">
        <v>54</v>
      </c>
      <c r="D978" t="s">
        <v>55</v>
      </c>
      <c r="E978" t="s">
        <v>22</v>
      </c>
      <c r="F978" t="s">
        <v>23</v>
      </c>
      <c r="G978">
        <v>308449.82</v>
      </c>
      <c r="H978">
        <v>269753.96000000002</v>
      </c>
      <c r="I978">
        <v>38695.86</v>
      </c>
      <c r="J978">
        <v>12792.36</v>
      </c>
      <c r="K978">
        <v>23974.15</v>
      </c>
      <c r="L978">
        <v>147692.22</v>
      </c>
      <c r="M978">
        <v>880</v>
      </c>
      <c r="N978">
        <v>-1.09E-2</v>
      </c>
      <c r="O978">
        <v>0.1255</v>
      </c>
      <c r="P978">
        <v>0.1623</v>
      </c>
      <c r="Q978" t="s">
        <v>46</v>
      </c>
      <c r="R978">
        <v>2022</v>
      </c>
      <c r="S978" t="s">
        <v>25</v>
      </c>
    </row>
    <row r="979" spans="1:19" x14ac:dyDescent="0.3">
      <c r="A979" t="s">
        <v>1054</v>
      </c>
      <c r="B979" s="1">
        <v>45025</v>
      </c>
      <c r="C979" t="s">
        <v>61</v>
      </c>
      <c r="D979" t="s">
        <v>74</v>
      </c>
      <c r="E979" t="s">
        <v>32</v>
      </c>
      <c r="F979" t="s">
        <v>33</v>
      </c>
      <c r="G979">
        <v>95904.86</v>
      </c>
      <c r="H979">
        <v>59229.03</v>
      </c>
      <c r="I979">
        <v>36675.83</v>
      </c>
      <c r="J979">
        <v>16494.07</v>
      </c>
      <c r="K979">
        <v>14435.63</v>
      </c>
      <c r="L979">
        <v>165041.74</v>
      </c>
      <c r="M979">
        <v>858</v>
      </c>
      <c r="N979">
        <v>1.35E-2</v>
      </c>
      <c r="O979">
        <v>0.38240000000000002</v>
      </c>
      <c r="P979">
        <v>8.7499999999999994E-2</v>
      </c>
      <c r="Q979" t="s">
        <v>39</v>
      </c>
      <c r="R979">
        <v>2023</v>
      </c>
      <c r="S979" t="s">
        <v>25</v>
      </c>
    </row>
    <row r="980" spans="1:19" x14ac:dyDescent="0.3">
      <c r="A980" t="s">
        <v>1055</v>
      </c>
      <c r="B980" s="1">
        <v>44753</v>
      </c>
      <c r="C980" t="s">
        <v>27</v>
      </c>
      <c r="D980" t="s">
        <v>28</v>
      </c>
      <c r="E980" t="s">
        <v>51</v>
      </c>
      <c r="F980" t="s">
        <v>23</v>
      </c>
      <c r="G980">
        <v>114136.16</v>
      </c>
      <c r="H980">
        <v>89412.96</v>
      </c>
      <c r="I980">
        <v>24723.200000000001</v>
      </c>
      <c r="J980">
        <v>21090.6</v>
      </c>
      <c r="K980">
        <v>6477.56</v>
      </c>
      <c r="L980">
        <v>154093.74</v>
      </c>
      <c r="M980">
        <v>2772</v>
      </c>
      <c r="N980">
        <v>-2.3900000000000001E-2</v>
      </c>
      <c r="O980">
        <v>0.21659999999999999</v>
      </c>
      <c r="P980">
        <v>4.2000000000000003E-2</v>
      </c>
      <c r="Q980" t="s">
        <v>76</v>
      </c>
      <c r="R980">
        <v>2022</v>
      </c>
      <c r="S980" t="s">
        <v>25</v>
      </c>
    </row>
    <row r="981" spans="1:19" x14ac:dyDescent="0.3">
      <c r="A981" t="s">
        <v>1056</v>
      </c>
      <c r="B981" s="1">
        <v>45366</v>
      </c>
      <c r="C981" t="s">
        <v>78</v>
      </c>
      <c r="D981" t="s">
        <v>79</v>
      </c>
      <c r="E981" t="s">
        <v>32</v>
      </c>
      <c r="F981" t="s">
        <v>33</v>
      </c>
      <c r="G981">
        <v>129981.79</v>
      </c>
      <c r="H981">
        <v>110270.24</v>
      </c>
      <c r="I981">
        <v>19711.55</v>
      </c>
      <c r="J981">
        <v>14068.75</v>
      </c>
      <c r="K981">
        <v>22761.43</v>
      </c>
      <c r="L981">
        <v>38035.22</v>
      </c>
      <c r="M981">
        <v>368</v>
      </c>
      <c r="N981">
        <v>5.1000000000000004E-3</v>
      </c>
      <c r="O981">
        <v>0.15160000000000001</v>
      </c>
      <c r="P981">
        <v>0.59840000000000004</v>
      </c>
      <c r="Q981" t="s">
        <v>80</v>
      </c>
      <c r="R981">
        <v>2024</v>
      </c>
      <c r="S981" t="s">
        <v>40</v>
      </c>
    </row>
    <row r="982" spans="1:19" x14ac:dyDescent="0.3">
      <c r="A982" t="s">
        <v>1057</v>
      </c>
      <c r="B982" s="1">
        <v>45994</v>
      </c>
      <c r="C982" t="s">
        <v>30</v>
      </c>
      <c r="D982" t="s">
        <v>62</v>
      </c>
      <c r="E982" t="s">
        <v>38</v>
      </c>
      <c r="F982" t="s">
        <v>23</v>
      </c>
      <c r="G982">
        <v>152689.4</v>
      </c>
      <c r="H982">
        <v>97101.04</v>
      </c>
      <c r="I982">
        <v>55588.36</v>
      </c>
      <c r="J982">
        <v>90440.6</v>
      </c>
      <c r="K982">
        <v>2850.95</v>
      </c>
      <c r="L982">
        <v>170167.01</v>
      </c>
      <c r="M982">
        <v>1738</v>
      </c>
      <c r="N982">
        <v>-5.5399999999999998E-2</v>
      </c>
      <c r="O982">
        <v>0.36409999999999998</v>
      </c>
      <c r="P982">
        <v>1.6799999999999999E-2</v>
      </c>
      <c r="Q982" t="s">
        <v>66</v>
      </c>
      <c r="R982">
        <v>2025</v>
      </c>
      <c r="S982" t="s">
        <v>25</v>
      </c>
    </row>
    <row r="983" spans="1:19" x14ac:dyDescent="0.3">
      <c r="A983" t="s">
        <v>1058</v>
      </c>
      <c r="B983" s="1">
        <v>45707</v>
      </c>
      <c r="C983" t="s">
        <v>48</v>
      </c>
      <c r="D983" t="s">
        <v>49</v>
      </c>
      <c r="E983" t="s">
        <v>38</v>
      </c>
      <c r="F983" t="s">
        <v>23</v>
      </c>
      <c r="G983">
        <v>23527.040000000001</v>
      </c>
      <c r="H983">
        <v>19587.419999999998</v>
      </c>
      <c r="I983">
        <v>3939.62</v>
      </c>
      <c r="J983">
        <v>15697.76</v>
      </c>
      <c r="K983">
        <v>21681.360000000001</v>
      </c>
      <c r="L983">
        <v>50309.99</v>
      </c>
      <c r="M983">
        <v>799</v>
      </c>
      <c r="N983">
        <v>-2.7900000000000001E-2</v>
      </c>
      <c r="O983">
        <v>0.16750000000000001</v>
      </c>
      <c r="P983">
        <v>0.43099999999999999</v>
      </c>
      <c r="Q983" t="s">
        <v>106</v>
      </c>
      <c r="R983">
        <v>2025</v>
      </c>
      <c r="S983" t="s">
        <v>40</v>
      </c>
    </row>
    <row r="984" spans="1:19" x14ac:dyDescent="0.3">
      <c r="A984" t="s">
        <v>1059</v>
      </c>
      <c r="B984" s="1">
        <v>45396</v>
      </c>
      <c r="C984" t="s">
        <v>36</v>
      </c>
      <c r="E984" t="s">
        <v>38</v>
      </c>
      <c r="F984" t="s">
        <v>23</v>
      </c>
      <c r="H984">
        <v>185065.72</v>
      </c>
      <c r="J984">
        <v>72947.11</v>
      </c>
      <c r="K984">
        <v>44839.05</v>
      </c>
      <c r="L984">
        <v>286837.26</v>
      </c>
      <c r="M984">
        <v>1042</v>
      </c>
      <c r="N984">
        <v>5.8500000000000003E-2</v>
      </c>
      <c r="P984">
        <v>0.15629999999999999</v>
      </c>
      <c r="Q984" t="s">
        <v>111</v>
      </c>
      <c r="R984">
        <v>2024</v>
      </c>
      <c r="S984" t="s">
        <v>25</v>
      </c>
    </row>
    <row r="985" spans="1:19" x14ac:dyDescent="0.3">
      <c r="A985" t="s">
        <v>1060</v>
      </c>
      <c r="B985" s="1">
        <v>45179</v>
      </c>
      <c r="C985" t="s">
        <v>102</v>
      </c>
      <c r="D985" t="s">
        <v>103</v>
      </c>
      <c r="E985" t="s">
        <v>22</v>
      </c>
      <c r="F985" t="s">
        <v>23</v>
      </c>
      <c r="G985">
        <v>46887.12</v>
      </c>
      <c r="H985">
        <v>42349.19</v>
      </c>
      <c r="I985">
        <v>4537.93</v>
      </c>
      <c r="J985">
        <v>32649.63</v>
      </c>
      <c r="K985">
        <v>36762.1</v>
      </c>
      <c r="L985">
        <v>67173.88</v>
      </c>
      <c r="M985">
        <v>730</v>
      </c>
      <c r="N985">
        <v>1.0500000000000001E-2</v>
      </c>
      <c r="O985">
        <v>9.6799999999999997E-2</v>
      </c>
      <c r="P985">
        <v>0.54730000000000001</v>
      </c>
      <c r="Q985" t="s">
        <v>56</v>
      </c>
      <c r="R985">
        <v>2023</v>
      </c>
      <c r="S985" t="s">
        <v>40</v>
      </c>
    </row>
    <row r="986" spans="1:19" x14ac:dyDescent="0.3">
      <c r="A986" t="s">
        <v>1061</v>
      </c>
      <c r="B986" s="1">
        <v>45702</v>
      </c>
      <c r="C986" t="s">
        <v>54</v>
      </c>
      <c r="D986" t="s">
        <v>55</v>
      </c>
      <c r="E986" t="s">
        <v>38</v>
      </c>
      <c r="F986" t="s">
        <v>23</v>
      </c>
      <c r="G986">
        <v>182542.93</v>
      </c>
      <c r="H986">
        <v>103354.59</v>
      </c>
      <c r="I986">
        <v>79188.34</v>
      </c>
      <c r="J986">
        <v>38659.72</v>
      </c>
      <c r="K986">
        <v>5494.68</v>
      </c>
      <c r="L986">
        <v>198098.58</v>
      </c>
      <c r="M986">
        <v>1606</v>
      </c>
      <c r="N986">
        <v>-2.1899999999999999E-2</v>
      </c>
      <c r="O986">
        <v>0.43380000000000002</v>
      </c>
      <c r="P986">
        <v>2.7699999999999999E-2</v>
      </c>
      <c r="Q986" t="s">
        <v>106</v>
      </c>
      <c r="R986">
        <v>2025</v>
      </c>
      <c r="S986" t="s">
        <v>25</v>
      </c>
    </row>
    <row r="987" spans="1:19" x14ac:dyDescent="0.3">
      <c r="A987" t="s">
        <v>1062</v>
      </c>
      <c r="B987" s="1">
        <v>45807</v>
      </c>
      <c r="C987" t="s">
        <v>48</v>
      </c>
      <c r="D987" t="s">
        <v>49</v>
      </c>
      <c r="E987" t="s">
        <v>38</v>
      </c>
      <c r="F987" t="s">
        <v>23</v>
      </c>
      <c r="G987">
        <v>156904.47</v>
      </c>
      <c r="H987">
        <v>143138.97</v>
      </c>
      <c r="I987">
        <v>13765.5</v>
      </c>
      <c r="J987">
        <v>75454.66</v>
      </c>
      <c r="K987">
        <v>25662.53</v>
      </c>
      <c r="L987">
        <v>315481.28000000003</v>
      </c>
      <c r="M987">
        <v>405</v>
      </c>
      <c r="N987">
        <v>-2.1600000000000001E-2</v>
      </c>
      <c r="O987">
        <v>8.77E-2</v>
      </c>
      <c r="P987">
        <v>8.1299999999999997E-2</v>
      </c>
      <c r="Q987" t="s">
        <v>34</v>
      </c>
      <c r="R987">
        <v>2025</v>
      </c>
      <c r="S987" t="s">
        <v>25</v>
      </c>
    </row>
    <row r="988" spans="1:19" x14ac:dyDescent="0.3">
      <c r="A988" t="s">
        <v>1063</v>
      </c>
      <c r="B988" s="1">
        <v>45425</v>
      </c>
      <c r="C988" t="s">
        <v>27</v>
      </c>
      <c r="D988" t="s">
        <v>28</v>
      </c>
      <c r="E988" t="s">
        <v>22</v>
      </c>
      <c r="F988" t="s">
        <v>23</v>
      </c>
      <c r="G988">
        <v>477376.54</v>
      </c>
      <c r="H988">
        <v>335196.82</v>
      </c>
      <c r="I988">
        <v>142179.72</v>
      </c>
      <c r="J988">
        <v>48246.74</v>
      </c>
      <c r="K988">
        <v>11974.08</v>
      </c>
      <c r="L988">
        <v>103606.6</v>
      </c>
      <c r="M988">
        <v>648</v>
      </c>
      <c r="N988">
        <v>0.14910000000000001</v>
      </c>
      <c r="O988">
        <v>0.29780000000000001</v>
      </c>
      <c r="P988">
        <v>0.11559999999999999</v>
      </c>
      <c r="Q988" t="s">
        <v>111</v>
      </c>
      <c r="R988">
        <v>2024</v>
      </c>
      <c r="S988" t="s">
        <v>25</v>
      </c>
    </row>
    <row r="989" spans="1:19" x14ac:dyDescent="0.3">
      <c r="A989" t="s">
        <v>1064</v>
      </c>
      <c r="B989" s="1">
        <v>45987</v>
      </c>
      <c r="C989" t="s">
        <v>78</v>
      </c>
      <c r="D989" t="s">
        <v>79</v>
      </c>
      <c r="E989" t="s">
        <v>38</v>
      </c>
      <c r="F989" t="s">
        <v>23</v>
      </c>
      <c r="G989">
        <v>81242.649999999994</v>
      </c>
      <c r="H989">
        <v>55764.11</v>
      </c>
      <c r="I989">
        <v>25478.54</v>
      </c>
      <c r="J989">
        <v>103163.28</v>
      </c>
      <c r="K989">
        <v>30919.98</v>
      </c>
      <c r="L989">
        <v>140823.84</v>
      </c>
      <c r="M989">
        <v>433</v>
      </c>
      <c r="N989">
        <v>5.7200000000000001E-2</v>
      </c>
      <c r="O989">
        <v>0.31359999999999999</v>
      </c>
      <c r="P989">
        <v>0.21959999999999999</v>
      </c>
      <c r="Q989" t="s">
        <v>66</v>
      </c>
      <c r="R989">
        <v>2025</v>
      </c>
      <c r="S989" t="s">
        <v>25</v>
      </c>
    </row>
    <row r="990" spans="1:19" x14ac:dyDescent="0.3">
      <c r="A990" t="s">
        <v>1065</v>
      </c>
      <c r="B990" s="1">
        <v>45460</v>
      </c>
      <c r="C990" t="s">
        <v>61</v>
      </c>
      <c r="D990" t="s">
        <v>275</v>
      </c>
      <c r="E990" t="s">
        <v>22</v>
      </c>
      <c r="F990" t="s">
        <v>23</v>
      </c>
      <c r="G990">
        <v>245642.26</v>
      </c>
      <c r="H990">
        <v>144213.07999999999</v>
      </c>
      <c r="I990">
        <v>101429.18</v>
      </c>
      <c r="J990">
        <v>7339.3</v>
      </c>
      <c r="K990">
        <v>23276.77</v>
      </c>
      <c r="L990">
        <v>102903.73</v>
      </c>
      <c r="M990">
        <v>822</v>
      </c>
      <c r="N990">
        <v>-4.4499999999999998E-2</v>
      </c>
      <c r="O990">
        <v>0.41289999999999999</v>
      </c>
      <c r="P990">
        <v>0.22620000000000001</v>
      </c>
      <c r="Q990" t="s">
        <v>111</v>
      </c>
      <c r="R990">
        <v>2024</v>
      </c>
      <c r="S990" t="s">
        <v>25</v>
      </c>
    </row>
    <row r="991" spans="1:19" x14ac:dyDescent="0.3">
      <c r="A991" t="s">
        <v>1066</v>
      </c>
      <c r="B991" s="1">
        <v>44733</v>
      </c>
      <c r="C991" t="s">
        <v>42</v>
      </c>
      <c r="D991" t="s">
        <v>43</v>
      </c>
      <c r="E991" t="s">
        <v>32</v>
      </c>
      <c r="F991" t="s">
        <v>33</v>
      </c>
      <c r="G991">
        <v>116600.84</v>
      </c>
      <c r="H991">
        <v>74245.13</v>
      </c>
      <c r="I991">
        <v>42355.71</v>
      </c>
      <c r="J991">
        <v>79833.210000000006</v>
      </c>
      <c r="K991">
        <v>12952.09</v>
      </c>
      <c r="L991">
        <v>194857.54</v>
      </c>
      <c r="M991">
        <v>1144</v>
      </c>
      <c r="N991">
        <v>-5.8900000000000001E-2</v>
      </c>
      <c r="O991">
        <v>0.36330000000000001</v>
      </c>
      <c r="P991">
        <v>6.6500000000000004E-2</v>
      </c>
      <c r="Q991" t="s">
        <v>58</v>
      </c>
      <c r="R991">
        <v>2022</v>
      </c>
      <c r="S991" t="s">
        <v>25</v>
      </c>
    </row>
    <row r="992" spans="1:19" x14ac:dyDescent="0.3">
      <c r="A992" t="s">
        <v>1067</v>
      </c>
      <c r="B992" s="1">
        <v>45505</v>
      </c>
      <c r="C992" t="s">
        <v>30</v>
      </c>
      <c r="D992" t="s">
        <v>31</v>
      </c>
      <c r="E992" t="s">
        <v>32</v>
      </c>
      <c r="F992" t="s">
        <v>33</v>
      </c>
      <c r="G992">
        <v>21379.24</v>
      </c>
      <c r="H992">
        <v>15671.17</v>
      </c>
      <c r="I992">
        <v>5708.07</v>
      </c>
      <c r="J992">
        <v>40569.68</v>
      </c>
      <c r="K992">
        <v>43361.11</v>
      </c>
      <c r="L992">
        <v>173844.81</v>
      </c>
      <c r="M992">
        <v>1718</v>
      </c>
      <c r="N992">
        <v>2.41E-2</v>
      </c>
      <c r="O992">
        <v>0.26700000000000002</v>
      </c>
      <c r="P992">
        <v>0.24940000000000001</v>
      </c>
      <c r="Q992" t="s">
        <v>72</v>
      </c>
      <c r="R992">
        <v>2024</v>
      </c>
      <c r="S992" t="s">
        <v>25</v>
      </c>
    </row>
    <row r="993" spans="1:19" x14ac:dyDescent="0.3">
      <c r="A993" t="s">
        <v>1068</v>
      </c>
      <c r="B993" s="1">
        <v>45590</v>
      </c>
      <c r="C993" t="s">
        <v>42</v>
      </c>
      <c r="D993" t="s">
        <v>227</v>
      </c>
      <c r="E993" t="s">
        <v>22</v>
      </c>
      <c r="F993" t="s">
        <v>23</v>
      </c>
      <c r="G993">
        <v>97140.479999999996</v>
      </c>
      <c r="H993">
        <v>86832.66</v>
      </c>
      <c r="I993">
        <v>10307.82</v>
      </c>
      <c r="J993">
        <v>16258.93</v>
      </c>
      <c r="K993">
        <v>20687.09</v>
      </c>
      <c r="L993">
        <v>62119.65</v>
      </c>
      <c r="M993">
        <v>1635</v>
      </c>
      <c r="N993">
        <v>-1.1599999999999999E-2</v>
      </c>
      <c r="O993">
        <v>0.1061</v>
      </c>
      <c r="P993">
        <v>0.33300000000000002</v>
      </c>
      <c r="Q993" t="s">
        <v>52</v>
      </c>
      <c r="R993">
        <v>2024</v>
      </c>
      <c r="S993" t="s">
        <v>40</v>
      </c>
    </row>
    <row r="994" spans="1:19" x14ac:dyDescent="0.3">
      <c r="A994" t="s">
        <v>1069</v>
      </c>
      <c r="B994" s="1">
        <v>45700</v>
      </c>
      <c r="C994" t="s">
        <v>78</v>
      </c>
      <c r="D994" t="s">
        <v>79</v>
      </c>
      <c r="E994" t="s">
        <v>22</v>
      </c>
      <c r="F994" t="s">
        <v>23</v>
      </c>
      <c r="G994">
        <v>362692.99</v>
      </c>
      <c r="H994">
        <v>236372.86</v>
      </c>
      <c r="I994">
        <v>126320.13</v>
      </c>
      <c r="J994">
        <v>30447.69</v>
      </c>
      <c r="K994">
        <v>46862.12</v>
      </c>
      <c r="L994">
        <v>226938.47</v>
      </c>
      <c r="M994">
        <v>629</v>
      </c>
      <c r="N994">
        <v>6.2E-2</v>
      </c>
      <c r="O994">
        <v>0.3483</v>
      </c>
      <c r="P994">
        <v>0.20649999999999999</v>
      </c>
      <c r="Q994" t="s">
        <v>106</v>
      </c>
      <c r="R994">
        <v>2025</v>
      </c>
      <c r="S994" t="s">
        <v>25</v>
      </c>
    </row>
    <row r="995" spans="1:19" x14ac:dyDescent="0.3">
      <c r="A995" t="s">
        <v>1070</v>
      </c>
      <c r="B995" s="1">
        <v>44658</v>
      </c>
      <c r="C995" t="s">
        <v>30</v>
      </c>
      <c r="D995" t="s">
        <v>31</v>
      </c>
      <c r="E995" t="s">
        <v>51</v>
      </c>
      <c r="F995" t="s">
        <v>23</v>
      </c>
      <c r="G995">
        <v>142098.51</v>
      </c>
      <c r="H995">
        <v>123560.41</v>
      </c>
      <c r="I995">
        <v>18538.099999999999</v>
      </c>
      <c r="J995">
        <v>38095.31</v>
      </c>
      <c r="K995">
        <v>10056.51</v>
      </c>
      <c r="L995">
        <v>77944.179999999993</v>
      </c>
      <c r="M995">
        <v>764</v>
      </c>
      <c r="N995">
        <v>0.11990000000000001</v>
      </c>
      <c r="O995">
        <v>0.1305</v>
      </c>
      <c r="P995">
        <v>0.129</v>
      </c>
      <c r="Q995" t="s">
        <v>58</v>
      </c>
      <c r="R995">
        <v>2022</v>
      </c>
      <c r="S995" t="s">
        <v>25</v>
      </c>
    </row>
    <row r="996" spans="1:19" x14ac:dyDescent="0.3">
      <c r="A996" t="s">
        <v>1071</v>
      </c>
      <c r="B996" s="1">
        <v>45805</v>
      </c>
      <c r="C996" t="s">
        <v>20</v>
      </c>
      <c r="D996" t="s">
        <v>21</v>
      </c>
      <c r="E996" t="s">
        <v>38</v>
      </c>
      <c r="F996" t="s">
        <v>23</v>
      </c>
      <c r="G996">
        <v>70249.649999999994</v>
      </c>
      <c r="H996">
        <v>38714.31</v>
      </c>
      <c r="I996">
        <v>31535.34</v>
      </c>
      <c r="J996">
        <v>73513.83</v>
      </c>
      <c r="K996">
        <v>14450.33</v>
      </c>
      <c r="L996">
        <v>99094.98</v>
      </c>
      <c r="M996">
        <v>1239</v>
      </c>
      <c r="N996">
        <v>-9.7000000000000003E-3</v>
      </c>
      <c r="O996">
        <v>0.44890000000000002</v>
      </c>
      <c r="P996">
        <v>0.14580000000000001</v>
      </c>
      <c r="Q996" t="s">
        <v>34</v>
      </c>
      <c r="R996">
        <v>2025</v>
      </c>
      <c r="S996" t="s">
        <v>25</v>
      </c>
    </row>
    <row r="997" spans="1:19" x14ac:dyDescent="0.3">
      <c r="A997" t="s">
        <v>1072</v>
      </c>
      <c r="B997" s="1">
        <v>44909</v>
      </c>
      <c r="C997" t="s">
        <v>54</v>
      </c>
      <c r="D997" t="s">
        <v>55</v>
      </c>
      <c r="E997" t="s">
        <v>65</v>
      </c>
      <c r="F997" t="s">
        <v>23</v>
      </c>
      <c r="G997">
        <v>90375.47</v>
      </c>
      <c r="H997">
        <v>55964.68</v>
      </c>
      <c r="I997">
        <v>34410.79</v>
      </c>
      <c r="J997">
        <v>10262.92</v>
      </c>
      <c r="K997">
        <v>69133.73</v>
      </c>
      <c r="L997">
        <v>57051.92</v>
      </c>
      <c r="M997">
        <v>554</v>
      </c>
      <c r="N997">
        <v>0.13270000000000001</v>
      </c>
      <c r="O997">
        <v>0.38080000000000003</v>
      </c>
      <c r="P997">
        <v>1.2118</v>
      </c>
      <c r="Q997" t="s">
        <v>46</v>
      </c>
      <c r="R997">
        <v>2022</v>
      </c>
      <c r="S997" t="s">
        <v>82</v>
      </c>
    </row>
    <row r="998" spans="1:19" x14ac:dyDescent="0.3">
      <c r="A998" t="s">
        <v>1073</v>
      </c>
      <c r="B998" s="1">
        <v>45200</v>
      </c>
      <c r="C998" t="s">
        <v>27</v>
      </c>
      <c r="D998" t="s">
        <v>28</v>
      </c>
      <c r="E998" t="s">
        <v>32</v>
      </c>
      <c r="F998" t="s">
        <v>33</v>
      </c>
      <c r="G998">
        <v>64626.26</v>
      </c>
      <c r="H998">
        <v>39694.58</v>
      </c>
      <c r="I998">
        <v>24931.68</v>
      </c>
      <c r="J998">
        <v>52486.43</v>
      </c>
      <c r="K998">
        <v>15375.79</v>
      </c>
      <c r="L998">
        <v>135223.66</v>
      </c>
      <c r="M998">
        <v>477</v>
      </c>
      <c r="N998">
        <v>-0.1216</v>
      </c>
      <c r="O998">
        <v>0.38579999999999998</v>
      </c>
      <c r="P998">
        <v>0.1137</v>
      </c>
      <c r="Q998" t="s">
        <v>44</v>
      </c>
      <c r="R998">
        <v>2023</v>
      </c>
      <c r="S998" t="s">
        <v>25</v>
      </c>
    </row>
    <row r="999" spans="1:19" x14ac:dyDescent="0.3">
      <c r="A999" t="s">
        <v>1074</v>
      </c>
      <c r="B999" t="s">
        <v>1075</v>
      </c>
      <c r="C999" t="s">
        <v>48</v>
      </c>
      <c r="D999" t="s">
        <v>49</v>
      </c>
      <c r="E999" t="s">
        <v>22</v>
      </c>
      <c r="F999" t="s">
        <v>23</v>
      </c>
      <c r="G999">
        <v>115744.56</v>
      </c>
      <c r="H999">
        <v>95207.19</v>
      </c>
      <c r="I999">
        <v>20537.37</v>
      </c>
      <c r="J999">
        <v>30988.73</v>
      </c>
      <c r="K999">
        <v>170204.73</v>
      </c>
      <c r="L999">
        <v>51951.29</v>
      </c>
      <c r="M999">
        <v>1284</v>
      </c>
      <c r="N999">
        <v>0.1348</v>
      </c>
      <c r="O999">
        <v>0.1774</v>
      </c>
      <c r="P999">
        <v>3.2761999999999998</v>
      </c>
      <c r="Q999" t="s">
        <v>106</v>
      </c>
      <c r="R999">
        <v>2025</v>
      </c>
      <c r="S999" t="s">
        <v>82</v>
      </c>
    </row>
    <row r="1000" spans="1:19" x14ac:dyDescent="0.3">
      <c r="A1000" t="s">
        <v>1076</v>
      </c>
      <c r="B1000" s="1">
        <v>45680</v>
      </c>
      <c r="C1000" t="s">
        <v>36</v>
      </c>
      <c r="D1000" t="s">
        <v>37</v>
      </c>
      <c r="E1000" t="s">
        <v>32</v>
      </c>
      <c r="F1000" t="s">
        <v>33</v>
      </c>
      <c r="G1000">
        <v>154047.79999999999</v>
      </c>
      <c r="H1000">
        <v>119759.51</v>
      </c>
      <c r="I1000">
        <v>34288.29</v>
      </c>
      <c r="J1000">
        <v>80145.08</v>
      </c>
      <c r="K1000">
        <v>25490.03</v>
      </c>
      <c r="L1000">
        <v>226707.81</v>
      </c>
      <c r="M1000">
        <v>769</v>
      </c>
      <c r="N1000">
        <v>7.7700000000000005E-2</v>
      </c>
      <c r="O1000">
        <v>0.22259999999999999</v>
      </c>
      <c r="P1000">
        <v>0.1124</v>
      </c>
      <c r="Q1000" t="s">
        <v>106</v>
      </c>
      <c r="R1000">
        <v>2025</v>
      </c>
      <c r="S1000" t="s">
        <v>25</v>
      </c>
    </row>
    <row r="1001" spans="1:19" x14ac:dyDescent="0.3">
      <c r="A1001" t="s">
        <v>1077</v>
      </c>
      <c r="B1001" s="1">
        <v>45668</v>
      </c>
      <c r="C1001" t="s">
        <v>30</v>
      </c>
      <c r="D1001" t="s">
        <v>31</v>
      </c>
      <c r="E1001" t="s">
        <v>22</v>
      </c>
      <c r="F1001" t="s">
        <v>23</v>
      </c>
      <c r="G1001">
        <v>83671.539999999994</v>
      </c>
      <c r="H1001">
        <v>74424.3</v>
      </c>
      <c r="I1001">
        <v>9247.24</v>
      </c>
      <c r="J1001">
        <v>62512.86</v>
      </c>
      <c r="K1001">
        <v>36792.75</v>
      </c>
      <c r="L1001">
        <v>653047.44999999995</v>
      </c>
      <c r="M1001">
        <v>1000</v>
      </c>
      <c r="N1001">
        <v>-0.1023</v>
      </c>
      <c r="O1001">
        <v>0.1105</v>
      </c>
      <c r="P1001">
        <v>5.6300000000000003E-2</v>
      </c>
      <c r="Q1001" t="s">
        <v>106</v>
      </c>
      <c r="R1001">
        <v>2025</v>
      </c>
      <c r="S1001" t="s">
        <v>25</v>
      </c>
    </row>
    <row r="1002" spans="1:19" x14ac:dyDescent="0.3">
      <c r="A1002" t="s">
        <v>1078</v>
      </c>
      <c r="B1002" s="1">
        <v>45140</v>
      </c>
      <c r="C1002" t="s">
        <v>61</v>
      </c>
      <c r="D1002" t="s">
        <v>74</v>
      </c>
      <c r="E1002" t="s">
        <v>22</v>
      </c>
      <c r="F1002" t="s">
        <v>23</v>
      </c>
      <c r="G1002">
        <v>64323.32</v>
      </c>
      <c r="H1002">
        <v>56253.88</v>
      </c>
      <c r="I1002">
        <v>8069.44</v>
      </c>
      <c r="J1002">
        <v>26439.97</v>
      </c>
      <c r="K1002">
        <v>14722.37</v>
      </c>
      <c r="L1002">
        <v>36773.06</v>
      </c>
      <c r="M1002">
        <v>926</v>
      </c>
      <c r="N1002">
        <v>9.5299999999999996E-2</v>
      </c>
      <c r="O1002">
        <v>0.1255</v>
      </c>
      <c r="P1002">
        <v>0.40039999999999998</v>
      </c>
      <c r="Q1002" t="s">
        <v>56</v>
      </c>
      <c r="R1002">
        <v>2023</v>
      </c>
      <c r="S1002" t="s">
        <v>40</v>
      </c>
    </row>
    <row r="1003" spans="1:19" x14ac:dyDescent="0.3">
      <c r="A1003" t="s">
        <v>1079</v>
      </c>
      <c r="B1003" s="1">
        <v>44712</v>
      </c>
      <c r="C1003" t="s">
        <v>61</v>
      </c>
      <c r="D1003" t="s">
        <v>74</v>
      </c>
      <c r="E1003" t="s">
        <v>38</v>
      </c>
      <c r="F1003" t="s">
        <v>23</v>
      </c>
      <c r="G1003">
        <v>71505.759999999995</v>
      </c>
      <c r="H1003">
        <v>51507.1</v>
      </c>
      <c r="I1003">
        <v>19998.66</v>
      </c>
      <c r="J1003">
        <v>61945.01</v>
      </c>
      <c r="K1003">
        <v>10797.47</v>
      </c>
      <c r="L1003">
        <v>132366.18</v>
      </c>
      <c r="M1003">
        <v>1591</v>
      </c>
      <c r="N1003">
        <v>1.1000000000000001E-3</v>
      </c>
      <c r="O1003">
        <v>0.2797</v>
      </c>
      <c r="P1003">
        <v>8.1600000000000006E-2</v>
      </c>
      <c r="Q1003" t="s">
        <v>58</v>
      </c>
      <c r="R1003">
        <v>2022</v>
      </c>
      <c r="S1003" t="s">
        <v>25</v>
      </c>
    </row>
    <row r="1004" spans="1:19" x14ac:dyDescent="0.3">
      <c r="A1004" t="s">
        <v>1080</v>
      </c>
      <c r="B1004" s="1">
        <v>45880</v>
      </c>
      <c r="C1004" t="s">
        <v>30</v>
      </c>
      <c r="D1004" t="s">
        <v>31</v>
      </c>
      <c r="E1004" t="s">
        <v>32</v>
      </c>
      <c r="F1004" t="s">
        <v>33</v>
      </c>
      <c r="G1004">
        <v>71048.34</v>
      </c>
      <c r="H1004">
        <v>41327.599999999999</v>
      </c>
      <c r="I1004">
        <v>29720.74</v>
      </c>
      <c r="J1004">
        <v>27344.69</v>
      </c>
      <c r="K1004">
        <v>21909.33</v>
      </c>
      <c r="L1004">
        <v>70142.31</v>
      </c>
      <c r="M1004">
        <v>1131</v>
      </c>
      <c r="N1004">
        <v>0.17780000000000001</v>
      </c>
      <c r="O1004">
        <v>0.41830000000000001</v>
      </c>
      <c r="P1004">
        <v>0.31240000000000001</v>
      </c>
      <c r="Q1004" t="s">
        <v>24</v>
      </c>
      <c r="R1004">
        <v>2025</v>
      </c>
      <c r="S1004" t="s">
        <v>40</v>
      </c>
    </row>
    <row r="1005" spans="1:19" x14ac:dyDescent="0.3">
      <c r="A1005" t="s">
        <v>1081</v>
      </c>
      <c r="B1005" s="1">
        <v>45755</v>
      </c>
      <c r="C1005" t="s">
        <v>36</v>
      </c>
      <c r="D1005" t="s">
        <v>37</v>
      </c>
      <c r="E1005" t="s">
        <v>22</v>
      </c>
      <c r="F1005" t="s">
        <v>23</v>
      </c>
      <c r="G1005">
        <v>99437.72</v>
      </c>
      <c r="H1005">
        <v>80901.119999999995</v>
      </c>
      <c r="I1005">
        <v>18536.599999999999</v>
      </c>
      <c r="J1005">
        <v>38276.06</v>
      </c>
      <c r="K1005">
        <v>83439.12</v>
      </c>
      <c r="L1005">
        <v>69357.009999999995</v>
      </c>
      <c r="M1005">
        <v>853</v>
      </c>
      <c r="N1005">
        <v>-2.4E-2</v>
      </c>
      <c r="O1005">
        <v>0.18640000000000001</v>
      </c>
      <c r="P1005">
        <v>1.2030000000000001</v>
      </c>
      <c r="Q1005" t="s">
        <v>34</v>
      </c>
      <c r="R1005">
        <v>2025</v>
      </c>
      <c r="S1005" t="s">
        <v>82</v>
      </c>
    </row>
    <row r="1006" spans="1:19" x14ac:dyDescent="0.3">
      <c r="A1006" t="s">
        <v>1082</v>
      </c>
      <c r="B1006" s="1">
        <v>44913</v>
      </c>
      <c r="C1006" t="s">
        <v>102</v>
      </c>
      <c r="D1006" t="s">
        <v>103</v>
      </c>
      <c r="E1006" t="s">
        <v>22</v>
      </c>
      <c r="F1006" t="s">
        <v>23</v>
      </c>
      <c r="G1006">
        <v>150244.42000000001</v>
      </c>
      <c r="H1006">
        <v>137569.09</v>
      </c>
      <c r="I1006">
        <v>12675.33</v>
      </c>
      <c r="J1006">
        <v>48855.46</v>
      </c>
      <c r="K1006">
        <v>64297.7</v>
      </c>
      <c r="L1006">
        <v>65791.87</v>
      </c>
      <c r="M1006">
        <v>1384</v>
      </c>
      <c r="N1006">
        <v>7.1599999999999997E-2</v>
      </c>
      <c r="O1006">
        <v>8.4400000000000003E-2</v>
      </c>
      <c r="P1006">
        <v>0.97729999999999995</v>
      </c>
      <c r="Q1006" t="s">
        <v>46</v>
      </c>
      <c r="R1006">
        <v>2022</v>
      </c>
      <c r="S1006" t="s">
        <v>82</v>
      </c>
    </row>
    <row r="1007" spans="1:19" x14ac:dyDescent="0.3">
      <c r="A1007" t="s">
        <v>1083</v>
      </c>
      <c r="B1007" s="1">
        <v>44686</v>
      </c>
      <c r="C1007" t="s">
        <v>48</v>
      </c>
      <c r="D1007" t="s">
        <v>49</v>
      </c>
      <c r="E1007" t="s">
        <v>38</v>
      </c>
      <c r="F1007" t="s">
        <v>23</v>
      </c>
      <c r="G1007">
        <v>78961.08</v>
      </c>
      <c r="H1007">
        <v>58981.45</v>
      </c>
      <c r="I1007">
        <v>19979.63</v>
      </c>
      <c r="J1007">
        <v>7557.53</v>
      </c>
      <c r="K1007">
        <v>37440.86</v>
      </c>
      <c r="L1007">
        <v>57824.01</v>
      </c>
      <c r="M1007">
        <v>732</v>
      </c>
      <c r="N1007">
        <v>2.0000000000000001E-4</v>
      </c>
      <c r="O1007">
        <v>0.253</v>
      </c>
      <c r="P1007">
        <v>0.64749999999999996</v>
      </c>
      <c r="Q1007" t="s">
        <v>58</v>
      </c>
      <c r="R1007">
        <v>2022</v>
      </c>
      <c r="S1007" t="s">
        <v>82</v>
      </c>
    </row>
    <row r="1008" spans="1:19" x14ac:dyDescent="0.3">
      <c r="A1008" t="s">
        <v>1084</v>
      </c>
      <c r="B1008" s="1">
        <v>44900</v>
      </c>
      <c r="C1008" t="s">
        <v>42</v>
      </c>
      <c r="D1008" t="s">
        <v>43</v>
      </c>
      <c r="E1008" t="s">
        <v>38</v>
      </c>
      <c r="F1008" t="s">
        <v>23</v>
      </c>
      <c r="G1008">
        <v>47956.76</v>
      </c>
      <c r="H1008">
        <v>40911.47</v>
      </c>
      <c r="I1008">
        <v>7045.29</v>
      </c>
      <c r="J1008">
        <v>24865.98</v>
      </c>
      <c r="K1008">
        <v>87771.93</v>
      </c>
      <c r="L1008">
        <v>44562.6</v>
      </c>
      <c r="M1008">
        <v>640</v>
      </c>
      <c r="N1008">
        <v>0.124</v>
      </c>
      <c r="O1008">
        <v>0.1469</v>
      </c>
      <c r="P1008">
        <v>1.9696</v>
      </c>
      <c r="Q1008" t="s">
        <v>46</v>
      </c>
      <c r="R1008">
        <v>2022</v>
      </c>
      <c r="S1008" t="s">
        <v>82</v>
      </c>
    </row>
    <row r="1009" spans="1:19" x14ac:dyDescent="0.3">
      <c r="A1009" t="s">
        <v>1085</v>
      </c>
      <c r="B1009" s="3">
        <v>45092</v>
      </c>
      <c r="C1009" t="s">
        <v>102</v>
      </c>
      <c r="D1009" t="s">
        <v>103</v>
      </c>
      <c r="E1009" t="s">
        <v>22</v>
      </c>
      <c r="F1009" t="s">
        <v>23</v>
      </c>
      <c r="G1009">
        <v>277426.28000000003</v>
      </c>
      <c r="H1009">
        <v>250387.6</v>
      </c>
      <c r="I1009">
        <v>27038.68</v>
      </c>
      <c r="J1009">
        <v>20218.169999999998</v>
      </c>
      <c r="K1009">
        <v>20184.97</v>
      </c>
      <c r="L1009">
        <v>33138.83</v>
      </c>
      <c r="M1009">
        <v>1500</v>
      </c>
      <c r="N1009">
        <v>-6.93E-2</v>
      </c>
      <c r="O1009">
        <v>9.7500000000000003E-2</v>
      </c>
      <c r="P1009">
        <v>0.60909999999999997</v>
      </c>
      <c r="Q1009" t="s">
        <v>39</v>
      </c>
      <c r="R1009">
        <v>2023</v>
      </c>
      <c r="S1009" t="s">
        <v>82</v>
      </c>
    </row>
    <row r="1010" spans="1:19" x14ac:dyDescent="0.3">
      <c r="A1010" t="s">
        <v>1086</v>
      </c>
      <c r="B1010" s="1">
        <v>45136</v>
      </c>
      <c r="C1010" t="s">
        <v>102</v>
      </c>
      <c r="D1010" t="s">
        <v>103</v>
      </c>
      <c r="E1010" t="s">
        <v>38</v>
      </c>
      <c r="F1010" t="s">
        <v>23</v>
      </c>
      <c r="G1010">
        <v>67064.08</v>
      </c>
      <c r="H1010">
        <v>60937.599999999999</v>
      </c>
      <c r="I1010">
        <v>6126.48</v>
      </c>
      <c r="J1010">
        <v>24635.95</v>
      </c>
      <c r="K1010">
        <v>13670.24</v>
      </c>
      <c r="L1010">
        <v>41331.24</v>
      </c>
      <c r="M1010">
        <v>819</v>
      </c>
      <c r="N1010">
        <v>1.43E-2</v>
      </c>
      <c r="O1010">
        <v>9.1399999999999995E-2</v>
      </c>
      <c r="P1010">
        <v>0.33069999999999999</v>
      </c>
      <c r="Q1010" t="s">
        <v>56</v>
      </c>
      <c r="R1010">
        <v>2023</v>
      </c>
      <c r="S1010" t="s">
        <v>40</v>
      </c>
    </row>
    <row r="1011" spans="1:19" x14ac:dyDescent="0.3">
      <c r="A1011" t="s">
        <v>1087</v>
      </c>
      <c r="B1011" s="1">
        <v>45921</v>
      </c>
      <c r="C1011" t="s">
        <v>68</v>
      </c>
      <c r="D1011" t="s">
        <v>69</v>
      </c>
      <c r="E1011" t="s">
        <v>22</v>
      </c>
      <c r="F1011" t="s">
        <v>23</v>
      </c>
      <c r="G1011">
        <v>152496.07</v>
      </c>
      <c r="H1011">
        <v>137648.79999999999</v>
      </c>
      <c r="I1011">
        <v>14847.27</v>
      </c>
      <c r="J1011">
        <v>30551.96</v>
      </c>
      <c r="K1011">
        <v>10088.61</v>
      </c>
      <c r="L1011">
        <v>78844.7</v>
      </c>
      <c r="M1011">
        <v>757</v>
      </c>
      <c r="N1011">
        <v>0.1024</v>
      </c>
      <c r="O1011">
        <v>9.74E-2</v>
      </c>
      <c r="P1011">
        <v>0.128</v>
      </c>
      <c r="Q1011" t="s">
        <v>24</v>
      </c>
      <c r="R1011">
        <v>2025</v>
      </c>
      <c r="S1011" t="s">
        <v>25</v>
      </c>
    </row>
    <row r="1012" spans="1:19" x14ac:dyDescent="0.3">
      <c r="A1012" t="s">
        <v>1088</v>
      </c>
      <c r="B1012" s="1">
        <v>44710</v>
      </c>
      <c r="C1012" t="s">
        <v>27</v>
      </c>
      <c r="D1012" t="s">
        <v>28</v>
      </c>
      <c r="E1012" t="s">
        <v>38</v>
      </c>
      <c r="F1012" t="s">
        <v>23</v>
      </c>
      <c r="G1012">
        <v>51791.42</v>
      </c>
      <c r="H1012">
        <v>40638.879999999997</v>
      </c>
      <c r="I1012">
        <v>11152.54</v>
      </c>
      <c r="J1012">
        <v>14035</v>
      </c>
      <c r="K1012">
        <v>20441.689999999999</v>
      </c>
      <c r="L1012">
        <v>155054.79</v>
      </c>
      <c r="M1012">
        <v>1511</v>
      </c>
      <c r="N1012">
        <v>-2.8999999999999998E-3</v>
      </c>
      <c r="O1012">
        <v>0.21529999999999999</v>
      </c>
      <c r="P1012">
        <v>0.1318</v>
      </c>
      <c r="Q1012" t="s">
        <v>58</v>
      </c>
      <c r="R1012">
        <v>2022</v>
      </c>
      <c r="S1012" t="s">
        <v>25</v>
      </c>
    </row>
    <row r="1013" spans="1:19" x14ac:dyDescent="0.3">
      <c r="A1013" t="s">
        <v>1089</v>
      </c>
      <c r="B1013" s="1">
        <v>45916</v>
      </c>
      <c r="C1013" t="s">
        <v>85</v>
      </c>
      <c r="D1013" t="s">
        <v>86</v>
      </c>
      <c r="E1013" t="s">
        <v>22</v>
      </c>
      <c r="F1013" t="s">
        <v>23</v>
      </c>
      <c r="G1013">
        <v>157835.23000000001</v>
      </c>
      <c r="H1013">
        <v>119699.6</v>
      </c>
      <c r="I1013">
        <v>38135.629999999997</v>
      </c>
      <c r="J1013">
        <v>14541.12</v>
      </c>
      <c r="K1013">
        <v>18106.169999999998</v>
      </c>
      <c r="L1013">
        <v>45495.53</v>
      </c>
      <c r="M1013">
        <v>1027</v>
      </c>
      <c r="N1013">
        <v>5.7599999999999998E-2</v>
      </c>
      <c r="O1013">
        <v>0.24160000000000001</v>
      </c>
      <c r="P1013">
        <v>0.39800000000000002</v>
      </c>
      <c r="Q1013" t="s">
        <v>24</v>
      </c>
      <c r="R1013">
        <v>2025</v>
      </c>
      <c r="S1013" t="s">
        <v>40</v>
      </c>
    </row>
    <row r="1014" spans="1:19" x14ac:dyDescent="0.3">
      <c r="A1014" t="s">
        <v>1090</v>
      </c>
      <c r="B1014" s="1">
        <v>45399</v>
      </c>
      <c r="C1014" t="s">
        <v>61</v>
      </c>
      <c r="D1014" t="s">
        <v>74</v>
      </c>
      <c r="E1014" t="s">
        <v>22</v>
      </c>
      <c r="F1014" t="s">
        <v>23</v>
      </c>
      <c r="G1014">
        <v>57711.48</v>
      </c>
      <c r="H1014">
        <v>39145.769999999997</v>
      </c>
      <c r="I1014">
        <v>18565.71</v>
      </c>
      <c r="J1014">
        <v>135613.44</v>
      </c>
      <c r="K1014">
        <v>28299.11</v>
      </c>
      <c r="L1014">
        <v>184298.14</v>
      </c>
      <c r="M1014">
        <v>533</v>
      </c>
      <c r="N1014">
        <v>-0.12620000000000001</v>
      </c>
      <c r="O1014">
        <v>0.32169999999999999</v>
      </c>
      <c r="P1014">
        <v>0.15359999999999999</v>
      </c>
      <c r="Q1014" t="s">
        <v>111</v>
      </c>
      <c r="R1014">
        <v>2024</v>
      </c>
      <c r="S1014" t="s">
        <v>25</v>
      </c>
    </row>
    <row r="1015" spans="1:19" x14ac:dyDescent="0.3">
      <c r="A1015" t="s">
        <v>1091</v>
      </c>
      <c r="B1015" s="1">
        <v>45486</v>
      </c>
      <c r="C1015" t="s">
        <v>27</v>
      </c>
      <c r="D1015" t="s">
        <v>28</v>
      </c>
      <c r="E1015" t="s">
        <v>51</v>
      </c>
      <c r="F1015" t="s">
        <v>23</v>
      </c>
      <c r="G1015">
        <v>79873.440000000002</v>
      </c>
      <c r="H1015">
        <v>70593.09</v>
      </c>
      <c r="I1015">
        <v>9280.35</v>
      </c>
      <c r="J1015">
        <v>19695.849999999999</v>
      </c>
      <c r="K1015">
        <v>26882.86</v>
      </c>
      <c r="L1015">
        <v>67133.69</v>
      </c>
      <c r="M1015">
        <v>1395</v>
      </c>
      <c r="N1015">
        <v>-0.1273</v>
      </c>
      <c r="O1015">
        <v>0.1162</v>
      </c>
      <c r="P1015">
        <v>0.40039999999999998</v>
      </c>
      <c r="Q1015" t="s">
        <v>72</v>
      </c>
      <c r="R1015">
        <v>2024</v>
      </c>
      <c r="S1015" t="s">
        <v>40</v>
      </c>
    </row>
    <row r="1016" spans="1:19" x14ac:dyDescent="0.3">
      <c r="A1016" t="s">
        <v>1092</v>
      </c>
      <c r="B1016" s="1">
        <v>45697</v>
      </c>
      <c r="C1016" t="s">
        <v>48</v>
      </c>
      <c r="D1016" t="s">
        <v>49</v>
      </c>
      <c r="E1016" t="s">
        <v>38</v>
      </c>
      <c r="F1016" t="s">
        <v>23</v>
      </c>
      <c r="G1016">
        <v>33389.67</v>
      </c>
      <c r="H1016">
        <v>26054.61</v>
      </c>
      <c r="I1016">
        <v>7335.06</v>
      </c>
      <c r="J1016">
        <v>118032.27</v>
      </c>
      <c r="K1016">
        <v>16326.26</v>
      </c>
      <c r="L1016">
        <v>143867.16</v>
      </c>
      <c r="M1016">
        <v>2249</v>
      </c>
      <c r="N1016">
        <v>0.1114</v>
      </c>
      <c r="O1016">
        <v>0.21970000000000001</v>
      </c>
      <c r="P1016">
        <v>0.1135</v>
      </c>
      <c r="Q1016" t="s">
        <v>106</v>
      </c>
      <c r="R1016">
        <v>2025</v>
      </c>
      <c r="S1016" t="s">
        <v>25</v>
      </c>
    </row>
    <row r="1017" spans="1:19" x14ac:dyDescent="0.3">
      <c r="A1017" t="s">
        <v>1093</v>
      </c>
      <c r="B1017" s="1">
        <v>45454</v>
      </c>
      <c r="C1017" t="s">
        <v>54</v>
      </c>
      <c r="D1017" t="s">
        <v>55</v>
      </c>
      <c r="E1017" t="s">
        <v>51</v>
      </c>
      <c r="F1017" t="s">
        <v>23</v>
      </c>
      <c r="G1017">
        <v>52126.59</v>
      </c>
      <c r="H1017">
        <v>32516.2</v>
      </c>
      <c r="I1017">
        <v>19610.39</v>
      </c>
      <c r="J1017">
        <v>16658.28</v>
      </c>
      <c r="K1017">
        <v>60107.98</v>
      </c>
      <c r="L1017">
        <v>274521.42</v>
      </c>
      <c r="M1017">
        <v>448</v>
      </c>
      <c r="N1017">
        <v>-6.8099999999999994E-2</v>
      </c>
      <c r="O1017">
        <v>0.37619999999999998</v>
      </c>
      <c r="P1017">
        <v>0.219</v>
      </c>
      <c r="Q1017" t="s">
        <v>111</v>
      </c>
      <c r="R1017">
        <v>2024</v>
      </c>
      <c r="S1017" t="s">
        <v>25</v>
      </c>
    </row>
    <row r="1018" spans="1:19" x14ac:dyDescent="0.3">
      <c r="A1018" t="s">
        <v>1094</v>
      </c>
      <c r="B1018" s="1">
        <v>44647</v>
      </c>
      <c r="C1018" t="s">
        <v>30</v>
      </c>
      <c r="D1018" t="s">
        <v>31</v>
      </c>
      <c r="E1018" t="s">
        <v>38</v>
      </c>
      <c r="F1018" t="s">
        <v>23</v>
      </c>
      <c r="G1018">
        <v>150696.29999999999</v>
      </c>
      <c r="H1018">
        <v>129405.9</v>
      </c>
      <c r="I1018">
        <v>21290.400000000001</v>
      </c>
      <c r="J1018">
        <v>59373.27</v>
      </c>
      <c r="K1018">
        <v>17532.32</v>
      </c>
      <c r="L1018">
        <v>111620.8</v>
      </c>
      <c r="M1018">
        <v>528</v>
      </c>
      <c r="N1018">
        <v>4.48E-2</v>
      </c>
      <c r="O1018">
        <v>0.14130000000000001</v>
      </c>
      <c r="P1018">
        <v>0.15709999999999999</v>
      </c>
      <c r="Q1018" t="s">
        <v>90</v>
      </c>
      <c r="R1018">
        <v>2022</v>
      </c>
      <c r="S1018" t="s">
        <v>25</v>
      </c>
    </row>
    <row r="1019" spans="1:19" x14ac:dyDescent="0.3">
      <c r="A1019" t="s">
        <v>1095</v>
      </c>
      <c r="B1019" s="1">
        <v>45846</v>
      </c>
      <c r="C1019" t="s">
        <v>42</v>
      </c>
      <c r="D1019" t="s">
        <v>43</v>
      </c>
      <c r="E1019" t="s">
        <v>22</v>
      </c>
      <c r="F1019" t="s">
        <v>23</v>
      </c>
      <c r="G1019">
        <v>115754.7</v>
      </c>
      <c r="H1019">
        <v>73393.710000000006</v>
      </c>
      <c r="I1019">
        <v>42360.99</v>
      </c>
      <c r="J1019">
        <v>32422.71</v>
      </c>
      <c r="K1019">
        <v>89999.49</v>
      </c>
      <c r="L1019">
        <v>50936.44</v>
      </c>
      <c r="M1019">
        <v>1062</v>
      </c>
      <c r="N1019">
        <v>2.7900000000000001E-2</v>
      </c>
      <c r="O1019">
        <v>0.36599999999999999</v>
      </c>
      <c r="P1019">
        <v>1.7668999999999999</v>
      </c>
      <c r="Q1019" t="s">
        <v>24</v>
      </c>
      <c r="R1019">
        <v>2025</v>
      </c>
      <c r="S1019" t="s">
        <v>82</v>
      </c>
    </row>
    <row r="1020" spans="1:19" x14ac:dyDescent="0.3">
      <c r="A1020" t="s">
        <v>1096</v>
      </c>
      <c r="B1020" s="1">
        <v>45546</v>
      </c>
      <c r="C1020" t="s">
        <v>85</v>
      </c>
      <c r="D1020" t="s">
        <v>86</v>
      </c>
      <c r="E1020" t="s">
        <v>22</v>
      </c>
      <c r="F1020" t="s">
        <v>23</v>
      </c>
      <c r="G1020">
        <v>52364.639999999999</v>
      </c>
      <c r="H1020">
        <v>29903.01</v>
      </c>
      <c r="I1020">
        <v>22461.63</v>
      </c>
      <c r="J1020">
        <v>58947.75</v>
      </c>
      <c r="K1020">
        <v>24830.85</v>
      </c>
      <c r="L1020">
        <v>96618.559999999998</v>
      </c>
      <c r="M1020">
        <v>831</v>
      </c>
      <c r="N1020">
        <v>3.5700000000000003E-2</v>
      </c>
      <c r="O1020">
        <v>0.4289</v>
      </c>
      <c r="P1020">
        <v>0.25700000000000001</v>
      </c>
      <c r="Q1020" t="s">
        <v>72</v>
      </c>
      <c r="R1020">
        <v>2024</v>
      </c>
      <c r="S1020" t="s">
        <v>25</v>
      </c>
    </row>
    <row r="1021" spans="1:19" x14ac:dyDescent="0.3">
      <c r="A1021" t="s">
        <v>1097</v>
      </c>
      <c r="B1021" s="1">
        <v>44904</v>
      </c>
      <c r="C1021" t="s">
        <v>68</v>
      </c>
      <c r="D1021" t="s">
        <v>69</v>
      </c>
      <c r="E1021" t="s">
        <v>38</v>
      </c>
      <c r="F1021" t="s">
        <v>23</v>
      </c>
      <c r="G1021">
        <v>65670.3</v>
      </c>
      <c r="H1021">
        <v>46410.96</v>
      </c>
      <c r="I1021">
        <v>19259.34</v>
      </c>
      <c r="J1021">
        <v>57305.32</v>
      </c>
      <c r="K1021">
        <v>34089.56</v>
      </c>
      <c r="L1021">
        <v>123580.56</v>
      </c>
      <c r="M1021">
        <v>741</v>
      </c>
      <c r="N1021">
        <v>-0.1143</v>
      </c>
      <c r="O1021">
        <v>0.29330000000000001</v>
      </c>
      <c r="P1021">
        <v>0.27579999999999999</v>
      </c>
      <c r="Q1021" t="s">
        <v>46</v>
      </c>
      <c r="R1021">
        <v>2022</v>
      </c>
      <c r="S1021" t="s">
        <v>25</v>
      </c>
    </row>
    <row r="1022" spans="1:19" x14ac:dyDescent="0.3">
      <c r="A1022" t="s">
        <v>1098</v>
      </c>
      <c r="B1022" s="1">
        <v>45010</v>
      </c>
      <c r="C1022" t="s">
        <v>61</v>
      </c>
      <c r="D1022" t="s">
        <v>74</v>
      </c>
      <c r="E1022" t="s">
        <v>38</v>
      </c>
      <c r="F1022" t="s">
        <v>23</v>
      </c>
      <c r="G1022">
        <v>87613.34</v>
      </c>
      <c r="H1022">
        <v>54241.08</v>
      </c>
      <c r="I1022">
        <v>33372.26</v>
      </c>
      <c r="J1022">
        <v>18156.22</v>
      </c>
      <c r="K1022">
        <v>334274.71000000002</v>
      </c>
      <c r="L1022">
        <v>155356.99</v>
      </c>
      <c r="M1022">
        <v>856</v>
      </c>
      <c r="N1022">
        <v>8.8900000000000007E-2</v>
      </c>
      <c r="O1022">
        <v>0.38090000000000002</v>
      </c>
      <c r="P1022">
        <v>2.1516999999999999</v>
      </c>
      <c r="Q1022" t="s">
        <v>118</v>
      </c>
      <c r="R1022">
        <v>2023</v>
      </c>
      <c r="S1022" t="s">
        <v>82</v>
      </c>
    </row>
    <row r="1023" spans="1:19" x14ac:dyDescent="0.3">
      <c r="A1023" t="s">
        <v>1099</v>
      </c>
      <c r="B1023" s="1">
        <v>44694</v>
      </c>
      <c r="C1023" t="s">
        <v>30</v>
      </c>
      <c r="D1023" t="s">
        <v>31</v>
      </c>
      <c r="E1023" t="s">
        <v>38</v>
      </c>
      <c r="F1023" t="s">
        <v>23</v>
      </c>
      <c r="G1023">
        <v>23267.39</v>
      </c>
      <c r="H1023">
        <v>18550.97</v>
      </c>
      <c r="I1023">
        <v>4716.42</v>
      </c>
      <c r="J1023">
        <v>65857.59</v>
      </c>
      <c r="K1023">
        <v>15056.01</v>
      </c>
      <c r="L1023">
        <v>92493.94</v>
      </c>
      <c r="M1023">
        <v>857</v>
      </c>
      <c r="N1023">
        <v>3.3099999999999997E-2</v>
      </c>
      <c r="O1023">
        <v>0.20269999999999999</v>
      </c>
      <c r="P1023">
        <v>0.1628</v>
      </c>
      <c r="Q1023" t="s">
        <v>58</v>
      </c>
      <c r="R1023">
        <v>2022</v>
      </c>
      <c r="S1023" t="s">
        <v>25</v>
      </c>
    </row>
    <row r="1024" spans="1:19" x14ac:dyDescent="0.3">
      <c r="A1024" t="s">
        <v>1100</v>
      </c>
      <c r="B1024" s="1">
        <v>44794</v>
      </c>
      <c r="C1024" t="s">
        <v>85</v>
      </c>
      <c r="D1024" t="s">
        <v>86</v>
      </c>
      <c r="E1024" t="s">
        <v>32</v>
      </c>
      <c r="F1024" t="s">
        <v>33</v>
      </c>
      <c r="G1024">
        <v>91143.71</v>
      </c>
      <c r="H1024">
        <v>50967.94</v>
      </c>
      <c r="I1024">
        <v>40175.769999999997</v>
      </c>
      <c r="K1024">
        <v>52130.81</v>
      </c>
      <c r="L1024">
        <v>79401.06</v>
      </c>
      <c r="M1024">
        <v>585</v>
      </c>
      <c r="N1024">
        <v>-6.0699999999999997E-2</v>
      </c>
      <c r="O1024">
        <v>0.44080000000000003</v>
      </c>
      <c r="P1024">
        <v>0.65659999999999996</v>
      </c>
      <c r="Q1024" t="s">
        <v>76</v>
      </c>
      <c r="R1024">
        <v>2022</v>
      </c>
      <c r="S1024" t="s">
        <v>82</v>
      </c>
    </row>
    <row r="1025" spans="1:19" x14ac:dyDescent="0.3">
      <c r="A1025" t="s">
        <v>1101</v>
      </c>
      <c r="B1025" s="1">
        <v>45388</v>
      </c>
      <c r="C1025" t="s">
        <v>48</v>
      </c>
      <c r="D1025" t="s">
        <v>49</v>
      </c>
      <c r="E1025" t="s">
        <v>32</v>
      </c>
      <c r="F1025" t="s">
        <v>33</v>
      </c>
      <c r="G1025">
        <v>217529.22</v>
      </c>
      <c r="H1025">
        <v>191668.68</v>
      </c>
      <c r="I1025">
        <v>25860.54</v>
      </c>
      <c r="J1025">
        <v>23877.98</v>
      </c>
      <c r="K1025">
        <v>11544.78</v>
      </c>
      <c r="L1025">
        <v>119437.71</v>
      </c>
      <c r="M1025">
        <v>851</v>
      </c>
      <c r="N1025">
        <v>2.6100000000000002E-2</v>
      </c>
      <c r="O1025">
        <v>0.11890000000000001</v>
      </c>
      <c r="P1025">
        <v>9.6699999999999994E-2</v>
      </c>
      <c r="Q1025" t="s">
        <v>111</v>
      </c>
      <c r="R1025">
        <v>2024</v>
      </c>
      <c r="S1025" t="s">
        <v>25</v>
      </c>
    </row>
    <row r="1026" spans="1:19" x14ac:dyDescent="0.3">
      <c r="A1026" t="s">
        <v>1102</v>
      </c>
      <c r="B1026" s="1">
        <v>45016</v>
      </c>
      <c r="C1026" t="s">
        <v>61</v>
      </c>
      <c r="D1026" t="s">
        <v>74</v>
      </c>
      <c r="E1026" t="s">
        <v>22</v>
      </c>
      <c r="F1026" t="s">
        <v>23</v>
      </c>
      <c r="G1026">
        <v>36535.25</v>
      </c>
      <c r="H1026">
        <v>28262.52</v>
      </c>
      <c r="I1026">
        <v>8272.73</v>
      </c>
      <c r="J1026">
        <v>16573.37</v>
      </c>
      <c r="K1026">
        <v>42269.5</v>
      </c>
      <c r="L1026">
        <v>116617.29</v>
      </c>
      <c r="M1026">
        <v>604</v>
      </c>
      <c r="N1026">
        <v>-5.1499999999999997E-2</v>
      </c>
      <c r="O1026">
        <v>0.22639999999999999</v>
      </c>
      <c r="P1026">
        <v>0.36249999999999999</v>
      </c>
      <c r="Q1026" t="s">
        <v>118</v>
      </c>
      <c r="R1026">
        <v>2023</v>
      </c>
      <c r="S1026" t="s">
        <v>40</v>
      </c>
    </row>
    <row r="1027" spans="1:19" x14ac:dyDescent="0.3">
      <c r="A1027" t="s">
        <v>1103</v>
      </c>
      <c r="B1027" s="1">
        <v>45262</v>
      </c>
      <c r="C1027" t="s">
        <v>42</v>
      </c>
      <c r="D1027" t="s">
        <v>43</v>
      </c>
      <c r="E1027" t="s">
        <v>116</v>
      </c>
      <c r="F1027" t="s">
        <v>23</v>
      </c>
      <c r="G1027">
        <v>63261.57</v>
      </c>
      <c r="H1027">
        <v>56966.74</v>
      </c>
      <c r="I1027">
        <v>6294.83</v>
      </c>
      <c r="J1027">
        <v>40031.64</v>
      </c>
      <c r="K1027">
        <v>14910.13</v>
      </c>
      <c r="L1027">
        <v>53897.58</v>
      </c>
      <c r="M1027">
        <v>1228</v>
      </c>
      <c r="N1027">
        <v>0.13350000000000001</v>
      </c>
      <c r="O1027">
        <v>9.9500000000000005E-2</v>
      </c>
      <c r="P1027">
        <v>0.27660000000000001</v>
      </c>
      <c r="Q1027" t="s">
        <v>44</v>
      </c>
      <c r="R1027">
        <v>2023</v>
      </c>
      <c r="S1027" t="s">
        <v>25</v>
      </c>
    </row>
    <row r="1028" spans="1:19" x14ac:dyDescent="0.3">
      <c r="A1028" t="s">
        <v>1104</v>
      </c>
      <c r="B1028" s="1">
        <v>45372</v>
      </c>
      <c r="C1028" t="s">
        <v>27</v>
      </c>
      <c r="D1028" t="s">
        <v>28</v>
      </c>
      <c r="E1028" t="s">
        <v>32</v>
      </c>
      <c r="F1028" t="s">
        <v>33</v>
      </c>
      <c r="G1028">
        <v>54844.41</v>
      </c>
      <c r="H1028">
        <v>36386.06</v>
      </c>
      <c r="I1028">
        <v>18458.349999999999</v>
      </c>
      <c r="J1028">
        <v>51272.53</v>
      </c>
      <c r="K1028">
        <v>17926.990000000002</v>
      </c>
      <c r="L1028">
        <v>167734.79</v>
      </c>
      <c r="M1028">
        <v>407</v>
      </c>
      <c r="N1028">
        <v>-6.7699999999999996E-2</v>
      </c>
      <c r="O1028">
        <v>0.33660000000000001</v>
      </c>
      <c r="P1028">
        <v>0.1069</v>
      </c>
      <c r="Q1028" t="s">
        <v>80</v>
      </c>
      <c r="R1028">
        <v>2024</v>
      </c>
      <c r="S1028" t="s">
        <v>25</v>
      </c>
    </row>
    <row r="1029" spans="1:19" x14ac:dyDescent="0.3">
      <c r="A1029" t="s">
        <v>1105</v>
      </c>
      <c r="B1029" s="1">
        <v>45828</v>
      </c>
      <c r="C1029" t="s">
        <v>42</v>
      </c>
      <c r="D1029" t="s">
        <v>43</v>
      </c>
      <c r="E1029" t="s">
        <v>32</v>
      </c>
      <c r="F1029" t="s">
        <v>33</v>
      </c>
      <c r="G1029">
        <v>57634.57</v>
      </c>
      <c r="H1029">
        <v>34005.51</v>
      </c>
      <c r="I1029">
        <v>23629.06</v>
      </c>
      <c r="J1029">
        <v>37187.699999999997</v>
      </c>
      <c r="K1029">
        <v>2179.54</v>
      </c>
      <c r="L1029">
        <v>145775.97</v>
      </c>
      <c r="N1029">
        <v>0.1115</v>
      </c>
      <c r="O1029">
        <v>0.41</v>
      </c>
      <c r="P1029">
        <v>1.4999999999999999E-2</v>
      </c>
      <c r="Q1029" t="s">
        <v>34</v>
      </c>
      <c r="R1029">
        <v>2025</v>
      </c>
      <c r="S1029" t="s">
        <v>25</v>
      </c>
    </row>
    <row r="1030" spans="1:19" x14ac:dyDescent="0.3">
      <c r="A1030" t="s">
        <v>1106</v>
      </c>
      <c r="B1030" s="1">
        <v>45395</v>
      </c>
      <c r="C1030" t="s">
        <v>27</v>
      </c>
      <c r="E1030" t="s">
        <v>22</v>
      </c>
      <c r="F1030" t="s">
        <v>23</v>
      </c>
      <c r="G1030">
        <v>132974.87</v>
      </c>
      <c r="H1030">
        <v>80435</v>
      </c>
      <c r="I1030">
        <v>52539.87</v>
      </c>
      <c r="J1030">
        <v>87745.84</v>
      </c>
      <c r="K1030">
        <v>17407.349999999999</v>
      </c>
      <c r="L1030">
        <v>192520.83</v>
      </c>
      <c r="M1030">
        <v>1124</v>
      </c>
      <c r="N1030">
        <v>2.6700000000000002E-2</v>
      </c>
      <c r="O1030">
        <v>0.39510000000000001</v>
      </c>
      <c r="P1030">
        <v>9.0399999999999994E-2</v>
      </c>
      <c r="Q1030" t="s">
        <v>111</v>
      </c>
      <c r="R1030">
        <v>2024</v>
      </c>
      <c r="S1030" t="s">
        <v>25</v>
      </c>
    </row>
    <row r="1031" spans="1:19" x14ac:dyDescent="0.3">
      <c r="A1031" t="s">
        <v>1107</v>
      </c>
      <c r="B1031" s="1">
        <v>45251</v>
      </c>
      <c r="C1031" t="s">
        <v>48</v>
      </c>
      <c r="D1031" t="s">
        <v>49</v>
      </c>
      <c r="E1031" t="s">
        <v>38</v>
      </c>
      <c r="F1031" t="s">
        <v>23</v>
      </c>
      <c r="G1031">
        <v>33213.81</v>
      </c>
      <c r="H1031">
        <v>25522.01</v>
      </c>
      <c r="I1031">
        <v>7691.8</v>
      </c>
      <c r="J1031">
        <v>29984.6</v>
      </c>
      <c r="K1031">
        <v>34915.58</v>
      </c>
      <c r="L1031">
        <v>99025.98</v>
      </c>
      <c r="M1031">
        <v>911</v>
      </c>
      <c r="N1031">
        <v>9.9199999999999997E-2</v>
      </c>
      <c r="O1031">
        <v>0.2316</v>
      </c>
      <c r="P1031">
        <v>0.35260000000000002</v>
      </c>
      <c r="Q1031" t="s">
        <v>44</v>
      </c>
      <c r="R1031">
        <v>2023</v>
      </c>
      <c r="S1031" t="s">
        <v>40</v>
      </c>
    </row>
    <row r="1032" spans="1:19" x14ac:dyDescent="0.3">
      <c r="A1032" t="s">
        <v>1108</v>
      </c>
      <c r="B1032" s="1">
        <v>45202</v>
      </c>
      <c r="C1032" t="s">
        <v>36</v>
      </c>
      <c r="D1032" t="s">
        <v>37</v>
      </c>
      <c r="E1032" t="s">
        <v>22</v>
      </c>
      <c r="F1032" t="s">
        <v>23</v>
      </c>
      <c r="G1032">
        <v>65940.67</v>
      </c>
      <c r="H1032">
        <v>56822.19</v>
      </c>
      <c r="I1032">
        <v>9118.48</v>
      </c>
      <c r="J1032">
        <v>16472.89</v>
      </c>
      <c r="K1032">
        <v>93284.53</v>
      </c>
      <c r="L1032">
        <v>115375.91</v>
      </c>
      <c r="M1032">
        <v>1937</v>
      </c>
      <c r="N1032">
        <v>-7.0000000000000007E-2</v>
      </c>
      <c r="O1032">
        <v>0.13830000000000001</v>
      </c>
      <c r="P1032">
        <v>0.8085</v>
      </c>
      <c r="Q1032" t="s">
        <v>44</v>
      </c>
      <c r="R1032">
        <v>2023</v>
      </c>
      <c r="S1032" t="s">
        <v>82</v>
      </c>
    </row>
    <row r="1033" spans="1:19" x14ac:dyDescent="0.3">
      <c r="A1033" t="s">
        <v>1109</v>
      </c>
      <c r="B1033" s="1">
        <v>44640</v>
      </c>
      <c r="C1033" t="s">
        <v>36</v>
      </c>
      <c r="D1033" t="s">
        <v>37</v>
      </c>
      <c r="E1033" t="s">
        <v>38</v>
      </c>
      <c r="F1033" t="s">
        <v>23</v>
      </c>
      <c r="G1033">
        <v>66136.27</v>
      </c>
      <c r="H1033">
        <v>45205.51</v>
      </c>
      <c r="I1033">
        <v>20930.759999999998</v>
      </c>
      <c r="J1033">
        <v>31505.21</v>
      </c>
      <c r="K1033">
        <v>29584.28</v>
      </c>
      <c r="L1033">
        <v>63248.2</v>
      </c>
      <c r="M1033">
        <v>683</v>
      </c>
      <c r="N1033">
        <v>-2.1000000000000001E-2</v>
      </c>
      <c r="O1033">
        <v>0.3165</v>
      </c>
      <c r="P1033">
        <v>0.4677</v>
      </c>
      <c r="Q1033" t="s">
        <v>90</v>
      </c>
      <c r="R1033">
        <v>2022</v>
      </c>
      <c r="S1033" t="s">
        <v>40</v>
      </c>
    </row>
    <row r="1034" spans="1:19" x14ac:dyDescent="0.3">
      <c r="A1034" t="s">
        <v>1110</v>
      </c>
      <c r="B1034" s="1">
        <v>45367</v>
      </c>
      <c r="C1034" t="s">
        <v>102</v>
      </c>
      <c r="D1034" t="s">
        <v>103</v>
      </c>
      <c r="E1034" t="s">
        <v>51</v>
      </c>
      <c r="F1034" t="s">
        <v>23</v>
      </c>
      <c r="G1034">
        <v>68211.31</v>
      </c>
      <c r="H1034">
        <v>40929.129999999997</v>
      </c>
      <c r="I1034">
        <v>27282.18</v>
      </c>
      <c r="J1034">
        <v>20015.330000000002</v>
      </c>
      <c r="K1034">
        <v>13863.71</v>
      </c>
      <c r="L1034">
        <v>57930.89</v>
      </c>
      <c r="M1034">
        <v>1052</v>
      </c>
      <c r="N1034">
        <v>5.8900000000000001E-2</v>
      </c>
      <c r="O1034">
        <v>0.4</v>
      </c>
      <c r="P1034">
        <v>0.23930000000000001</v>
      </c>
      <c r="Q1034" t="s">
        <v>80</v>
      </c>
      <c r="R1034">
        <v>2024</v>
      </c>
      <c r="S1034" t="s">
        <v>25</v>
      </c>
    </row>
    <row r="1035" spans="1:19" x14ac:dyDescent="0.3">
      <c r="A1035" t="s">
        <v>1111</v>
      </c>
      <c r="B1035" s="1">
        <v>45516</v>
      </c>
      <c r="C1035" t="s">
        <v>68</v>
      </c>
      <c r="D1035" t="s">
        <v>69</v>
      </c>
      <c r="E1035" t="s">
        <v>38</v>
      </c>
      <c r="F1035" t="s">
        <v>23</v>
      </c>
      <c r="G1035">
        <v>107027.67</v>
      </c>
      <c r="H1035">
        <v>86135.1</v>
      </c>
      <c r="I1035">
        <v>20892.57</v>
      </c>
      <c r="J1035">
        <v>89081.16</v>
      </c>
      <c r="K1035">
        <v>23772.39</v>
      </c>
      <c r="L1035">
        <v>104448.97</v>
      </c>
      <c r="M1035">
        <v>890</v>
      </c>
      <c r="N1035">
        <v>1.7600000000000001E-2</v>
      </c>
      <c r="O1035">
        <v>0.19520000000000001</v>
      </c>
      <c r="P1035">
        <v>0.2276</v>
      </c>
      <c r="Q1035" t="s">
        <v>72</v>
      </c>
      <c r="R1035">
        <v>2024</v>
      </c>
      <c r="S1035" t="s">
        <v>25</v>
      </c>
    </row>
    <row r="1036" spans="1:19" x14ac:dyDescent="0.3">
      <c r="A1036" t="s">
        <v>1112</v>
      </c>
      <c r="B1036" s="1">
        <v>44656</v>
      </c>
      <c r="C1036" t="s">
        <v>30</v>
      </c>
      <c r="D1036" t="s">
        <v>31</v>
      </c>
      <c r="E1036" t="s">
        <v>22</v>
      </c>
      <c r="F1036" t="s">
        <v>23</v>
      </c>
      <c r="G1036">
        <v>71945.649999999994</v>
      </c>
      <c r="H1036">
        <v>56450.55</v>
      </c>
      <c r="I1036">
        <v>15495.1</v>
      </c>
      <c r="J1036">
        <v>38454.089999999997</v>
      </c>
      <c r="K1036">
        <v>36418.11</v>
      </c>
      <c r="L1036">
        <v>76449.94</v>
      </c>
      <c r="N1036">
        <v>-0.1167</v>
      </c>
      <c r="O1036">
        <v>0.21540000000000001</v>
      </c>
      <c r="P1036">
        <v>0.47639999999999999</v>
      </c>
      <c r="Q1036" t="s">
        <v>58</v>
      </c>
      <c r="R1036">
        <v>2022</v>
      </c>
      <c r="S1036" t="s">
        <v>40</v>
      </c>
    </row>
    <row r="1037" spans="1:19" x14ac:dyDescent="0.3">
      <c r="A1037" t="s">
        <v>1113</v>
      </c>
      <c r="B1037" s="1">
        <v>45705</v>
      </c>
      <c r="C1037" t="s">
        <v>102</v>
      </c>
      <c r="D1037" t="s">
        <v>103</v>
      </c>
      <c r="E1037" t="s">
        <v>38</v>
      </c>
      <c r="F1037" t="s">
        <v>23</v>
      </c>
      <c r="G1037">
        <v>159209.53</v>
      </c>
      <c r="H1037">
        <v>90707.9</v>
      </c>
      <c r="I1037">
        <v>68501.63</v>
      </c>
      <c r="J1037">
        <v>27207.47</v>
      </c>
      <c r="K1037">
        <v>36508.03</v>
      </c>
      <c r="L1037">
        <v>156277.42000000001</v>
      </c>
      <c r="M1037">
        <v>1405</v>
      </c>
      <c r="N1037">
        <v>7.7999999999999996E-3</v>
      </c>
      <c r="O1037">
        <v>0.43030000000000002</v>
      </c>
      <c r="P1037">
        <v>0.2336</v>
      </c>
      <c r="Q1037" t="s">
        <v>106</v>
      </c>
      <c r="R1037">
        <v>2025</v>
      </c>
      <c r="S1037" t="s">
        <v>25</v>
      </c>
    </row>
    <row r="1038" spans="1:19" x14ac:dyDescent="0.3">
      <c r="A1038" t="s">
        <v>1114</v>
      </c>
      <c r="B1038" s="1">
        <v>45007</v>
      </c>
      <c r="C1038" t="s">
        <v>78</v>
      </c>
      <c r="D1038" t="s">
        <v>79</v>
      </c>
      <c r="E1038" t="s">
        <v>32</v>
      </c>
      <c r="F1038" t="s">
        <v>33</v>
      </c>
      <c r="G1038">
        <v>66066.31</v>
      </c>
      <c r="H1038">
        <v>56448.55</v>
      </c>
      <c r="I1038">
        <v>9617.76</v>
      </c>
      <c r="J1038">
        <v>35582.910000000003</v>
      </c>
      <c r="K1038">
        <v>16511.22</v>
      </c>
      <c r="L1038">
        <v>108337.76</v>
      </c>
      <c r="M1038">
        <v>1270</v>
      </c>
      <c r="N1038">
        <v>0.1414</v>
      </c>
      <c r="O1038">
        <v>0.14560000000000001</v>
      </c>
      <c r="P1038">
        <v>0.15240000000000001</v>
      </c>
      <c r="Q1038" t="s">
        <v>118</v>
      </c>
      <c r="R1038">
        <v>2023</v>
      </c>
      <c r="S1038" t="s">
        <v>25</v>
      </c>
    </row>
    <row r="1039" spans="1:19" x14ac:dyDescent="0.3">
      <c r="A1039" t="s">
        <v>1115</v>
      </c>
      <c r="B1039" s="1">
        <v>45926</v>
      </c>
      <c r="C1039" t="s">
        <v>30</v>
      </c>
      <c r="D1039" t="s">
        <v>31</v>
      </c>
      <c r="E1039" t="s">
        <v>144</v>
      </c>
      <c r="F1039" t="s">
        <v>23</v>
      </c>
      <c r="G1039">
        <v>130220.58</v>
      </c>
      <c r="H1039">
        <v>83995.01</v>
      </c>
      <c r="I1039">
        <v>46225.57</v>
      </c>
      <c r="J1039">
        <v>18908.09</v>
      </c>
      <c r="K1039">
        <v>116787.88</v>
      </c>
      <c r="L1039">
        <v>59865.79</v>
      </c>
      <c r="M1039">
        <v>968</v>
      </c>
      <c r="N1039">
        <v>-4.6399999999999997E-2</v>
      </c>
      <c r="O1039">
        <v>0.35499999999999998</v>
      </c>
      <c r="P1039">
        <v>1.9508000000000001</v>
      </c>
      <c r="Q1039" t="s">
        <v>24</v>
      </c>
      <c r="R1039">
        <v>2025</v>
      </c>
      <c r="S1039" t="s">
        <v>82</v>
      </c>
    </row>
    <row r="1040" spans="1:19" x14ac:dyDescent="0.3">
      <c r="A1040" t="s">
        <v>1116</v>
      </c>
      <c r="B1040" s="1">
        <v>45486</v>
      </c>
      <c r="C1040" t="s">
        <v>42</v>
      </c>
      <c r="D1040" t="s">
        <v>43</v>
      </c>
      <c r="E1040" t="s">
        <v>22</v>
      </c>
      <c r="F1040" t="s">
        <v>23</v>
      </c>
      <c r="G1040">
        <v>29691.040000000001</v>
      </c>
      <c r="H1040">
        <v>23222.22</v>
      </c>
      <c r="I1040">
        <v>6468.82</v>
      </c>
      <c r="J1040">
        <v>30391.75</v>
      </c>
      <c r="K1040">
        <v>26278.82</v>
      </c>
      <c r="L1040">
        <v>110929.43</v>
      </c>
      <c r="M1040">
        <v>911</v>
      </c>
      <c r="N1040">
        <v>0.111</v>
      </c>
      <c r="O1040">
        <v>0.21790000000000001</v>
      </c>
      <c r="P1040">
        <v>0.2369</v>
      </c>
      <c r="Q1040" t="s">
        <v>72</v>
      </c>
      <c r="R1040">
        <v>2024</v>
      </c>
      <c r="S1040" t="s">
        <v>25</v>
      </c>
    </row>
    <row r="1041" spans="1:19" x14ac:dyDescent="0.3">
      <c r="A1041" t="s">
        <v>1117</v>
      </c>
      <c r="B1041" s="1">
        <v>44598</v>
      </c>
      <c r="C1041" t="s">
        <v>68</v>
      </c>
      <c r="D1041" t="s">
        <v>69</v>
      </c>
      <c r="E1041" t="s">
        <v>38</v>
      </c>
      <c r="F1041" t="s">
        <v>23</v>
      </c>
      <c r="G1041">
        <v>126444.14</v>
      </c>
      <c r="H1041">
        <v>102543.9</v>
      </c>
      <c r="I1041">
        <v>23900.240000000002</v>
      </c>
      <c r="J1041">
        <v>139791.14000000001</v>
      </c>
      <c r="K1041">
        <v>88688.09</v>
      </c>
      <c r="L1041">
        <v>181663.76</v>
      </c>
      <c r="M1041">
        <v>1516</v>
      </c>
      <c r="N1041">
        <v>-1.8599999999999998E-2</v>
      </c>
      <c r="O1041">
        <v>0.189</v>
      </c>
      <c r="P1041">
        <v>0.48820000000000002</v>
      </c>
      <c r="Q1041" t="s">
        <v>90</v>
      </c>
      <c r="R1041">
        <v>2022</v>
      </c>
      <c r="S1041" t="s">
        <v>40</v>
      </c>
    </row>
    <row r="1042" spans="1:19" x14ac:dyDescent="0.3">
      <c r="A1042" t="s">
        <v>1118</v>
      </c>
      <c r="B1042" s="1">
        <v>44954</v>
      </c>
      <c r="C1042" t="s">
        <v>61</v>
      </c>
      <c r="D1042" t="s">
        <v>74</v>
      </c>
      <c r="E1042" t="s">
        <v>22</v>
      </c>
      <c r="F1042" t="s">
        <v>23</v>
      </c>
      <c r="G1042">
        <v>81680.679999999993</v>
      </c>
      <c r="H1042">
        <v>47967.519999999997</v>
      </c>
      <c r="I1042">
        <v>33713.160000000003</v>
      </c>
      <c r="J1042">
        <v>32060.35</v>
      </c>
      <c r="K1042">
        <v>6663.32</v>
      </c>
      <c r="L1042">
        <v>67738.47</v>
      </c>
      <c r="M1042">
        <v>826</v>
      </c>
      <c r="N1042">
        <v>1.4E-3</v>
      </c>
      <c r="O1042">
        <v>0.41270000000000001</v>
      </c>
      <c r="P1042">
        <v>9.8400000000000001E-2</v>
      </c>
      <c r="Q1042" t="s">
        <v>118</v>
      </c>
      <c r="R1042">
        <v>2023</v>
      </c>
      <c r="S1042" t="s">
        <v>25</v>
      </c>
    </row>
    <row r="1043" spans="1:19" x14ac:dyDescent="0.3">
      <c r="A1043" t="s">
        <v>1119</v>
      </c>
      <c r="B1043" s="1">
        <v>45741</v>
      </c>
      <c r="C1043" t="s">
        <v>78</v>
      </c>
      <c r="D1043" t="s">
        <v>79</v>
      </c>
      <c r="E1043" t="s">
        <v>32</v>
      </c>
      <c r="F1043" t="s">
        <v>33</v>
      </c>
      <c r="G1043">
        <v>68434.539999999994</v>
      </c>
      <c r="H1043">
        <v>41016.769999999997</v>
      </c>
      <c r="I1043">
        <v>27417.77</v>
      </c>
      <c r="J1043">
        <v>33734.870000000003</v>
      </c>
      <c r="K1043">
        <v>11787.8</v>
      </c>
      <c r="L1043">
        <v>132575.64000000001</v>
      </c>
      <c r="M1043">
        <v>1974</v>
      </c>
      <c r="N1043">
        <v>-3.3300000000000003E-2</v>
      </c>
      <c r="O1043">
        <v>0.40060000000000001</v>
      </c>
      <c r="P1043">
        <v>8.8900000000000007E-2</v>
      </c>
      <c r="Q1043" t="s">
        <v>106</v>
      </c>
      <c r="R1043">
        <v>2025</v>
      </c>
      <c r="S1043" t="s">
        <v>25</v>
      </c>
    </row>
    <row r="1044" spans="1:19" x14ac:dyDescent="0.3">
      <c r="A1044" t="s">
        <v>1120</v>
      </c>
      <c r="B1044" s="1">
        <v>45538</v>
      </c>
      <c r="C1044" t="s">
        <v>42</v>
      </c>
      <c r="D1044" t="s">
        <v>275</v>
      </c>
      <c r="E1044" t="s">
        <v>32</v>
      </c>
      <c r="F1044" t="s">
        <v>33</v>
      </c>
      <c r="G1044">
        <v>39981</v>
      </c>
      <c r="H1044">
        <v>34251.4</v>
      </c>
      <c r="I1044">
        <v>5729.6</v>
      </c>
      <c r="J1044">
        <v>72586.83</v>
      </c>
      <c r="K1044">
        <v>7494.35</v>
      </c>
      <c r="L1044">
        <v>255653.03</v>
      </c>
      <c r="M1044">
        <v>2263</v>
      </c>
      <c r="N1044">
        <v>0.12570000000000001</v>
      </c>
      <c r="O1044">
        <v>0.14330000000000001</v>
      </c>
      <c r="P1044">
        <v>2.93E-2</v>
      </c>
      <c r="Q1044" t="s">
        <v>72</v>
      </c>
      <c r="R1044">
        <v>2024</v>
      </c>
      <c r="S1044" t="s">
        <v>25</v>
      </c>
    </row>
    <row r="1045" spans="1:19" x14ac:dyDescent="0.3">
      <c r="A1045" t="s">
        <v>1121</v>
      </c>
      <c r="B1045" s="1">
        <v>44869</v>
      </c>
      <c r="C1045" t="s">
        <v>42</v>
      </c>
      <c r="D1045" t="s">
        <v>43</v>
      </c>
      <c r="E1045" t="s">
        <v>32</v>
      </c>
      <c r="F1045" t="s">
        <v>33</v>
      </c>
      <c r="G1045">
        <v>98291.28</v>
      </c>
      <c r="H1045">
        <v>88363.53</v>
      </c>
      <c r="I1045">
        <v>9927.75</v>
      </c>
      <c r="J1045">
        <v>11122.74</v>
      </c>
      <c r="K1045">
        <v>57445.8</v>
      </c>
      <c r="L1045">
        <v>149357.01999999999</v>
      </c>
      <c r="M1045">
        <v>757</v>
      </c>
      <c r="N1045">
        <v>-5.7500000000000002E-2</v>
      </c>
      <c r="O1045">
        <v>0.10100000000000001</v>
      </c>
      <c r="P1045">
        <v>0.3846</v>
      </c>
      <c r="Q1045" t="s">
        <v>46</v>
      </c>
      <c r="R1045">
        <v>2022</v>
      </c>
      <c r="S1045" t="s">
        <v>40</v>
      </c>
    </row>
    <row r="1046" spans="1:19" x14ac:dyDescent="0.3">
      <c r="A1046" t="s">
        <v>1122</v>
      </c>
      <c r="B1046" s="1">
        <v>44839</v>
      </c>
      <c r="C1046" t="s">
        <v>30</v>
      </c>
      <c r="D1046" t="s">
        <v>31</v>
      </c>
      <c r="E1046" t="s">
        <v>32</v>
      </c>
      <c r="F1046" t="s">
        <v>33</v>
      </c>
      <c r="G1046">
        <v>91269.6</v>
      </c>
      <c r="H1046">
        <v>61710.94</v>
      </c>
      <c r="I1046">
        <v>29558.66</v>
      </c>
      <c r="J1046">
        <v>55304.03</v>
      </c>
      <c r="K1046">
        <v>71193.58</v>
      </c>
      <c r="L1046">
        <v>122585.07</v>
      </c>
      <c r="M1046">
        <v>508</v>
      </c>
      <c r="N1046">
        <v>-8.2199999999999995E-2</v>
      </c>
      <c r="O1046">
        <v>0.32390000000000002</v>
      </c>
      <c r="P1046">
        <v>0.58079999999999998</v>
      </c>
      <c r="Q1046" t="s">
        <v>46</v>
      </c>
      <c r="R1046">
        <v>2022</v>
      </c>
      <c r="S1046" t="s">
        <v>40</v>
      </c>
    </row>
    <row r="1047" spans="1:19" x14ac:dyDescent="0.3">
      <c r="A1047" t="s">
        <v>1123</v>
      </c>
      <c r="B1047" s="1">
        <v>45779</v>
      </c>
      <c r="C1047" t="s">
        <v>54</v>
      </c>
      <c r="D1047" t="s">
        <v>55</v>
      </c>
      <c r="E1047" t="s">
        <v>38</v>
      </c>
      <c r="F1047" t="s">
        <v>23</v>
      </c>
      <c r="G1047">
        <v>58588.26</v>
      </c>
      <c r="H1047">
        <v>48265.79</v>
      </c>
      <c r="I1047">
        <v>10322.469999999999</v>
      </c>
      <c r="J1047">
        <v>67196.350000000006</v>
      </c>
      <c r="K1047">
        <v>8658.86</v>
      </c>
      <c r="L1047">
        <v>245533.65</v>
      </c>
      <c r="M1047">
        <v>1091</v>
      </c>
      <c r="N1047">
        <v>-4.5699999999999998E-2</v>
      </c>
      <c r="O1047">
        <v>0.1762</v>
      </c>
      <c r="P1047">
        <v>3.5299999999999998E-2</v>
      </c>
      <c r="Q1047" t="s">
        <v>34</v>
      </c>
      <c r="R1047">
        <v>2025</v>
      </c>
      <c r="S1047" t="s">
        <v>25</v>
      </c>
    </row>
    <row r="1048" spans="1:19" x14ac:dyDescent="0.3">
      <c r="A1048" t="s">
        <v>1124</v>
      </c>
      <c r="B1048" s="1">
        <v>45089</v>
      </c>
      <c r="C1048" t="s">
        <v>48</v>
      </c>
      <c r="D1048" t="s">
        <v>49</v>
      </c>
      <c r="E1048" t="s">
        <v>32</v>
      </c>
      <c r="F1048" t="s">
        <v>33</v>
      </c>
      <c r="G1048">
        <v>198004.94</v>
      </c>
      <c r="H1048">
        <v>117003.95</v>
      </c>
      <c r="I1048">
        <v>81000.990000000005</v>
      </c>
      <c r="J1048">
        <v>44107.08</v>
      </c>
      <c r="K1048">
        <v>31543.11</v>
      </c>
      <c r="L1048">
        <v>192734.07999999999</v>
      </c>
      <c r="M1048">
        <v>793</v>
      </c>
      <c r="N1048">
        <v>-6.2300000000000001E-2</v>
      </c>
      <c r="O1048">
        <v>0.40910000000000002</v>
      </c>
      <c r="P1048">
        <v>0.16370000000000001</v>
      </c>
      <c r="Q1048" t="s">
        <v>39</v>
      </c>
      <c r="R1048">
        <v>2023</v>
      </c>
      <c r="S1048" t="s">
        <v>25</v>
      </c>
    </row>
    <row r="1049" spans="1:19" x14ac:dyDescent="0.3">
      <c r="A1049" t="s">
        <v>1125</v>
      </c>
      <c r="B1049" s="1">
        <v>45315</v>
      </c>
      <c r="C1049" t="s">
        <v>85</v>
      </c>
      <c r="D1049" t="s">
        <v>86</v>
      </c>
      <c r="E1049" t="s">
        <v>32</v>
      </c>
      <c r="F1049" t="s">
        <v>33</v>
      </c>
      <c r="G1049">
        <v>212969.41</v>
      </c>
      <c r="H1049">
        <v>143851.76999999999</v>
      </c>
      <c r="I1049">
        <v>69117.64</v>
      </c>
      <c r="J1049">
        <v>40990.730000000003</v>
      </c>
      <c r="K1049">
        <v>12752.21</v>
      </c>
      <c r="L1049">
        <v>96021.58</v>
      </c>
      <c r="M1049">
        <v>870</v>
      </c>
      <c r="N1049">
        <v>-4.8599999999999997E-2</v>
      </c>
      <c r="O1049">
        <v>0.32450000000000001</v>
      </c>
      <c r="P1049">
        <v>0.1328</v>
      </c>
      <c r="Q1049" t="s">
        <v>80</v>
      </c>
      <c r="R1049">
        <v>2024</v>
      </c>
      <c r="S1049" t="s">
        <v>25</v>
      </c>
    </row>
    <row r="1050" spans="1:19" x14ac:dyDescent="0.3">
      <c r="A1050" t="s">
        <v>1126</v>
      </c>
      <c r="B1050" s="1">
        <v>44769</v>
      </c>
      <c r="C1050" t="s">
        <v>42</v>
      </c>
      <c r="D1050" t="s">
        <v>43</v>
      </c>
      <c r="E1050" t="s">
        <v>32</v>
      </c>
      <c r="F1050" t="s">
        <v>33</v>
      </c>
      <c r="G1050">
        <v>83015.360000000001</v>
      </c>
      <c r="H1050">
        <v>67529.69</v>
      </c>
      <c r="I1050">
        <v>15485.67</v>
      </c>
      <c r="J1050">
        <v>69697.179999999993</v>
      </c>
      <c r="K1050">
        <v>24271.279999999999</v>
      </c>
      <c r="L1050">
        <v>218836.07</v>
      </c>
      <c r="M1050">
        <v>960</v>
      </c>
      <c r="N1050">
        <v>0.13</v>
      </c>
      <c r="O1050">
        <v>0.1865</v>
      </c>
      <c r="P1050">
        <v>0.1109</v>
      </c>
      <c r="Q1050" t="s">
        <v>76</v>
      </c>
      <c r="R1050">
        <v>2022</v>
      </c>
      <c r="S1050" t="s">
        <v>25</v>
      </c>
    </row>
    <row r="1051" spans="1:19" x14ac:dyDescent="0.3">
      <c r="A1051" t="s">
        <v>1127</v>
      </c>
      <c r="B1051" s="1">
        <v>45413</v>
      </c>
      <c r="C1051" t="s">
        <v>27</v>
      </c>
      <c r="D1051" t="s">
        <v>28</v>
      </c>
      <c r="E1051" t="s">
        <v>22</v>
      </c>
      <c r="F1051" t="s">
        <v>23</v>
      </c>
      <c r="G1051">
        <v>27171.88</v>
      </c>
      <c r="H1051">
        <v>23688.84</v>
      </c>
      <c r="I1051">
        <v>3483.04</v>
      </c>
      <c r="J1051">
        <v>22652.19</v>
      </c>
      <c r="K1051">
        <v>77595.929999999993</v>
      </c>
      <c r="L1051">
        <v>70754.759999999995</v>
      </c>
      <c r="M1051">
        <v>586</v>
      </c>
      <c r="N1051">
        <v>9.1999999999999998E-3</v>
      </c>
      <c r="O1051">
        <v>0.12820000000000001</v>
      </c>
      <c r="P1051">
        <v>1.0967</v>
      </c>
      <c r="Q1051" t="s">
        <v>111</v>
      </c>
      <c r="R1051">
        <v>2024</v>
      </c>
      <c r="S1051" t="s">
        <v>82</v>
      </c>
    </row>
    <row r="1052" spans="1:19" x14ac:dyDescent="0.3">
      <c r="A1052" t="s">
        <v>1128</v>
      </c>
      <c r="B1052" s="1">
        <v>45552</v>
      </c>
      <c r="C1052" t="s">
        <v>27</v>
      </c>
      <c r="D1052" t="s">
        <v>28</v>
      </c>
      <c r="E1052" t="s">
        <v>22</v>
      </c>
      <c r="F1052" t="s">
        <v>23</v>
      </c>
      <c r="G1052">
        <v>42212.39</v>
      </c>
      <c r="H1052">
        <v>27694.03</v>
      </c>
      <c r="I1052">
        <v>14518.36</v>
      </c>
      <c r="J1052">
        <v>30310.25</v>
      </c>
      <c r="K1052">
        <v>17804.650000000001</v>
      </c>
      <c r="L1052">
        <v>112161.17</v>
      </c>
      <c r="M1052">
        <v>1207</v>
      </c>
      <c r="N1052">
        <v>2.7400000000000001E-2</v>
      </c>
      <c r="O1052">
        <v>0.34389999999999998</v>
      </c>
      <c r="P1052">
        <v>0.15870000000000001</v>
      </c>
      <c r="Q1052" t="s">
        <v>72</v>
      </c>
      <c r="R1052">
        <v>2024</v>
      </c>
      <c r="S1052" t="s">
        <v>25</v>
      </c>
    </row>
    <row r="1053" spans="1:19" x14ac:dyDescent="0.3">
      <c r="A1053" t="s">
        <v>1129</v>
      </c>
      <c r="B1053" s="1">
        <v>45492</v>
      </c>
      <c r="C1053" t="s">
        <v>42</v>
      </c>
      <c r="D1053" t="s">
        <v>43</v>
      </c>
      <c r="E1053" t="s">
        <v>38</v>
      </c>
      <c r="F1053" t="s">
        <v>23</v>
      </c>
      <c r="G1053">
        <v>60367.94</v>
      </c>
      <c r="H1053">
        <v>53182.91</v>
      </c>
      <c r="I1053">
        <v>7185.03</v>
      </c>
      <c r="J1053">
        <v>23765.75</v>
      </c>
      <c r="K1053">
        <v>54810.82</v>
      </c>
      <c r="L1053">
        <v>191201.63</v>
      </c>
      <c r="M1053">
        <v>591</v>
      </c>
      <c r="N1053">
        <v>0.14249999999999999</v>
      </c>
      <c r="O1053">
        <v>0.11899999999999999</v>
      </c>
      <c r="P1053">
        <v>0.28670000000000001</v>
      </c>
      <c r="Q1053" t="s">
        <v>72</v>
      </c>
      <c r="R1053">
        <v>2024</v>
      </c>
      <c r="S1053" t="s">
        <v>25</v>
      </c>
    </row>
    <row r="1054" spans="1:19" x14ac:dyDescent="0.3">
      <c r="A1054" t="s">
        <v>1130</v>
      </c>
      <c r="B1054" s="1">
        <v>46009</v>
      </c>
      <c r="C1054" t="s">
        <v>42</v>
      </c>
      <c r="D1054" t="s">
        <v>43</v>
      </c>
      <c r="E1054" t="s">
        <v>32</v>
      </c>
      <c r="F1054" t="s">
        <v>33</v>
      </c>
      <c r="G1054">
        <v>134636</v>
      </c>
      <c r="H1054">
        <v>90795.7</v>
      </c>
      <c r="I1054">
        <v>43840.3</v>
      </c>
      <c r="J1054">
        <v>31422.69</v>
      </c>
      <c r="K1054">
        <v>47174.49</v>
      </c>
      <c r="L1054">
        <v>76202.67</v>
      </c>
      <c r="M1054">
        <v>927</v>
      </c>
      <c r="N1054">
        <v>0.11799999999999999</v>
      </c>
      <c r="O1054">
        <v>0.3256</v>
      </c>
      <c r="P1054">
        <v>0.61909999999999998</v>
      </c>
      <c r="Q1054" t="s">
        <v>66</v>
      </c>
      <c r="R1054">
        <v>2025</v>
      </c>
      <c r="S1054" t="s">
        <v>82</v>
      </c>
    </row>
    <row r="1055" spans="1:19" x14ac:dyDescent="0.3">
      <c r="A1055" t="s">
        <v>1131</v>
      </c>
      <c r="B1055" s="1">
        <v>44887</v>
      </c>
      <c r="C1055" t="s">
        <v>48</v>
      </c>
      <c r="D1055" t="s">
        <v>49</v>
      </c>
      <c r="E1055" t="s">
        <v>22</v>
      </c>
      <c r="F1055" t="s">
        <v>23</v>
      </c>
      <c r="G1055">
        <v>34552.879999999997</v>
      </c>
      <c r="H1055">
        <v>29698.03</v>
      </c>
      <c r="I1055">
        <v>4854.8500000000004</v>
      </c>
      <c r="J1055">
        <v>98448.27</v>
      </c>
      <c r="K1055">
        <v>73577.2</v>
      </c>
      <c r="L1055">
        <v>138579.53</v>
      </c>
      <c r="M1055">
        <v>565</v>
      </c>
      <c r="N1055">
        <v>-2.4400000000000002E-2</v>
      </c>
      <c r="O1055">
        <v>0.14050000000000001</v>
      </c>
      <c r="P1055">
        <v>0.53090000000000004</v>
      </c>
      <c r="Q1055" t="s">
        <v>46</v>
      </c>
      <c r="R1055">
        <v>2022</v>
      </c>
      <c r="S1055" t="s">
        <v>40</v>
      </c>
    </row>
    <row r="1056" spans="1:19" x14ac:dyDescent="0.3">
      <c r="A1056" t="s">
        <v>1132</v>
      </c>
      <c r="B1056" s="1">
        <v>44951</v>
      </c>
      <c r="C1056" t="s">
        <v>30</v>
      </c>
      <c r="D1056" t="s">
        <v>31</v>
      </c>
      <c r="E1056" t="s">
        <v>38</v>
      </c>
      <c r="F1056" t="s">
        <v>23</v>
      </c>
      <c r="G1056">
        <v>85009.49</v>
      </c>
      <c r="H1056">
        <v>71885.47</v>
      </c>
      <c r="I1056">
        <v>13124.02</v>
      </c>
      <c r="J1056">
        <v>39107.879999999997</v>
      </c>
      <c r="K1056">
        <v>10099.42</v>
      </c>
      <c r="L1056">
        <v>77365.740000000005</v>
      </c>
      <c r="M1056">
        <v>819</v>
      </c>
      <c r="N1056">
        <v>4.3900000000000002E-2</v>
      </c>
      <c r="O1056">
        <v>0.15440000000000001</v>
      </c>
      <c r="P1056">
        <v>0.1305</v>
      </c>
      <c r="Q1056" t="s">
        <v>118</v>
      </c>
      <c r="R1056">
        <v>2023</v>
      </c>
      <c r="S1056" t="s">
        <v>25</v>
      </c>
    </row>
    <row r="1057" spans="1:19" x14ac:dyDescent="0.3">
      <c r="A1057" t="s">
        <v>1133</v>
      </c>
      <c r="B1057" s="1">
        <v>45160</v>
      </c>
      <c r="C1057" t="s">
        <v>68</v>
      </c>
      <c r="D1057" t="s">
        <v>69</v>
      </c>
      <c r="E1057" t="s">
        <v>22</v>
      </c>
      <c r="F1057" t="s">
        <v>23</v>
      </c>
      <c r="G1057">
        <v>24076.77</v>
      </c>
      <c r="H1057">
        <v>13822.99</v>
      </c>
      <c r="I1057">
        <v>10253.780000000001</v>
      </c>
      <c r="J1057">
        <v>43225.62</v>
      </c>
      <c r="K1057">
        <v>4860.07</v>
      </c>
      <c r="L1057">
        <v>94894.720000000001</v>
      </c>
      <c r="M1057">
        <v>1243</v>
      </c>
      <c r="N1057">
        <v>-2.9999999999999997E-4</v>
      </c>
      <c r="O1057">
        <v>0.4259</v>
      </c>
      <c r="P1057">
        <v>5.1200000000000002E-2</v>
      </c>
      <c r="Q1057" t="s">
        <v>56</v>
      </c>
      <c r="R1057">
        <v>2023</v>
      </c>
      <c r="S1057" t="s">
        <v>25</v>
      </c>
    </row>
    <row r="1058" spans="1:19" x14ac:dyDescent="0.3">
      <c r="A1058" t="s">
        <v>1134</v>
      </c>
      <c r="B1058" s="1">
        <v>45833</v>
      </c>
      <c r="C1058" t="s">
        <v>61</v>
      </c>
      <c r="D1058" t="s">
        <v>74</v>
      </c>
      <c r="E1058" t="s">
        <v>38</v>
      </c>
      <c r="F1058" t="s">
        <v>23</v>
      </c>
      <c r="G1058">
        <v>58530.81</v>
      </c>
      <c r="H1058">
        <v>40445.4</v>
      </c>
      <c r="I1058">
        <v>18085.41</v>
      </c>
      <c r="J1058">
        <v>54804.54</v>
      </c>
      <c r="K1058">
        <v>92034.37</v>
      </c>
      <c r="L1058">
        <v>227724.27</v>
      </c>
      <c r="M1058">
        <v>293</v>
      </c>
      <c r="N1058">
        <v>-2.4400000000000002E-2</v>
      </c>
      <c r="O1058">
        <v>0.309</v>
      </c>
      <c r="P1058">
        <v>0.40410000000000001</v>
      </c>
      <c r="Q1058" t="s">
        <v>34</v>
      </c>
      <c r="R1058">
        <v>2025</v>
      </c>
      <c r="S1058" t="s">
        <v>40</v>
      </c>
    </row>
    <row r="1059" spans="1:19" x14ac:dyDescent="0.3">
      <c r="A1059" t="s">
        <v>1135</v>
      </c>
      <c r="B1059" s="1">
        <v>45769</v>
      </c>
      <c r="C1059" t="s">
        <v>102</v>
      </c>
      <c r="D1059" t="s">
        <v>103</v>
      </c>
      <c r="E1059" t="s">
        <v>22</v>
      </c>
      <c r="F1059" t="s">
        <v>23</v>
      </c>
      <c r="G1059">
        <v>69974.990000000005</v>
      </c>
      <c r="H1059">
        <v>52115.1</v>
      </c>
      <c r="I1059">
        <v>17859.89</v>
      </c>
      <c r="J1059">
        <v>27093.47</v>
      </c>
      <c r="K1059">
        <v>10508.55</v>
      </c>
      <c r="L1059">
        <v>151980.91</v>
      </c>
      <c r="M1059">
        <v>664</v>
      </c>
      <c r="N1059">
        <v>-9.4700000000000006E-2</v>
      </c>
      <c r="O1059">
        <v>0.25519999999999998</v>
      </c>
      <c r="P1059">
        <v>6.9099999999999995E-2</v>
      </c>
      <c r="Q1059" t="s">
        <v>34</v>
      </c>
      <c r="R1059">
        <v>2025</v>
      </c>
      <c r="S1059" t="s">
        <v>25</v>
      </c>
    </row>
    <row r="1060" spans="1:19" x14ac:dyDescent="0.3">
      <c r="A1060" t="s">
        <v>1136</v>
      </c>
      <c r="B1060" s="1">
        <v>45123</v>
      </c>
      <c r="C1060" t="s">
        <v>68</v>
      </c>
      <c r="D1060" t="s">
        <v>69</v>
      </c>
      <c r="E1060" t="s">
        <v>22</v>
      </c>
      <c r="F1060" t="s">
        <v>23</v>
      </c>
      <c r="G1060">
        <v>174439.31</v>
      </c>
      <c r="H1060">
        <v>120512.68</v>
      </c>
      <c r="I1060">
        <v>53926.63</v>
      </c>
      <c r="J1060">
        <v>28811.040000000001</v>
      </c>
      <c r="K1060">
        <v>58601.7</v>
      </c>
      <c r="L1060">
        <v>93136.6</v>
      </c>
      <c r="M1060">
        <v>870</v>
      </c>
      <c r="N1060">
        <v>-2.0999999999999999E-3</v>
      </c>
      <c r="O1060">
        <v>0.30909999999999999</v>
      </c>
      <c r="P1060">
        <v>0.62919999999999998</v>
      </c>
      <c r="Q1060" t="s">
        <v>56</v>
      </c>
      <c r="R1060">
        <v>2023</v>
      </c>
      <c r="S1060" t="s">
        <v>82</v>
      </c>
    </row>
    <row r="1061" spans="1:19" x14ac:dyDescent="0.3">
      <c r="A1061" t="s">
        <v>1137</v>
      </c>
      <c r="B1061" s="1">
        <v>45380</v>
      </c>
      <c r="C1061" t="s">
        <v>42</v>
      </c>
      <c r="D1061" t="s">
        <v>43</v>
      </c>
      <c r="E1061" t="s">
        <v>22</v>
      </c>
      <c r="F1061" t="s">
        <v>23</v>
      </c>
      <c r="G1061">
        <v>90281.84</v>
      </c>
      <c r="H1061">
        <v>82800.36</v>
      </c>
      <c r="I1061">
        <v>7481.48</v>
      </c>
      <c r="J1061">
        <v>46688.63</v>
      </c>
      <c r="K1061">
        <v>8419.34</v>
      </c>
      <c r="L1061">
        <v>62382.9</v>
      </c>
      <c r="M1061">
        <v>388</v>
      </c>
      <c r="N1061">
        <v>9.0999999999999998E-2</v>
      </c>
      <c r="O1061">
        <v>8.2900000000000001E-2</v>
      </c>
      <c r="P1061">
        <v>0.13500000000000001</v>
      </c>
      <c r="Q1061" t="s">
        <v>80</v>
      </c>
      <c r="R1061">
        <v>2024</v>
      </c>
      <c r="S1061" t="s">
        <v>25</v>
      </c>
    </row>
    <row r="1062" spans="1:19" x14ac:dyDescent="0.3">
      <c r="A1062" t="s">
        <v>1138</v>
      </c>
      <c r="B1062" s="1">
        <v>45936</v>
      </c>
      <c r="C1062" t="s">
        <v>68</v>
      </c>
      <c r="D1062" t="s">
        <v>69</v>
      </c>
      <c r="E1062" t="s">
        <v>22</v>
      </c>
      <c r="F1062" t="s">
        <v>23</v>
      </c>
      <c r="G1062">
        <v>23173.46</v>
      </c>
      <c r="H1062">
        <v>20870.32</v>
      </c>
      <c r="I1062">
        <v>2303.14</v>
      </c>
      <c r="J1062">
        <v>33312.300000000003</v>
      </c>
      <c r="K1062">
        <v>15422.17</v>
      </c>
      <c r="L1062">
        <v>90682.240000000005</v>
      </c>
      <c r="M1062">
        <v>600</v>
      </c>
      <c r="N1062">
        <v>9.98E-2</v>
      </c>
      <c r="O1062">
        <v>9.9400000000000002E-2</v>
      </c>
      <c r="P1062">
        <v>0.1701</v>
      </c>
      <c r="Q1062" t="s">
        <v>66</v>
      </c>
      <c r="R1062">
        <v>2025</v>
      </c>
      <c r="S1062" t="s">
        <v>25</v>
      </c>
    </row>
    <row r="1063" spans="1:19" x14ac:dyDescent="0.3">
      <c r="A1063" t="s">
        <v>1139</v>
      </c>
      <c r="B1063" s="1">
        <v>45110</v>
      </c>
      <c r="C1063" t="s">
        <v>36</v>
      </c>
      <c r="D1063" t="s">
        <v>37</v>
      </c>
      <c r="E1063" t="s">
        <v>22</v>
      </c>
      <c r="F1063" t="s">
        <v>23</v>
      </c>
      <c r="G1063">
        <v>189951.96</v>
      </c>
      <c r="H1063">
        <v>169696.1</v>
      </c>
      <c r="I1063">
        <v>20255.86</v>
      </c>
      <c r="J1063">
        <v>42924.9</v>
      </c>
      <c r="K1063">
        <v>13757.1</v>
      </c>
      <c r="L1063">
        <v>67037.919999999998</v>
      </c>
      <c r="M1063">
        <v>1276</v>
      </c>
      <c r="N1063">
        <v>5.1000000000000004E-3</v>
      </c>
      <c r="O1063">
        <v>0.1066</v>
      </c>
      <c r="P1063">
        <v>0.20519999999999999</v>
      </c>
      <c r="Q1063" t="s">
        <v>56</v>
      </c>
      <c r="R1063">
        <v>2023</v>
      </c>
      <c r="S1063" t="s">
        <v>25</v>
      </c>
    </row>
    <row r="1064" spans="1:19" x14ac:dyDescent="0.3">
      <c r="A1064" t="s">
        <v>1140</v>
      </c>
      <c r="B1064" s="1">
        <v>44674</v>
      </c>
      <c r="C1064" t="s">
        <v>54</v>
      </c>
      <c r="D1064" t="s">
        <v>55</v>
      </c>
      <c r="E1064" t="s">
        <v>51</v>
      </c>
      <c r="F1064" t="s">
        <v>23</v>
      </c>
      <c r="G1064">
        <v>74895.78</v>
      </c>
      <c r="H1064">
        <v>59513.21</v>
      </c>
      <c r="I1064">
        <v>15382.57</v>
      </c>
      <c r="J1064">
        <v>40884.18</v>
      </c>
      <c r="K1064">
        <v>11255.27</v>
      </c>
      <c r="L1064">
        <v>59674.53</v>
      </c>
      <c r="M1064">
        <v>656</v>
      </c>
      <c r="N1064">
        <v>2.1399999999999999E-2</v>
      </c>
      <c r="O1064">
        <v>0.2054</v>
      </c>
      <c r="P1064">
        <v>0.18859999999999999</v>
      </c>
      <c r="Q1064" t="s">
        <v>58</v>
      </c>
      <c r="R1064">
        <v>2022</v>
      </c>
      <c r="S1064" t="s">
        <v>25</v>
      </c>
    </row>
    <row r="1065" spans="1:19" x14ac:dyDescent="0.3">
      <c r="A1065" t="s">
        <v>1141</v>
      </c>
      <c r="B1065" s="1">
        <v>45429</v>
      </c>
      <c r="C1065" t="s">
        <v>48</v>
      </c>
      <c r="D1065" t="s">
        <v>49</v>
      </c>
      <c r="E1065" t="s">
        <v>32</v>
      </c>
      <c r="F1065" t="s">
        <v>33</v>
      </c>
      <c r="G1065">
        <v>74380.09</v>
      </c>
      <c r="H1065">
        <v>56349.58</v>
      </c>
      <c r="I1065">
        <v>18030.509999999998</v>
      </c>
      <c r="K1065">
        <v>8428.5300000000007</v>
      </c>
      <c r="L1065">
        <v>60545.78</v>
      </c>
      <c r="M1065">
        <v>600</v>
      </c>
      <c r="N1065">
        <v>3.7900000000000003E-2</v>
      </c>
      <c r="O1065">
        <v>0.2424</v>
      </c>
      <c r="P1065">
        <v>0.13919999999999999</v>
      </c>
      <c r="Q1065" t="s">
        <v>111</v>
      </c>
      <c r="R1065">
        <v>2024</v>
      </c>
      <c r="S1065" t="s">
        <v>25</v>
      </c>
    </row>
    <row r="1066" spans="1:19" x14ac:dyDescent="0.3">
      <c r="A1066" t="s">
        <v>1142</v>
      </c>
      <c r="B1066" s="1">
        <v>45774</v>
      </c>
      <c r="C1066" t="s">
        <v>27</v>
      </c>
      <c r="D1066" t="s">
        <v>28</v>
      </c>
      <c r="E1066" t="s">
        <v>38</v>
      </c>
      <c r="F1066" t="s">
        <v>23</v>
      </c>
      <c r="G1066">
        <v>100939.34</v>
      </c>
      <c r="H1066">
        <v>76500.38</v>
      </c>
      <c r="I1066">
        <v>24438.959999999999</v>
      </c>
      <c r="J1066">
        <v>23615.48</v>
      </c>
      <c r="K1066">
        <v>16507.18</v>
      </c>
      <c r="L1066">
        <v>68351.22</v>
      </c>
      <c r="M1066">
        <v>279</v>
      </c>
      <c r="N1066">
        <v>3.0000000000000001E-3</v>
      </c>
      <c r="O1066">
        <v>0.24210000000000001</v>
      </c>
      <c r="P1066">
        <v>0.24149999999999999</v>
      </c>
      <c r="Q1066" t="s">
        <v>34</v>
      </c>
      <c r="R1066">
        <v>2025</v>
      </c>
      <c r="S1066" t="s">
        <v>25</v>
      </c>
    </row>
    <row r="1067" spans="1:19" x14ac:dyDescent="0.3">
      <c r="A1067" t="s">
        <v>1143</v>
      </c>
      <c r="B1067" s="1">
        <v>44582</v>
      </c>
      <c r="C1067" t="s">
        <v>27</v>
      </c>
      <c r="D1067" t="s">
        <v>28</v>
      </c>
      <c r="E1067" t="s">
        <v>32</v>
      </c>
      <c r="F1067" t="s">
        <v>33</v>
      </c>
      <c r="G1067">
        <v>48746.41</v>
      </c>
      <c r="H1067">
        <v>42663.11</v>
      </c>
      <c r="I1067">
        <v>6083.3</v>
      </c>
      <c r="J1067">
        <v>59347.66</v>
      </c>
      <c r="K1067">
        <v>92490.55</v>
      </c>
      <c r="L1067">
        <v>109449.3</v>
      </c>
      <c r="M1067">
        <v>422</v>
      </c>
      <c r="N1067">
        <v>7.0800000000000002E-2</v>
      </c>
      <c r="O1067">
        <v>0.12479999999999999</v>
      </c>
      <c r="P1067">
        <v>0.84509999999999996</v>
      </c>
      <c r="Q1067" t="s">
        <v>90</v>
      </c>
      <c r="R1067">
        <v>2022</v>
      </c>
      <c r="S1067" t="s">
        <v>82</v>
      </c>
    </row>
    <row r="1068" spans="1:19" x14ac:dyDescent="0.3">
      <c r="A1068" t="s">
        <v>1144</v>
      </c>
      <c r="B1068" s="1">
        <v>45094</v>
      </c>
      <c r="C1068" t="s">
        <v>42</v>
      </c>
      <c r="D1068" t="s">
        <v>43</v>
      </c>
      <c r="E1068" t="s">
        <v>22</v>
      </c>
      <c r="F1068" t="s">
        <v>23</v>
      </c>
      <c r="G1068">
        <v>54134.19</v>
      </c>
      <c r="H1068">
        <v>40456.379999999997</v>
      </c>
      <c r="I1068">
        <v>13677.81</v>
      </c>
      <c r="J1068">
        <v>26504.400000000001</v>
      </c>
      <c r="K1068">
        <v>37982.11</v>
      </c>
      <c r="L1068">
        <v>124129.84</v>
      </c>
      <c r="M1068">
        <v>725</v>
      </c>
      <c r="N1068">
        <v>-9.0499999999999997E-2</v>
      </c>
      <c r="O1068">
        <v>0.25269999999999998</v>
      </c>
      <c r="P1068">
        <v>0.30599999999999999</v>
      </c>
      <c r="Q1068" t="s">
        <v>39</v>
      </c>
      <c r="R1068">
        <v>2023</v>
      </c>
      <c r="S1068" t="s">
        <v>40</v>
      </c>
    </row>
    <row r="1069" spans="1:19" x14ac:dyDescent="0.3">
      <c r="A1069" t="s">
        <v>1145</v>
      </c>
      <c r="B1069" s="1">
        <v>45895</v>
      </c>
      <c r="C1069" t="s">
        <v>48</v>
      </c>
      <c r="D1069" t="s">
        <v>49</v>
      </c>
      <c r="E1069" t="s">
        <v>22</v>
      </c>
      <c r="F1069" t="s">
        <v>23</v>
      </c>
      <c r="G1069">
        <v>258275.96</v>
      </c>
      <c r="H1069">
        <v>152735.66</v>
      </c>
      <c r="I1069">
        <v>105540.3</v>
      </c>
      <c r="J1069">
        <v>35054.71</v>
      </c>
      <c r="K1069">
        <v>7680.44</v>
      </c>
      <c r="L1069">
        <v>116307.29</v>
      </c>
      <c r="M1069">
        <v>2162</v>
      </c>
      <c r="N1069">
        <v>-6.4600000000000005E-2</v>
      </c>
      <c r="O1069">
        <v>0.40860000000000002</v>
      </c>
      <c r="P1069">
        <v>6.6000000000000003E-2</v>
      </c>
      <c r="Q1069" t="s">
        <v>24</v>
      </c>
      <c r="R1069">
        <v>2025</v>
      </c>
      <c r="S1069" t="s">
        <v>25</v>
      </c>
    </row>
    <row r="1070" spans="1:19" x14ac:dyDescent="0.3">
      <c r="A1070" t="s">
        <v>1146</v>
      </c>
      <c r="B1070" s="1">
        <v>45740</v>
      </c>
      <c r="C1070" t="s">
        <v>48</v>
      </c>
      <c r="D1070" t="s">
        <v>49</v>
      </c>
      <c r="E1070" t="s">
        <v>22</v>
      </c>
      <c r="F1070" t="s">
        <v>23</v>
      </c>
      <c r="G1070">
        <v>44628.53</v>
      </c>
      <c r="H1070">
        <v>40840.230000000003</v>
      </c>
      <c r="I1070">
        <v>3788.3</v>
      </c>
      <c r="J1070">
        <v>19990.04</v>
      </c>
      <c r="K1070">
        <v>14878.3</v>
      </c>
      <c r="L1070">
        <v>64830.1</v>
      </c>
      <c r="M1070">
        <v>1494</v>
      </c>
      <c r="N1070">
        <v>2.0799999999999999E-2</v>
      </c>
      <c r="O1070">
        <v>8.4900000000000003E-2</v>
      </c>
      <c r="P1070">
        <v>0.22950000000000001</v>
      </c>
      <c r="Q1070" t="s">
        <v>106</v>
      </c>
      <c r="R1070">
        <v>2025</v>
      </c>
      <c r="S1070" t="s">
        <v>25</v>
      </c>
    </row>
    <row r="1071" spans="1:19" x14ac:dyDescent="0.3">
      <c r="A1071" t="s">
        <v>1147</v>
      </c>
      <c r="B1071" s="1">
        <v>45086</v>
      </c>
      <c r="C1071" t="s">
        <v>36</v>
      </c>
      <c r="D1071" t="s">
        <v>37</v>
      </c>
      <c r="E1071" t="s">
        <v>38</v>
      </c>
      <c r="F1071" t="s">
        <v>23</v>
      </c>
      <c r="G1071">
        <v>224420.11</v>
      </c>
      <c r="H1071">
        <v>183889.54</v>
      </c>
      <c r="I1071">
        <v>40530.57</v>
      </c>
      <c r="J1071">
        <v>46457.5</v>
      </c>
      <c r="K1071">
        <v>52267.45</v>
      </c>
      <c r="L1071">
        <v>125649.59</v>
      </c>
      <c r="M1071">
        <v>991</v>
      </c>
      <c r="N1071">
        <v>8.7400000000000005E-2</v>
      </c>
      <c r="O1071">
        <v>0.18060000000000001</v>
      </c>
      <c r="P1071">
        <v>0.41599999999999998</v>
      </c>
      <c r="Q1071" t="s">
        <v>39</v>
      </c>
      <c r="R1071">
        <v>2023</v>
      </c>
      <c r="S1071" t="s">
        <v>40</v>
      </c>
    </row>
    <row r="1072" spans="1:19" x14ac:dyDescent="0.3">
      <c r="A1072" t="s">
        <v>1148</v>
      </c>
      <c r="B1072" s="1">
        <v>45314</v>
      </c>
      <c r="C1072" t="s">
        <v>36</v>
      </c>
      <c r="D1072" t="s">
        <v>37</v>
      </c>
      <c r="E1072" t="s">
        <v>32</v>
      </c>
      <c r="F1072" t="s">
        <v>33</v>
      </c>
      <c r="G1072">
        <v>67403.39</v>
      </c>
      <c r="H1072">
        <v>58819.64</v>
      </c>
      <c r="I1072">
        <v>8583.75</v>
      </c>
      <c r="J1072">
        <v>12886.43</v>
      </c>
      <c r="K1072">
        <v>24252.17</v>
      </c>
      <c r="L1072">
        <v>31799.38</v>
      </c>
      <c r="M1072">
        <v>789</v>
      </c>
      <c r="N1072">
        <v>-6.4799999999999996E-2</v>
      </c>
      <c r="O1072">
        <v>0.1273</v>
      </c>
      <c r="P1072">
        <v>0.76270000000000004</v>
      </c>
      <c r="Q1072" t="s">
        <v>80</v>
      </c>
      <c r="R1072">
        <v>2024</v>
      </c>
      <c r="S1072" t="s">
        <v>82</v>
      </c>
    </row>
    <row r="1073" spans="1:19" x14ac:dyDescent="0.3">
      <c r="A1073" t="s">
        <v>1149</v>
      </c>
      <c r="B1073" s="1">
        <v>46009</v>
      </c>
      <c r="C1073" t="s">
        <v>48</v>
      </c>
      <c r="D1073" t="s">
        <v>49</v>
      </c>
      <c r="E1073" t="s">
        <v>38</v>
      </c>
      <c r="F1073" t="s">
        <v>23</v>
      </c>
      <c r="G1073">
        <v>54622.96</v>
      </c>
      <c r="H1073">
        <v>34903.96</v>
      </c>
      <c r="I1073">
        <v>19719</v>
      </c>
      <c r="J1073">
        <v>24728.77</v>
      </c>
      <c r="K1073">
        <v>237635.77</v>
      </c>
      <c r="L1073">
        <v>119150.39</v>
      </c>
      <c r="M1073">
        <v>1238</v>
      </c>
      <c r="N1073">
        <v>-4.82E-2</v>
      </c>
      <c r="O1073">
        <v>0.36099999999999999</v>
      </c>
      <c r="P1073">
        <v>1.9944</v>
      </c>
      <c r="Q1073" t="s">
        <v>66</v>
      </c>
      <c r="R1073">
        <v>2025</v>
      </c>
      <c r="S1073" t="s">
        <v>82</v>
      </c>
    </row>
    <row r="1074" spans="1:19" x14ac:dyDescent="0.3">
      <c r="A1074" t="s">
        <v>1150</v>
      </c>
      <c r="B1074" s="1">
        <v>44869</v>
      </c>
      <c r="C1074" t="s">
        <v>42</v>
      </c>
      <c r="D1074" t="s">
        <v>43</v>
      </c>
      <c r="E1074" t="s">
        <v>38</v>
      </c>
      <c r="F1074" t="s">
        <v>23</v>
      </c>
      <c r="G1074">
        <v>43947.79</v>
      </c>
      <c r="H1074">
        <v>37015.79</v>
      </c>
      <c r="I1074">
        <v>6932</v>
      </c>
      <c r="J1074">
        <v>126799.7</v>
      </c>
      <c r="K1074">
        <v>16990.52</v>
      </c>
      <c r="L1074">
        <v>241925.07</v>
      </c>
      <c r="M1074">
        <v>1129</v>
      </c>
      <c r="N1074">
        <v>-4.0000000000000001E-3</v>
      </c>
      <c r="O1074">
        <v>0.15770000000000001</v>
      </c>
      <c r="P1074">
        <v>7.0199999999999999E-2</v>
      </c>
      <c r="Q1074" t="s">
        <v>46</v>
      </c>
      <c r="R1074">
        <v>2022</v>
      </c>
      <c r="S1074" t="s">
        <v>25</v>
      </c>
    </row>
    <row r="1075" spans="1:19" x14ac:dyDescent="0.3">
      <c r="A1075" t="s">
        <v>1151</v>
      </c>
      <c r="B1075" s="1">
        <v>45288</v>
      </c>
      <c r="C1075" t="s">
        <v>20</v>
      </c>
      <c r="D1075" t="s">
        <v>21</v>
      </c>
      <c r="E1075" t="s">
        <v>22</v>
      </c>
      <c r="F1075" t="s">
        <v>23</v>
      </c>
      <c r="G1075">
        <v>180673.66</v>
      </c>
      <c r="H1075">
        <v>150955.95000000001</v>
      </c>
      <c r="I1075">
        <v>29717.71</v>
      </c>
      <c r="J1075">
        <v>28322.99</v>
      </c>
      <c r="K1075">
        <v>28350.58</v>
      </c>
      <c r="L1075">
        <v>139712.1</v>
      </c>
      <c r="M1075">
        <v>979</v>
      </c>
      <c r="N1075">
        <v>-5.5399999999999998E-2</v>
      </c>
      <c r="O1075">
        <v>0.16450000000000001</v>
      </c>
      <c r="P1075">
        <v>0.2029</v>
      </c>
      <c r="Q1075" t="s">
        <v>44</v>
      </c>
      <c r="R1075">
        <v>2023</v>
      </c>
      <c r="S1075" t="s">
        <v>25</v>
      </c>
    </row>
    <row r="1076" spans="1:19" x14ac:dyDescent="0.3">
      <c r="A1076" t="s">
        <v>1152</v>
      </c>
      <c r="B1076" s="1">
        <v>45982</v>
      </c>
      <c r="C1076" t="s">
        <v>48</v>
      </c>
      <c r="D1076" t="s">
        <v>49</v>
      </c>
      <c r="E1076" t="s">
        <v>22</v>
      </c>
      <c r="F1076" t="s">
        <v>23</v>
      </c>
      <c r="G1076">
        <v>133759.85</v>
      </c>
      <c r="H1076">
        <v>106759.81</v>
      </c>
      <c r="I1076">
        <v>27000.04</v>
      </c>
      <c r="J1076">
        <v>38463.519999999997</v>
      </c>
      <c r="K1076">
        <v>43800.09</v>
      </c>
      <c r="L1076">
        <v>85144.93</v>
      </c>
      <c r="M1076">
        <v>1039</v>
      </c>
      <c r="N1076">
        <v>4.5999999999999999E-2</v>
      </c>
      <c r="O1076">
        <v>0.2019</v>
      </c>
      <c r="P1076">
        <v>0.51439999999999997</v>
      </c>
      <c r="Q1076" t="s">
        <v>66</v>
      </c>
      <c r="R1076">
        <v>2025</v>
      </c>
      <c r="S1076" t="s">
        <v>40</v>
      </c>
    </row>
    <row r="1077" spans="1:19" x14ac:dyDescent="0.3">
      <c r="A1077" t="s">
        <v>1153</v>
      </c>
      <c r="B1077" s="1">
        <v>45753</v>
      </c>
      <c r="C1077" t="s">
        <v>68</v>
      </c>
      <c r="D1077" t="s">
        <v>69</v>
      </c>
      <c r="E1077" t="s">
        <v>38</v>
      </c>
      <c r="F1077" t="s">
        <v>23</v>
      </c>
      <c r="G1077">
        <v>181282.53</v>
      </c>
      <c r="H1077">
        <v>118017.54</v>
      </c>
      <c r="I1077">
        <v>63264.99</v>
      </c>
      <c r="J1077">
        <v>40730.92</v>
      </c>
      <c r="K1077">
        <v>65272.23</v>
      </c>
      <c r="L1077">
        <v>123218.26</v>
      </c>
      <c r="M1077">
        <v>826</v>
      </c>
      <c r="N1077">
        <v>0.14960000000000001</v>
      </c>
      <c r="O1077">
        <v>0.34899999999999998</v>
      </c>
      <c r="P1077">
        <v>0.52969999999999995</v>
      </c>
      <c r="Q1077" t="s">
        <v>34</v>
      </c>
      <c r="R1077">
        <v>2025</v>
      </c>
      <c r="S1077" t="s">
        <v>40</v>
      </c>
    </row>
    <row r="1078" spans="1:19" x14ac:dyDescent="0.3">
      <c r="A1078" t="s">
        <v>1154</v>
      </c>
      <c r="B1078" s="1">
        <v>45737</v>
      </c>
      <c r="C1078" t="s">
        <v>48</v>
      </c>
      <c r="D1078" t="s">
        <v>49</v>
      </c>
      <c r="E1078" t="s">
        <v>22</v>
      </c>
      <c r="F1078" t="s">
        <v>23</v>
      </c>
      <c r="G1078">
        <v>173799.99</v>
      </c>
      <c r="H1078">
        <v>142315.04</v>
      </c>
      <c r="I1078">
        <v>31484.95</v>
      </c>
      <c r="J1078">
        <v>45838.78</v>
      </c>
      <c r="K1078">
        <v>62864.2</v>
      </c>
      <c r="L1078">
        <v>171453.11</v>
      </c>
      <c r="M1078">
        <v>461</v>
      </c>
      <c r="N1078">
        <v>-0.186</v>
      </c>
      <c r="O1078">
        <v>0.1812</v>
      </c>
      <c r="P1078">
        <v>0.36670000000000003</v>
      </c>
      <c r="Q1078" t="s">
        <v>106</v>
      </c>
      <c r="R1078">
        <v>2025</v>
      </c>
      <c r="S1078" t="s">
        <v>40</v>
      </c>
    </row>
    <row r="1079" spans="1:19" x14ac:dyDescent="0.3">
      <c r="A1079" t="s">
        <v>1155</v>
      </c>
      <c r="B1079" s="1">
        <v>45864</v>
      </c>
      <c r="C1079" t="s">
        <v>61</v>
      </c>
      <c r="D1079" t="s">
        <v>74</v>
      </c>
      <c r="E1079" t="s">
        <v>22</v>
      </c>
      <c r="F1079" t="s">
        <v>23</v>
      </c>
      <c r="G1079">
        <v>252974.28</v>
      </c>
      <c r="H1079">
        <v>219285.88</v>
      </c>
      <c r="I1079">
        <v>33688.400000000001</v>
      </c>
      <c r="J1079">
        <v>15892.56</v>
      </c>
      <c r="K1079">
        <v>8065.36</v>
      </c>
      <c r="L1079">
        <v>73566.89</v>
      </c>
      <c r="M1079">
        <v>688</v>
      </c>
      <c r="N1079">
        <v>3.4799999999999998E-2</v>
      </c>
      <c r="O1079">
        <v>0.13320000000000001</v>
      </c>
      <c r="P1079">
        <v>0.1096</v>
      </c>
      <c r="Q1079" t="s">
        <v>24</v>
      </c>
      <c r="R1079">
        <v>2025</v>
      </c>
      <c r="S1079" t="s">
        <v>25</v>
      </c>
    </row>
    <row r="1080" spans="1:19" x14ac:dyDescent="0.3">
      <c r="A1080" t="s">
        <v>1156</v>
      </c>
      <c r="B1080" s="1">
        <v>45691</v>
      </c>
      <c r="C1080" t="s">
        <v>48</v>
      </c>
      <c r="D1080" t="s">
        <v>49</v>
      </c>
      <c r="E1080" t="s">
        <v>51</v>
      </c>
      <c r="F1080" t="s">
        <v>23</v>
      </c>
      <c r="G1080">
        <v>212728.47</v>
      </c>
      <c r="H1080">
        <v>121379.95</v>
      </c>
      <c r="I1080">
        <v>91348.52</v>
      </c>
      <c r="J1080">
        <v>16784.91</v>
      </c>
      <c r="K1080">
        <v>26855.06</v>
      </c>
      <c r="L1080">
        <v>43672.62</v>
      </c>
      <c r="M1080">
        <v>509</v>
      </c>
      <c r="N1080">
        <v>-6.54E-2</v>
      </c>
      <c r="O1080">
        <v>0.4294</v>
      </c>
      <c r="P1080">
        <v>0.6149</v>
      </c>
      <c r="Q1080" t="s">
        <v>106</v>
      </c>
      <c r="R1080">
        <v>2025</v>
      </c>
      <c r="S1080" t="s">
        <v>82</v>
      </c>
    </row>
    <row r="1081" spans="1:19" x14ac:dyDescent="0.3">
      <c r="A1081" t="s">
        <v>1157</v>
      </c>
      <c r="B1081" s="1">
        <v>45848</v>
      </c>
      <c r="C1081" t="s">
        <v>30</v>
      </c>
      <c r="D1081" t="s">
        <v>31</v>
      </c>
      <c r="E1081" t="s">
        <v>32</v>
      </c>
      <c r="F1081" t="s">
        <v>33</v>
      </c>
      <c r="G1081">
        <v>218889.73</v>
      </c>
      <c r="H1081">
        <v>181644.06</v>
      </c>
      <c r="I1081">
        <v>37245.67</v>
      </c>
      <c r="J1081">
        <v>20270.080000000002</v>
      </c>
      <c r="K1081">
        <v>24447.25</v>
      </c>
      <c r="L1081">
        <v>206681.34</v>
      </c>
      <c r="M1081">
        <v>813</v>
      </c>
      <c r="N1081">
        <v>7.7000000000000002E-3</v>
      </c>
      <c r="O1081">
        <v>0.17019999999999999</v>
      </c>
      <c r="P1081">
        <v>0.1183</v>
      </c>
      <c r="Q1081" t="s">
        <v>24</v>
      </c>
      <c r="R1081">
        <v>2025</v>
      </c>
      <c r="S1081" t="s">
        <v>25</v>
      </c>
    </row>
    <row r="1082" spans="1:19" x14ac:dyDescent="0.3">
      <c r="A1082" t="s">
        <v>1158</v>
      </c>
      <c r="B1082" s="1">
        <v>44636</v>
      </c>
      <c r="C1082" t="s">
        <v>36</v>
      </c>
      <c r="D1082" t="s">
        <v>37</v>
      </c>
      <c r="E1082" t="s">
        <v>22</v>
      </c>
      <c r="F1082" t="s">
        <v>23</v>
      </c>
      <c r="G1082">
        <v>110634.83</v>
      </c>
      <c r="H1082">
        <v>94539.73</v>
      </c>
      <c r="I1082">
        <v>16095.1</v>
      </c>
      <c r="J1082">
        <v>23562.51</v>
      </c>
      <c r="K1082">
        <v>21068.33</v>
      </c>
      <c r="L1082">
        <v>74913.149999999994</v>
      </c>
      <c r="M1082">
        <v>886</v>
      </c>
      <c r="N1082">
        <v>-2.01E-2</v>
      </c>
      <c r="O1082">
        <v>0.14549999999999999</v>
      </c>
      <c r="P1082">
        <v>0.28120000000000001</v>
      </c>
      <c r="Q1082" t="s">
        <v>90</v>
      </c>
      <c r="R1082">
        <v>2022</v>
      </c>
      <c r="S1082" t="s">
        <v>25</v>
      </c>
    </row>
    <row r="1083" spans="1:19" x14ac:dyDescent="0.3">
      <c r="A1083" t="s">
        <v>1159</v>
      </c>
      <c r="B1083" s="1">
        <v>44778</v>
      </c>
      <c r="C1083" t="s">
        <v>102</v>
      </c>
      <c r="D1083" t="s">
        <v>103</v>
      </c>
      <c r="E1083" t="s">
        <v>32</v>
      </c>
      <c r="F1083" t="s">
        <v>33</v>
      </c>
      <c r="G1083">
        <v>43994.55</v>
      </c>
      <c r="H1083">
        <v>26844.26</v>
      </c>
      <c r="I1083">
        <v>17150.29</v>
      </c>
      <c r="J1083">
        <v>35772.1</v>
      </c>
      <c r="K1083">
        <v>10317.879999999999</v>
      </c>
      <c r="L1083">
        <v>79252.759999999995</v>
      </c>
      <c r="M1083">
        <v>753</v>
      </c>
      <c r="N1083">
        <v>0.11169999999999999</v>
      </c>
      <c r="O1083">
        <v>0.38979999999999998</v>
      </c>
      <c r="P1083">
        <v>0.13020000000000001</v>
      </c>
      <c r="Q1083" t="s">
        <v>76</v>
      </c>
      <c r="R1083">
        <v>2022</v>
      </c>
      <c r="S1083" t="s">
        <v>25</v>
      </c>
    </row>
    <row r="1084" spans="1:19" x14ac:dyDescent="0.3">
      <c r="A1084" t="s">
        <v>1160</v>
      </c>
      <c r="B1084" s="1">
        <v>45543</v>
      </c>
      <c r="C1084" t="s">
        <v>61</v>
      </c>
      <c r="D1084" t="s">
        <v>74</v>
      </c>
      <c r="E1084" t="s">
        <v>32</v>
      </c>
      <c r="F1084" t="s">
        <v>33</v>
      </c>
      <c r="G1084">
        <v>42351.19</v>
      </c>
      <c r="H1084">
        <v>27387.51</v>
      </c>
      <c r="I1084">
        <v>14963.68</v>
      </c>
      <c r="J1084">
        <v>21612.71</v>
      </c>
      <c r="K1084">
        <v>15454.42</v>
      </c>
      <c r="L1084">
        <v>185242.4</v>
      </c>
      <c r="M1084">
        <v>615</v>
      </c>
      <c r="N1084">
        <v>-1.9900000000000001E-2</v>
      </c>
      <c r="O1084">
        <v>0.3533</v>
      </c>
      <c r="P1084">
        <v>8.3400000000000002E-2</v>
      </c>
      <c r="Q1084" t="s">
        <v>72</v>
      </c>
      <c r="R1084">
        <v>2024</v>
      </c>
      <c r="S1084" t="s">
        <v>25</v>
      </c>
    </row>
    <row r="1085" spans="1:19" x14ac:dyDescent="0.3">
      <c r="A1085" t="s">
        <v>1161</v>
      </c>
      <c r="B1085" s="1">
        <v>44988</v>
      </c>
      <c r="C1085" t="s">
        <v>85</v>
      </c>
      <c r="D1085" t="s">
        <v>86</v>
      </c>
      <c r="E1085" t="s">
        <v>51</v>
      </c>
      <c r="F1085" t="s">
        <v>23</v>
      </c>
      <c r="G1085">
        <v>78436.45</v>
      </c>
      <c r="H1085">
        <v>67292.479999999996</v>
      </c>
      <c r="I1085">
        <v>11143.97</v>
      </c>
      <c r="J1085">
        <v>27586.3</v>
      </c>
      <c r="K1085">
        <v>38793.65</v>
      </c>
      <c r="L1085">
        <v>144119.69</v>
      </c>
      <c r="M1085">
        <v>903</v>
      </c>
      <c r="N1085">
        <v>5.6500000000000002E-2</v>
      </c>
      <c r="O1085">
        <v>0.1421</v>
      </c>
      <c r="P1085">
        <v>0.26919999999999999</v>
      </c>
      <c r="Q1085" t="s">
        <v>118</v>
      </c>
      <c r="R1085">
        <v>2023</v>
      </c>
      <c r="S1085" t="s">
        <v>25</v>
      </c>
    </row>
    <row r="1086" spans="1:19" x14ac:dyDescent="0.3">
      <c r="A1086" t="s">
        <v>1162</v>
      </c>
      <c r="B1086" s="1">
        <v>44886</v>
      </c>
      <c r="C1086" t="s">
        <v>68</v>
      </c>
      <c r="D1086" t="s">
        <v>69</v>
      </c>
      <c r="E1086" t="s">
        <v>38</v>
      </c>
      <c r="F1086" t="s">
        <v>23</v>
      </c>
      <c r="G1086">
        <v>54073.16</v>
      </c>
      <c r="H1086">
        <v>33665.94</v>
      </c>
      <c r="I1086">
        <v>20407.22</v>
      </c>
      <c r="J1086">
        <v>59474.7</v>
      </c>
      <c r="K1086">
        <v>5523.6</v>
      </c>
      <c r="L1086">
        <v>333263.65000000002</v>
      </c>
      <c r="M1086">
        <v>1323</v>
      </c>
      <c r="N1086">
        <v>-5.2299999999999999E-2</v>
      </c>
      <c r="O1086">
        <v>0.37740000000000001</v>
      </c>
      <c r="P1086">
        <v>1.66E-2</v>
      </c>
      <c r="Q1086" t="s">
        <v>46</v>
      </c>
      <c r="R1086">
        <v>2022</v>
      </c>
      <c r="S1086" t="s">
        <v>25</v>
      </c>
    </row>
    <row r="1087" spans="1:19" x14ac:dyDescent="0.3">
      <c r="A1087" t="s">
        <v>1163</v>
      </c>
      <c r="B1087" s="1">
        <v>45168</v>
      </c>
      <c r="C1087" t="s">
        <v>48</v>
      </c>
      <c r="D1087" t="s">
        <v>49</v>
      </c>
      <c r="E1087" t="s">
        <v>22</v>
      </c>
      <c r="F1087" t="s">
        <v>23</v>
      </c>
      <c r="G1087">
        <v>199317.77</v>
      </c>
      <c r="H1087">
        <v>121286.68</v>
      </c>
      <c r="I1087">
        <v>78031.09</v>
      </c>
      <c r="J1087">
        <v>12162.17</v>
      </c>
      <c r="K1087">
        <v>23634.19</v>
      </c>
      <c r="L1087">
        <v>150146.43</v>
      </c>
      <c r="M1087">
        <v>871</v>
      </c>
      <c r="N1087">
        <v>7.3200000000000001E-2</v>
      </c>
      <c r="O1087">
        <v>0.39150000000000001</v>
      </c>
      <c r="P1087">
        <v>0.15740000000000001</v>
      </c>
      <c r="Q1087" t="s">
        <v>56</v>
      </c>
      <c r="R1087">
        <v>2023</v>
      </c>
      <c r="S1087" t="s">
        <v>25</v>
      </c>
    </row>
    <row r="1088" spans="1:19" x14ac:dyDescent="0.3">
      <c r="A1088" t="s">
        <v>1164</v>
      </c>
      <c r="B1088" s="1">
        <v>44633</v>
      </c>
      <c r="C1088" t="s">
        <v>78</v>
      </c>
      <c r="D1088" t="s">
        <v>79</v>
      </c>
      <c r="E1088" t="s">
        <v>22</v>
      </c>
      <c r="F1088" t="s">
        <v>23</v>
      </c>
      <c r="G1088">
        <v>81539.37</v>
      </c>
      <c r="H1088">
        <v>56960.23</v>
      </c>
      <c r="I1088">
        <v>24579.14</v>
      </c>
      <c r="J1088">
        <v>17357.62</v>
      </c>
      <c r="K1088">
        <v>39015.18</v>
      </c>
      <c r="L1088">
        <v>74151.47</v>
      </c>
      <c r="M1088">
        <v>677</v>
      </c>
      <c r="N1088">
        <v>0.1293</v>
      </c>
      <c r="O1088">
        <v>0.3014</v>
      </c>
      <c r="P1088">
        <v>0.5262</v>
      </c>
      <c r="Q1088" t="s">
        <v>90</v>
      </c>
      <c r="R1088">
        <v>2022</v>
      </c>
      <c r="S1088" t="s">
        <v>40</v>
      </c>
    </row>
    <row r="1089" spans="1:19" x14ac:dyDescent="0.3">
      <c r="A1089" t="s">
        <v>1165</v>
      </c>
      <c r="B1089" s="1">
        <v>45468</v>
      </c>
      <c r="C1089" t="s">
        <v>36</v>
      </c>
      <c r="D1089" t="s">
        <v>37</v>
      </c>
      <c r="E1089" t="s">
        <v>51</v>
      </c>
      <c r="F1089" t="s">
        <v>23</v>
      </c>
      <c r="G1089">
        <v>93552.16</v>
      </c>
      <c r="H1089">
        <v>62424.53</v>
      </c>
      <c r="I1089">
        <v>31127.63</v>
      </c>
      <c r="J1089">
        <v>29245.7</v>
      </c>
      <c r="K1089">
        <v>16307.52</v>
      </c>
      <c r="L1089">
        <v>100388.42</v>
      </c>
      <c r="M1089">
        <v>1274</v>
      </c>
      <c r="N1089">
        <v>-4.4900000000000002E-2</v>
      </c>
      <c r="O1089">
        <v>0.3327</v>
      </c>
      <c r="P1089">
        <v>0.16239999999999999</v>
      </c>
      <c r="Q1089" t="s">
        <v>111</v>
      </c>
      <c r="R1089">
        <v>2024</v>
      </c>
      <c r="S1089" t="s">
        <v>25</v>
      </c>
    </row>
    <row r="1090" spans="1:19" x14ac:dyDescent="0.3">
      <c r="A1090" t="s">
        <v>1166</v>
      </c>
      <c r="B1090" s="1">
        <v>45947</v>
      </c>
      <c r="C1090" t="s">
        <v>30</v>
      </c>
      <c r="D1090" t="s">
        <v>31</v>
      </c>
      <c r="E1090" t="s">
        <v>38</v>
      </c>
      <c r="F1090" t="s">
        <v>23</v>
      </c>
      <c r="G1090">
        <v>66431.02</v>
      </c>
      <c r="H1090">
        <v>60606.47</v>
      </c>
      <c r="I1090">
        <v>5824.55</v>
      </c>
      <c r="J1090">
        <v>69538.720000000001</v>
      </c>
      <c r="K1090">
        <v>24910.14</v>
      </c>
      <c r="L1090">
        <v>142246.07999999999</v>
      </c>
      <c r="M1090">
        <v>1143</v>
      </c>
      <c r="N1090">
        <v>-8.3699999999999997E-2</v>
      </c>
      <c r="O1090">
        <v>8.77E-2</v>
      </c>
      <c r="P1090">
        <v>0.17510000000000001</v>
      </c>
      <c r="Q1090" t="s">
        <v>66</v>
      </c>
      <c r="R1090">
        <v>2025</v>
      </c>
      <c r="S1090" t="s">
        <v>25</v>
      </c>
    </row>
    <row r="1091" spans="1:19" x14ac:dyDescent="0.3">
      <c r="A1091" t="s">
        <v>1167</v>
      </c>
      <c r="B1091" s="1">
        <v>45067</v>
      </c>
      <c r="C1091" t="s">
        <v>20</v>
      </c>
      <c r="D1091" t="s">
        <v>21</v>
      </c>
      <c r="E1091" t="s">
        <v>22</v>
      </c>
      <c r="F1091" t="s">
        <v>23</v>
      </c>
      <c r="G1091">
        <v>62219.07</v>
      </c>
      <c r="H1091">
        <v>50460.33</v>
      </c>
      <c r="I1091">
        <v>11758.74</v>
      </c>
      <c r="J1091">
        <v>50156.5</v>
      </c>
      <c r="K1091">
        <v>60949.33</v>
      </c>
      <c r="L1091">
        <v>143079.19</v>
      </c>
      <c r="M1091">
        <v>936</v>
      </c>
      <c r="N1091">
        <v>-0.13189999999999999</v>
      </c>
      <c r="O1091">
        <v>0.189</v>
      </c>
      <c r="P1091">
        <v>0.42599999999999999</v>
      </c>
      <c r="Q1091" t="s">
        <v>39</v>
      </c>
      <c r="R1091">
        <v>2023</v>
      </c>
      <c r="S1091" t="s">
        <v>40</v>
      </c>
    </row>
    <row r="1092" spans="1:19" x14ac:dyDescent="0.3">
      <c r="A1092" t="s">
        <v>1168</v>
      </c>
      <c r="B1092" s="1">
        <v>45424</v>
      </c>
      <c r="C1092" t="s">
        <v>36</v>
      </c>
      <c r="D1092" t="s">
        <v>37</v>
      </c>
      <c r="E1092" t="s">
        <v>38</v>
      </c>
      <c r="F1092" t="s">
        <v>23</v>
      </c>
      <c r="G1092">
        <v>21853.37</v>
      </c>
      <c r="H1092">
        <v>16081.62</v>
      </c>
      <c r="I1092">
        <v>5771.75</v>
      </c>
      <c r="J1092">
        <v>23031.41</v>
      </c>
      <c r="K1092">
        <v>70099.83</v>
      </c>
      <c r="L1092">
        <v>57111.16</v>
      </c>
      <c r="M1092">
        <v>1436</v>
      </c>
      <c r="N1092">
        <v>1.9099999999999999E-2</v>
      </c>
      <c r="O1092">
        <v>0.2641</v>
      </c>
      <c r="P1092">
        <v>1.2274</v>
      </c>
      <c r="Q1092" t="s">
        <v>111</v>
      </c>
      <c r="R1092">
        <v>2024</v>
      </c>
      <c r="S1092" t="s">
        <v>82</v>
      </c>
    </row>
    <row r="1093" spans="1:19" x14ac:dyDescent="0.3">
      <c r="A1093" t="s">
        <v>1169</v>
      </c>
      <c r="B1093" s="1">
        <v>44628</v>
      </c>
      <c r="C1093" t="s">
        <v>54</v>
      </c>
      <c r="D1093" t="s">
        <v>55</v>
      </c>
      <c r="E1093" t="s">
        <v>38</v>
      </c>
      <c r="F1093" t="s">
        <v>23</v>
      </c>
      <c r="G1093">
        <v>44300.18</v>
      </c>
      <c r="H1093">
        <v>27590.7</v>
      </c>
      <c r="I1093">
        <v>16709.48</v>
      </c>
      <c r="J1093">
        <v>52471.81</v>
      </c>
      <c r="K1093">
        <v>16365.25</v>
      </c>
      <c r="L1093">
        <v>344654.84</v>
      </c>
      <c r="M1093">
        <v>1745</v>
      </c>
      <c r="N1093">
        <v>6.3E-2</v>
      </c>
      <c r="O1093">
        <v>0.37719999999999998</v>
      </c>
      <c r="P1093">
        <v>4.7500000000000001E-2</v>
      </c>
      <c r="Q1093" t="s">
        <v>90</v>
      </c>
      <c r="R1093">
        <v>2022</v>
      </c>
      <c r="S1093" t="s">
        <v>25</v>
      </c>
    </row>
    <row r="1094" spans="1:19" x14ac:dyDescent="0.3">
      <c r="A1094" t="s">
        <v>1170</v>
      </c>
      <c r="B1094" s="1">
        <v>44810</v>
      </c>
      <c r="C1094" t="s">
        <v>48</v>
      </c>
      <c r="D1094" t="s">
        <v>49</v>
      </c>
      <c r="E1094" t="s">
        <v>51</v>
      </c>
      <c r="F1094" t="s">
        <v>23</v>
      </c>
      <c r="G1094">
        <v>57295.81</v>
      </c>
      <c r="H1094">
        <v>45099.77</v>
      </c>
      <c r="I1094">
        <v>12196.04</v>
      </c>
      <c r="J1094">
        <v>27450.77</v>
      </c>
      <c r="K1094">
        <v>57257.08</v>
      </c>
      <c r="L1094">
        <v>89838.74</v>
      </c>
      <c r="M1094">
        <v>929</v>
      </c>
      <c r="N1094">
        <v>0.14319999999999999</v>
      </c>
      <c r="O1094">
        <v>0.21290000000000001</v>
      </c>
      <c r="P1094">
        <v>0.63729999999999998</v>
      </c>
      <c r="Q1094" t="s">
        <v>76</v>
      </c>
      <c r="R1094">
        <v>2022</v>
      </c>
      <c r="S1094" t="s">
        <v>82</v>
      </c>
    </row>
    <row r="1095" spans="1:19" x14ac:dyDescent="0.3">
      <c r="A1095" t="s">
        <v>1171</v>
      </c>
      <c r="B1095" s="1">
        <v>45557</v>
      </c>
      <c r="C1095" t="s">
        <v>54</v>
      </c>
      <c r="D1095" t="s">
        <v>55</v>
      </c>
      <c r="E1095" t="s">
        <v>32</v>
      </c>
      <c r="F1095" t="s">
        <v>33</v>
      </c>
      <c r="G1095">
        <v>81971.19</v>
      </c>
      <c r="H1095">
        <v>73966.83</v>
      </c>
      <c r="I1095">
        <v>8004.36</v>
      </c>
      <c r="J1095">
        <v>16037.33</v>
      </c>
      <c r="K1095">
        <v>36075.97</v>
      </c>
      <c r="L1095">
        <v>182739.59</v>
      </c>
      <c r="M1095">
        <v>1166</v>
      </c>
      <c r="N1095">
        <v>2.4899999999999999E-2</v>
      </c>
      <c r="O1095">
        <v>9.7600000000000006E-2</v>
      </c>
      <c r="P1095">
        <v>0.19739999999999999</v>
      </c>
      <c r="Q1095" t="s">
        <v>72</v>
      </c>
      <c r="R1095">
        <v>2024</v>
      </c>
      <c r="S1095" t="s">
        <v>25</v>
      </c>
    </row>
    <row r="1096" spans="1:19" x14ac:dyDescent="0.3">
      <c r="A1096" t="s">
        <v>1172</v>
      </c>
      <c r="B1096" s="1">
        <v>44771</v>
      </c>
      <c r="C1096" t="s">
        <v>68</v>
      </c>
      <c r="D1096" t="s">
        <v>69</v>
      </c>
      <c r="E1096" t="s">
        <v>22</v>
      </c>
      <c r="F1096" t="s">
        <v>23</v>
      </c>
      <c r="G1096">
        <v>268514.90000000002</v>
      </c>
      <c r="H1096">
        <v>244300.03</v>
      </c>
      <c r="I1096">
        <v>24214.87</v>
      </c>
      <c r="J1096">
        <v>61650.29</v>
      </c>
      <c r="K1096">
        <v>24164.69</v>
      </c>
      <c r="L1096">
        <v>96915.15</v>
      </c>
      <c r="M1096">
        <v>839</v>
      </c>
      <c r="N1096">
        <v>-0.1125</v>
      </c>
      <c r="O1096">
        <v>9.0200000000000002E-2</v>
      </c>
      <c r="P1096">
        <v>0.24929999999999999</v>
      </c>
      <c r="Q1096" t="s">
        <v>76</v>
      </c>
      <c r="R1096">
        <v>2022</v>
      </c>
      <c r="S1096" t="s">
        <v>25</v>
      </c>
    </row>
    <row r="1097" spans="1:19" x14ac:dyDescent="0.3">
      <c r="A1097" t="s">
        <v>1173</v>
      </c>
      <c r="B1097" s="1">
        <v>45315</v>
      </c>
      <c r="C1097" t="s">
        <v>20</v>
      </c>
      <c r="D1097" t="s">
        <v>21</v>
      </c>
      <c r="E1097" t="s">
        <v>22</v>
      </c>
      <c r="F1097" t="s">
        <v>23</v>
      </c>
      <c r="G1097">
        <v>252628.98</v>
      </c>
      <c r="H1097">
        <v>141972.16</v>
      </c>
      <c r="I1097">
        <v>110656.82</v>
      </c>
      <c r="J1097">
        <v>20776.84</v>
      </c>
      <c r="K1097">
        <v>78325.25</v>
      </c>
      <c r="L1097">
        <v>319296.96000000002</v>
      </c>
      <c r="M1097">
        <v>541</v>
      </c>
      <c r="N1097">
        <v>-3.3300000000000003E-2</v>
      </c>
      <c r="O1097">
        <v>0.438</v>
      </c>
      <c r="P1097">
        <v>0.24529999999999999</v>
      </c>
      <c r="Q1097" t="s">
        <v>80</v>
      </c>
      <c r="R1097">
        <v>2024</v>
      </c>
      <c r="S1097" t="s">
        <v>25</v>
      </c>
    </row>
    <row r="1098" spans="1:19" x14ac:dyDescent="0.3">
      <c r="A1098" t="s">
        <v>1174</v>
      </c>
      <c r="B1098" s="1">
        <v>45746</v>
      </c>
      <c r="C1098" t="s">
        <v>30</v>
      </c>
      <c r="D1098" t="s">
        <v>31</v>
      </c>
      <c r="E1098" t="s">
        <v>38</v>
      </c>
      <c r="F1098" t="s">
        <v>23</v>
      </c>
      <c r="G1098">
        <v>267958.39</v>
      </c>
      <c r="H1098">
        <v>201832.41</v>
      </c>
      <c r="I1098">
        <v>66125.98</v>
      </c>
      <c r="J1098">
        <v>75005.86</v>
      </c>
      <c r="K1098">
        <v>12863.11</v>
      </c>
      <c r="L1098">
        <v>107391.16</v>
      </c>
      <c r="M1098">
        <v>525</v>
      </c>
      <c r="N1098">
        <v>4.3099999999999999E-2</v>
      </c>
      <c r="O1098">
        <v>0.24679999999999999</v>
      </c>
      <c r="P1098">
        <v>0.1198</v>
      </c>
      <c r="Q1098" t="s">
        <v>106</v>
      </c>
      <c r="R1098">
        <v>2025</v>
      </c>
      <c r="S1098" t="s">
        <v>25</v>
      </c>
    </row>
    <row r="1099" spans="1:19" x14ac:dyDescent="0.3">
      <c r="A1099" t="s">
        <v>1175</v>
      </c>
      <c r="B1099" s="1">
        <v>45621</v>
      </c>
      <c r="C1099" t="s">
        <v>78</v>
      </c>
      <c r="D1099" t="s">
        <v>79</v>
      </c>
      <c r="E1099" t="s">
        <v>38</v>
      </c>
      <c r="F1099" t="s">
        <v>23</v>
      </c>
      <c r="G1099">
        <v>66572.97</v>
      </c>
      <c r="H1099">
        <v>39538.269999999997</v>
      </c>
      <c r="I1099">
        <v>27034.7</v>
      </c>
      <c r="J1099">
        <v>24244.78</v>
      </c>
      <c r="K1099">
        <v>113617.96</v>
      </c>
      <c r="L1099">
        <v>60681.18</v>
      </c>
      <c r="M1099">
        <v>1270</v>
      </c>
      <c r="N1099">
        <v>-2.4899999999999999E-2</v>
      </c>
      <c r="O1099">
        <v>0.40610000000000002</v>
      </c>
      <c r="P1099">
        <v>1.8724000000000001</v>
      </c>
      <c r="Q1099" t="s">
        <v>52</v>
      </c>
      <c r="R1099">
        <v>2024</v>
      </c>
      <c r="S1099" t="s">
        <v>82</v>
      </c>
    </row>
    <row r="1100" spans="1:19" x14ac:dyDescent="0.3">
      <c r="A1100" t="s">
        <v>1176</v>
      </c>
      <c r="B1100" s="1">
        <v>45842</v>
      </c>
      <c r="C1100" t="s">
        <v>30</v>
      </c>
      <c r="D1100" t="s">
        <v>31</v>
      </c>
      <c r="E1100" t="s">
        <v>32</v>
      </c>
      <c r="F1100" t="s">
        <v>33</v>
      </c>
      <c r="G1100">
        <v>82048.44</v>
      </c>
      <c r="H1100">
        <v>72314.679999999993</v>
      </c>
      <c r="I1100">
        <v>9733.76</v>
      </c>
      <c r="J1100">
        <v>42562.559999999998</v>
      </c>
      <c r="K1100">
        <v>15242.19</v>
      </c>
      <c r="L1100">
        <v>66709.56</v>
      </c>
      <c r="M1100">
        <v>730</v>
      </c>
      <c r="N1100">
        <v>0.1249</v>
      </c>
      <c r="O1100">
        <v>0.1186</v>
      </c>
      <c r="P1100">
        <v>0.22850000000000001</v>
      </c>
      <c r="Q1100" t="s">
        <v>24</v>
      </c>
      <c r="R1100">
        <v>2025</v>
      </c>
      <c r="S1100" t="s">
        <v>25</v>
      </c>
    </row>
    <row r="1101" spans="1:19" x14ac:dyDescent="0.3">
      <c r="A1101" t="s">
        <v>1177</v>
      </c>
      <c r="B1101" s="1">
        <v>45148</v>
      </c>
      <c r="C1101" t="s">
        <v>54</v>
      </c>
      <c r="D1101" t="s">
        <v>55</v>
      </c>
      <c r="E1101" t="s">
        <v>22</v>
      </c>
      <c r="F1101" t="s">
        <v>23</v>
      </c>
      <c r="G1101">
        <v>314301.68</v>
      </c>
      <c r="H1101">
        <v>286127.06</v>
      </c>
      <c r="I1101">
        <v>28174.62</v>
      </c>
      <c r="J1101">
        <v>15320.98</v>
      </c>
      <c r="K1101">
        <v>41967.92</v>
      </c>
      <c r="L1101">
        <v>65839.960000000006</v>
      </c>
      <c r="M1101">
        <v>739</v>
      </c>
      <c r="N1101">
        <v>0.16059999999999999</v>
      </c>
      <c r="O1101">
        <v>8.9599999999999999E-2</v>
      </c>
      <c r="P1101">
        <v>0.63739999999999997</v>
      </c>
      <c r="Q1101" t="s">
        <v>56</v>
      </c>
      <c r="R1101">
        <v>2023</v>
      </c>
      <c r="S1101" t="s">
        <v>82</v>
      </c>
    </row>
    <row r="1102" spans="1:19" x14ac:dyDescent="0.3">
      <c r="A1102" t="s">
        <v>1178</v>
      </c>
      <c r="B1102" s="1">
        <v>44746</v>
      </c>
      <c r="C1102" t="s">
        <v>68</v>
      </c>
      <c r="D1102" t="s">
        <v>69</v>
      </c>
      <c r="E1102" t="s">
        <v>22</v>
      </c>
      <c r="F1102" t="s">
        <v>23</v>
      </c>
      <c r="G1102">
        <v>50337.66</v>
      </c>
      <c r="H1102">
        <v>29809.89</v>
      </c>
      <c r="I1102">
        <v>20527.77</v>
      </c>
      <c r="J1102">
        <v>25976.69</v>
      </c>
      <c r="K1102">
        <v>71477.56</v>
      </c>
      <c r="L1102">
        <v>61188.14</v>
      </c>
      <c r="M1102">
        <v>612</v>
      </c>
      <c r="N1102">
        <v>2.7300000000000001E-2</v>
      </c>
      <c r="O1102">
        <v>0.4078</v>
      </c>
      <c r="P1102">
        <v>1.1681999999999999</v>
      </c>
      <c r="Q1102" t="s">
        <v>76</v>
      </c>
      <c r="R1102">
        <v>2022</v>
      </c>
      <c r="S1102" t="s">
        <v>82</v>
      </c>
    </row>
    <row r="1103" spans="1:19" x14ac:dyDescent="0.3">
      <c r="A1103" t="s">
        <v>1179</v>
      </c>
      <c r="B1103" s="1">
        <v>45435</v>
      </c>
      <c r="C1103" t="s">
        <v>30</v>
      </c>
      <c r="D1103" t="s">
        <v>31</v>
      </c>
      <c r="E1103" t="s">
        <v>38</v>
      </c>
      <c r="F1103" t="s">
        <v>23</v>
      </c>
      <c r="G1103">
        <v>77633.31</v>
      </c>
      <c r="H1103">
        <v>47730.1</v>
      </c>
      <c r="I1103">
        <v>29903.21</v>
      </c>
      <c r="J1103">
        <v>39114.65</v>
      </c>
      <c r="K1103">
        <v>151006.73000000001</v>
      </c>
      <c r="L1103">
        <v>84117.41</v>
      </c>
      <c r="M1103">
        <v>758</v>
      </c>
      <c r="N1103">
        <v>-3.2099999999999997E-2</v>
      </c>
      <c r="O1103">
        <v>0.38519999999999999</v>
      </c>
      <c r="P1103">
        <v>1.7951999999999999</v>
      </c>
      <c r="Q1103" t="s">
        <v>111</v>
      </c>
      <c r="R1103">
        <v>2024</v>
      </c>
      <c r="S1103" t="s">
        <v>82</v>
      </c>
    </row>
    <row r="1104" spans="1:19" x14ac:dyDescent="0.3">
      <c r="A1104" t="s">
        <v>1180</v>
      </c>
      <c r="B1104" s="1">
        <v>45720</v>
      </c>
      <c r="C1104" t="s">
        <v>48</v>
      </c>
      <c r="D1104" t="s">
        <v>49</v>
      </c>
      <c r="E1104" t="s">
        <v>32</v>
      </c>
      <c r="F1104" t="s">
        <v>33</v>
      </c>
      <c r="G1104">
        <v>95156.01</v>
      </c>
      <c r="H1104">
        <v>73324.47</v>
      </c>
      <c r="I1104">
        <v>21831.54</v>
      </c>
      <c r="J1104">
        <v>18180.66</v>
      </c>
      <c r="K1104">
        <v>23223.86</v>
      </c>
      <c r="L1104">
        <v>53154.1</v>
      </c>
      <c r="M1104">
        <v>759</v>
      </c>
      <c r="N1104">
        <v>-6.8500000000000005E-2</v>
      </c>
      <c r="O1104">
        <v>0.22939999999999999</v>
      </c>
      <c r="P1104">
        <v>0.43690000000000001</v>
      </c>
      <c r="Q1104" t="s">
        <v>106</v>
      </c>
      <c r="R1104">
        <v>2025</v>
      </c>
      <c r="S1104" t="s">
        <v>40</v>
      </c>
    </row>
    <row r="1105" spans="1:19" x14ac:dyDescent="0.3">
      <c r="A1105" t="s">
        <v>1181</v>
      </c>
      <c r="B1105" s="1">
        <v>45855</v>
      </c>
      <c r="C1105" t="s">
        <v>48</v>
      </c>
      <c r="D1105" t="s">
        <v>49</v>
      </c>
      <c r="E1105" t="s">
        <v>51</v>
      </c>
      <c r="F1105" t="s">
        <v>23</v>
      </c>
      <c r="G1105">
        <v>46623.14</v>
      </c>
      <c r="H1105">
        <v>36235.11</v>
      </c>
      <c r="I1105">
        <v>10388.030000000001</v>
      </c>
      <c r="J1105">
        <v>14265.09</v>
      </c>
      <c r="K1105">
        <v>37277.75</v>
      </c>
      <c r="L1105">
        <v>106837.8</v>
      </c>
      <c r="M1105">
        <v>355</v>
      </c>
      <c r="N1105">
        <v>6.9900000000000004E-2</v>
      </c>
      <c r="O1105">
        <v>0.2228</v>
      </c>
      <c r="P1105">
        <v>0.34889999999999999</v>
      </c>
      <c r="Q1105" t="s">
        <v>24</v>
      </c>
      <c r="R1105">
        <v>2025</v>
      </c>
      <c r="S1105" t="s">
        <v>40</v>
      </c>
    </row>
    <row r="1106" spans="1:19" x14ac:dyDescent="0.3">
      <c r="A1106" t="s">
        <v>1182</v>
      </c>
      <c r="B1106" s="1">
        <v>45904</v>
      </c>
      <c r="C1106" t="s">
        <v>85</v>
      </c>
      <c r="D1106" t="s">
        <v>86</v>
      </c>
      <c r="E1106" t="s">
        <v>38</v>
      </c>
      <c r="F1106" t="s">
        <v>23</v>
      </c>
      <c r="G1106">
        <v>165053.53</v>
      </c>
      <c r="H1106">
        <v>93099.96</v>
      </c>
      <c r="I1106">
        <v>71953.570000000007</v>
      </c>
      <c r="J1106">
        <v>72803.47</v>
      </c>
      <c r="K1106">
        <v>20252.66</v>
      </c>
      <c r="L1106">
        <v>451907.03</v>
      </c>
      <c r="M1106">
        <v>780</v>
      </c>
      <c r="N1106">
        <v>-3.1300000000000001E-2</v>
      </c>
      <c r="O1106">
        <v>0.43590000000000001</v>
      </c>
      <c r="P1106">
        <v>4.48E-2</v>
      </c>
      <c r="Q1106" t="s">
        <v>24</v>
      </c>
      <c r="R1106">
        <v>2025</v>
      </c>
      <c r="S1106" t="s">
        <v>25</v>
      </c>
    </row>
    <row r="1107" spans="1:19" x14ac:dyDescent="0.3">
      <c r="A1107" t="s">
        <v>1183</v>
      </c>
      <c r="B1107" s="1">
        <v>45387</v>
      </c>
      <c r="C1107" t="s">
        <v>85</v>
      </c>
      <c r="D1107" t="s">
        <v>86</v>
      </c>
      <c r="E1107" t="s">
        <v>32</v>
      </c>
      <c r="F1107" t="s">
        <v>33</v>
      </c>
      <c r="G1107">
        <v>166934.42000000001</v>
      </c>
      <c r="H1107">
        <v>148874.79999999999</v>
      </c>
      <c r="I1107">
        <v>18059.62</v>
      </c>
      <c r="J1107">
        <v>27659.91</v>
      </c>
      <c r="K1107">
        <v>64720.18</v>
      </c>
      <c r="L1107">
        <v>113220.02</v>
      </c>
      <c r="M1107">
        <v>685</v>
      </c>
      <c r="N1107">
        <v>-4.7300000000000002E-2</v>
      </c>
      <c r="O1107">
        <v>0.1082</v>
      </c>
      <c r="P1107">
        <v>0.5716</v>
      </c>
      <c r="Q1107" t="s">
        <v>111</v>
      </c>
      <c r="R1107">
        <v>2024</v>
      </c>
      <c r="S1107" t="s">
        <v>40</v>
      </c>
    </row>
    <row r="1108" spans="1:19" x14ac:dyDescent="0.3">
      <c r="A1108" t="s">
        <v>1184</v>
      </c>
      <c r="B1108" s="1">
        <v>45077</v>
      </c>
      <c r="C1108" t="s">
        <v>85</v>
      </c>
      <c r="D1108" t="s">
        <v>86</v>
      </c>
      <c r="E1108" t="s">
        <v>32</v>
      </c>
      <c r="F1108" t="s">
        <v>33</v>
      </c>
      <c r="G1108">
        <v>177635.27</v>
      </c>
      <c r="H1108">
        <v>108321.62</v>
      </c>
      <c r="I1108">
        <v>69313.649999999994</v>
      </c>
      <c r="J1108">
        <v>28075.95</v>
      </c>
      <c r="K1108">
        <v>60615.98</v>
      </c>
      <c r="L1108">
        <v>52938.720000000001</v>
      </c>
      <c r="M1108">
        <v>1425</v>
      </c>
      <c r="N1108">
        <v>-3.8600000000000002E-2</v>
      </c>
      <c r="O1108">
        <v>0.39019999999999999</v>
      </c>
      <c r="P1108">
        <v>1.145</v>
      </c>
      <c r="Q1108" t="s">
        <v>39</v>
      </c>
      <c r="R1108">
        <v>2023</v>
      </c>
      <c r="S1108" t="s">
        <v>82</v>
      </c>
    </row>
    <row r="1109" spans="1:19" x14ac:dyDescent="0.3">
      <c r="A1109" t="s">
        <v>1185</v>
      </c>
      <c r="B1109" s="1">
        <v>45666</v>
      </c>
      <c r="C1109" t="s">
        <v>27</v>
      </c>
      <c r="D1109" t="s">
        <v>28</v>
      </c>
      <c r="E1109" t="s">
        <v>22</v>
      </c>
      <c r="F1109" t="s">
        <v>23</v>
      </c>
      <c r="G1109">
        <v>22319.73</v>
      </c>
      <c r="H1109">
        <v>14196.69</v>
      </c>
      <c r="I1109">
        <v>8123.04</v>
      </c>
      <c r="J1109">
        <v>66276.44</v>
      </c>
      <c r="K1109">
        <v>31193.66</v>
      </c>
      <c r="L1109">
        <v>428924.37</v>
      </c>
      <c r="M1109">
        <v>608</v>
      </c>
      <c r="N1109">
        <v>0.16300000000000001</v>
      </c>
      <c r="O1109">
        <v>0.3639</v>
      </c>
      <c r="P1109">
        <v>7.2700000000000001E-2</v>
      </c>
      <c r="Q1109" t="s">
        <v>106</v>
      </c>
      <c r="R1109">
        <v>2025</v>
      </c>
      <c r="S1109" t="s">
        <v>25</v>
      </c>
    </row>
    <row r="1110" spans="1:19" x14ac:dyDescent="0.3">
      <c r="A1110" t="s">
        <v>1186</v>
      </c>
      <c r="B1110" s="1">
        <v>45074</v>
      </c>
      <c r="C1110" t="s">
        <v>68</v>
      </c>
      <c r="D1110" t="s">
        <v>69</v>
      </c>
      <c r="E1110" t="s">
        <v>38</v>
      </c>
      <c r="F1110" t="s">
        <v>23</v>
      </c>
      <c r="H1110">
        <v>12540.18</v>
      </c>
      <c r="J1110">
        <v>49257.09</v>
      </c>
      <c r="K1110">
        <v>12726.4</v>
      </c>
      <c r="L1110">
        <v>105732.57</v>
      </c>
      <c r="M1110">
        <v>541</v>
      </c>
      <c r="N1110">
        <v>-0.1045</v>
      </c>
      <c r="P1110">
        <v>0.12039999999999999</v>
      </c>
      <c r="Q1110" t="s">
        <v>39</v>
      </c>
      <c r="R1110">
        <v>2023</v>
      </c>
      <c r="S1110" t="s">
        <v>25</v>
      </c>
    </row>
    <row r="1111" spans="1:19" x14ac:dyDescent="0.3">
      <c r="A1111" t="s">
        <v>1187</v>
      </c>
      <c r="B1111" s="1">
        <v>45282</v>
      </c>
      <c r="C1111" t="s">
        <v>102</v>
      </c>
      <c r="D1111" t="s">
        <v>103</v>
      </c>
      <c r="E1111" t="s">
        <v>32</v>
      </c>
      <c r="F1111" t="s">
        <v>33</v>
      </c>
      <c r="G1111">
        <v>56323.22</v>
      </c>
      <c r="H1111">
        <v>35762.269999999997</v>
      </c>
      <c r="I1111">
        <v>20560.95</v>
      </c>
      <c r="J1111">
        <v>64976.74</v>
      </c>
      <c r="K1111">
        <v>17635.650000000001</v>
      </c>
      <c r="L1111">
        <v>94020.24</v>
      </c>
      <c r="M1111">
        <v>1849</v>
      </c>
      <c r="N1111">
        <v>0.1163</v>
      </c>
      <c r="O1111">
        <v>0.36509999999999998</v>
      </c>
      <c r="P1111">
        <v>0.18759999999999999</v>
      </c>
      <c r="Q1111" t="s">
        <v>44</v>
      </c>
      <c r="R1111">
        <v>2023</v>
      </c>
      <c r="S1111" t="s">
        <v>25</v>
      </c>
    </row>
    <row r="1112" spans="1:19" x14ac:dyDescent="0.3">
      <c r="A1112" t="s">
        <v>1188</v>
      </c>
      <c r="B1112" s="1">
        <v>45877</v>
      </c>
      <c r="C1112" t="s">
        <v>48</v>
      </c>
      <c r="D1112" t="s">
        <v>49</v>
      </c>
      <c r="E1112" t="s">
        <v>22</v>
      </c>
      <c r="F1112" t="s">
        <v>23</v>
      </c>
      <c r="G1112">
        <v>151786.13</v>
      </c>
      <c r="H1112">
        <v>127071.03</v>
      </c>
      <c r="I1112">
        <v>24715.1</v>
      </c>
      <c r="J1112">
        <v>52780.44</v>
      </c>
      <c r="K1112">
        <v>83897.97</v>
      </c>
      <c r="L1112">
        <v>120675.1</v>
      </c>
      <c r="M1112">
        <v>425</v>
      </c>
      <c r="N1112">
        <v>7.4300000000000005E-2</v>
      </c>
      <c r="O1112">
        <v>0.1628</v>
      </c>
      <c r="P1112">
        <v>0.69520000000000004</v>
      </c>
      <c r="Q1112" t="s">
        <v>24</v>
      </c>
      <c r="R1112">
        <v>2025</v>
      </c>
      <c r="S1112" t="s">
        <v>82</v>
      </c>
    </row>
    <row r="1113" spans="1:19" x14ac:dyDescent="0.3">
      <c r="A1113" t="s">
        <v>1189</v>
      </c>
      <c r="B1113" s="1">
        <v>44989</v>
      </c>
      <c r="C1113" t="s">
        <v>42</v>
      </c>
      <c r="D1113" t="s">
        <v>43</v>
      </c>
      <c r="E1113" t="s">
        <v>32</v>
      </c>
      <c r="F1113" t="s">
        <v>33</v>
      </c>
      <c r="G1113">
        <v>57170.19</v>
      </c>
      <c r="H1113">
        <v>47106.39</v>
      </c>
      <c r="I1113">
        <v>10063.799999999999</v>
      </c>
      <c r="J1113">
        <v>11140.34</v>
      </c>
      <c r="K1113">
        <v>14860.68</v>
      </c>
      <c r="L1113">
        <v>67021.399999999994</v>
      </c>
      <c r="M1113">
        <v>1107</v>
      </c>
      <c r="N1113">
        <v>-2.98E-2</v>
      </c>
      <c r="O1113">
        <v>0.17599999999999999</v>
      </c>
      <c r="P1113">
        <v>0.22170000000000001</v>
      </c>
      <c r="Q1113" t="s">
        <v>118</v>
      </c>
      <c r="R1113">
        <v>2023</v>
      </c>
      <c r="S1113" t="s">
        <v>25</v>
      </c>
    </row>
    <row r="1114" spans="1:19" x14ac:dyDescent="0.3">
      <c r="A1114" t="s">
        <v>1190</v>
      </c>
      <c r="B1114" s="1">
        <v>45978</v>
      </c>
      <c r="C1114" t="s">
        <v>48</v>
      </c>
      <c r="D1114" t="s">
        <v>49</v>
      </c>
      <c r="E1114" t="s">
        <v>38</v>
      </c>
      <c r="F1114" t="s">
        <v>23</v>
      </c>
      <c r="G1114">
        <v>82588</v>
      </c>
      <c r="H1114">
        <v>55498.6</v>
      </c>
      <c r="I1114">
        <v>27089.4</v>
      </c>
      <c r="J1114">
        <v>43126.69</v>
      </c>
      <c r="K1114">
        <v>86071.58</v>
      </c>
      <c r="L1114">
        <v>79638.03</v>
      </c>
      <c r="M1114">
        <v>1887</v>
      </c>
      <c r="N1114">
        <v>8.3199999999999996E-2</v>
      </c>
      <c r="O1114">
        <v>0.32800000000000001</v>
      </c>
      <c r="P1114">
        <v>1.0808</v>
      </c>
      <c r="Q1114" t="s">
        <v>66</v>
      </c>
      <c r="R1114">
        <v>2025</v>
      </c>
      <c r="S1114" t="s">
        <v>82</v>
      </c>
    </row>
    <row r="1115" spans="1:19" x14ac:dyDescent="0.3">
      <c r="A1115" t="s">
        <v>1191</v>
      </c>
      <c r="B1115" s="1">
        <v>45728</v>
      </c>
      <c r="C1115" t="s">
        <v>20</v>
      </c>
      <c r="D1115" t="s">
        <v>21</v>
      </c>
      <c r="E1115" t="s">
        <v>22</v>
      </c>
      <c r="F1115" t="s">
        <v>23</v>
      </c>
      <c r="G1115">
        <v>126320.14</v>
      </c>
      <c r="H1115">
        <v>115548.26</v>
      </c>
      <c r="I1115">
        <v>10771.88</v>
      </c>
      <c r="J1115">
        <v>82754.63</v>
      </c>
      <c r="K1115">
        <v>38843.54</v>
      </c>
      <c r="L1115">
        <v>104639.23</v>
      </c>
      <c r="M1115">
        <v>667</v>
      </c>
      <c r="N1115">
        <v>9.5899999999999999E-2</v>
      </c>
      <c r="O1115">
        <v>8.5300000000000001E-2</v>
      </c>
      <c r="P1115">
        <v>0.37119999999999997</v>
      </c>
      <c r="Q1115" t="s">
        <v>106</v>
      </c>
      <c r="R1115">
        <v>2025</v>
      </c>
      <c r="S1115" t="s">
        <v>40</v>
      </c>
    </row>
    <row r="1116" spans="1:19" x14ac:dyDescent="0.3">
      <c r="A1116" t="s">
        <v>1192</v>
      </c>
      <c r="B1116" s="1">
        <v>44763</v>
      </c>
      <c r="C1116" t="s">
        <v>30</v>
      </c>
      <c r="D1116" t="s">
        <v>31</v>
      </c>
      <c r="E1116" t="s">
        <v>22</v>
      </c>
      <c r="F1116" t="s">
        <v>23</v>
      </c>
      <c r="G1116">
        <v>81337.460000000006</v>
      </c>
      <c r="H1116">
        <v>58874.23</v>
      </c>
      <c r="I1116">
        <v>22463.23</v>
      </c>
      <c r="J1116">
        <v>32175.84</v>
      </c>
      <c r="K1116">
        <v>39647.68</v>
      </c>
      <c r="L1116">
        <v>79921.87</v>
      </c>
      <c r="N1116">
        <v>-7.1000000000000004E-3</v>
      </c>
      <c r="O1116">
        <v>0.2762</v>
      </c>
      <c r="P1116">
        <v>0.49609999999999999</v>
      </c>
      <c r="Q1116" t="s">
        <v>76</v>
      </c>
      <c r="R1116">
        <v>2022</v>
      </c>
      <c r="S1116" t="s">
        <v>40</v>
      </c>
    </row>
    <row r="1117" spans="1:19" x14ac:dyDescent="0.3">
      <c r="A1117" t="s">
        <v>1193</v>
      </c>
      <c r="B1117" s="1">
        <v>45014</v>
      </c>
      <c r="C1117" t="s">
        <v>30</v>
      </c>
      <c r="D1117" t="s">
        <v>227</v>
      </c>
      <c r="E1117" t="s">
        <v>51</v>
      </c>
      <c r="F1117" t="s">
        <v>23</v>
      </c>
      <c r="G1117">
        <v>79264.009999999995</v>
      </c>
      <c r="H1117">
        <v>53698.65</v>
      </c>
      <c r="I1117">
        <v>25565.360000000001</v>
      </c>
      <c r="J1117">
        <v>50537.599999999999</v>
      </c>
      <c r="K1117">
        <v>48908.82</v>
      </c>
      <c r="L1117">
        <v>121618.93</v>
      </c>
      <c r="M1117">
        <v>914</v>
      </c>
      <c r="N1117">
        <v>-0.1236</v>
      </c>
      <c r="O1117">
        <v>0.32250000000000001</v>
      </c>
      <c r="P1117">
        <v>0.40210000000000001</v>
      </c>
      <c r="Q1117" t="s">
        <v>118</v>
      </c>
      <c r="R1117">
        <v>2023</v>
      </c>
      <c r="S1117" t="s">
        <v>40</v>
      </c>
    </row>
    <row r="1118" spans="1:19" x14ac:dyDescent="0.3">
      <c r="A1118" t="s">
        <v>1194</v>
      </c>
      <c r="B1118" s="1">
        <v>45894</v>
      </c>
      <c r="C1118" t="s">
        <v>78</v>
      </c>
      <c r="D1118" t="s">
        <v>79</v>
      </c>
      <c r="E1118" t="s">
        <v>32</v>
      </c>
      <c r="F1118" t="s">
        <v>33</v>
      </c>
      <c r="G1118">
        <v>47179.47</v>
      </c>
      <c r="H1118">
        <v>26164.959999999999</v>
      </c>
      <c r="I1118">
        <v>21014.51</v>
      </c>
      <c r="J1118">
        <v>6960.89</v>
      </c>
      <c r="K1118">
        <v>13032.47</v>
      </c>
      <c r="L1118">
        <v>17602.689999999999</v>
      </c>
      <c r="M1118">
        <v>841</v>
      </c>
      <c r="N1118">
        <v>-1.0699999999999999E-2</v>
      </c>
      <c r="O1118">
        <v>0.44540000000000002</v>
      </c>
      <c r="P1118">
        <v>0.74039999999999995</v>
      </c>
      <c r="Q1118" t="s">
        <v>24</v>
      </c>
      <c r="R1118">
        <v>2025</v>
      </c>
      <c r="S1118" t="s">
        <v>82</v>
      </c>
    </row>
    <row r="1119" spans="1:19" x14ac:dyDescent="0.3">
      <c r="A1119" t="s">
        <v>1195</v>
      </c>
      <c r="B1119" s="1">
        <v>45928</v>
      </c>
      <c r="C1119" t="s">
        <v>30</v>
      </c>
      <c r="D1119" t="s">
        <v>31</v>
      </c>
      <c r="E1119" t="s">
        <v>38</v>
      </c>
      <c r="F1119" t="s">
        <v>23</v>
      </c>
      <c r="G1119">
        <v>131868.66</v>
      </c>
      <c r="H1119">
        <v>92474.36</v>
      </c>
      <c r="I1119">
        <v>39394.300000000003</v>
      </c>
      <c r="J1119">
        <v>47180.15</v>
      </c>
      <c r="K1119">
        <v>12300.85</v>
      </c>
      <c r="L1119">
        <v>143120.57999999999</v>
      </c>
      <c r="M1119">
        <v>877</v>
      </c>
      <c r="N1119">
        <v>2.1999999999999999E-2</v>
      </c>
      <c r="O1119">
        <v>0.29870000000000002</v>
      </c>
      <c r="P1119">
        <v>8.5900000000000004E-2</v>
      </c>
      <c r="Q1119" t="s">
        <v>24</v>
      </c>
      <c r="R1119">
        <v>2025</v>
      </c>
      <c r="S1119" t="s">
        <v>25</v>
      </c>
    </row>
    <row r="1120" spans="1:19" x14ac:dyDescent="0.3">
      <c r="A1120" t="s">
        <v>1196</v>
      </c>
      <c r="B1120" s="1">
        <v>44722</v>
      </c>
      <c r="C1120" t="s">
        <v>20</v>
      </c>
      <c r="D1120" t="s">
        <v>21</v>
      </c>
      <c r="E1120" t="s">
        <v>38</v>
      </c>
      <c r="F1120" t="s">
        <v>23</v>
      </c>
      <c r="G1120">
        <v>42478.3</v>
      </c>
      <c r="H1120">
        <v>23452.07</v>
      </c>
      <c r="I1120">
        <v>19026.23</v>
      </c>
      <c r="J1120">
        <v>41417.760000000002</v>
      </c>
      <c r="K1120">
        <v>24014.03</v>
      </c>
      <c r="L1120">
        <v>111587.43</v>
      </c>
      <c r="M1120">
        <v>1172</v>
      </c>
      <c r="N1120">
        <v>1.46E-2</v>
      </c>
      <c r="O1120">
        <v>0.44790000000000002</v>
      </c>
      <c r="P1120">
        <v>0.2152</v>
      </c>
      <c r="Q1120" t="s">
        <v>58</v>
      </c>
      <c r="R1120">
        <v>2022</v>
      </c>
      <c r="S1120" t="s">
        <v>25</v>
      </c>
    </row>
    <row r="1121" spans="1:19" x14ac:dyDescent="0.3">
      <c r="A1121" t="s">
        <v>1197</v>
      </c>
      <c r="B1121" s="1">
        <v>45873</v>
      </c>
      <c r="C1121" t="s">
        <v>42</v>
      </c>
      <c r="D1121" t="s">
        <v>43</v>
      </c>
      <c r="E1121" t="s">
        <v>32</v>
      </c>
      <c r="F1121" t="s">
        <v>33</v>
      </c>
      <c r="G1121">
        <v>67871.34</v>
      </c>
      <c r="H1121">
        <v>56999.22</v>
      </c>
      <c r="I1121">
        <v>10872.12</v>
      </c>
      <c r="J1121">
        <v>91722.92</v>
      </c>
      <c r="K1121">
        <v>7649.65</v>
      </c>
      <c r="L1121">
        <v>134995.91</v>
      </c>
      <c r="M1121">
        <v>698</v>
      </c>
      <c r="N1121">
        <v>-7.1999999999999998E-3</v>
      </c>
      <c r="O1121">
        <v>0.16020000000000001</v>
      </c>
      <c r="P1121">
        <v>5.67E-2</v>
      </c>
      <c r="Q1121" t="s">
        <v>24</v>
      </c>
      <c r="R1121">
        <v>2025</v>
      </c>
      <c r="S1121" t="s">
        <v>25</v>
      </c>
    </row>
    <row r="1122" spans="1:19" x14ac:dyDescent="0.3">
      <c r="A1122" t="s">
        <v>1198</v>
      </c>
      <c r="B1122" s="1">
        <v>45545</v>
      </c>
      <c r="C1122" t="s">
        <v>36</v>
      </c>
      <c r="D1122" t="s">
        <v>37</v>
      </c>
      <c r="E1122" t="s">
        <v>38</v>
      </c>
      <c r="F1122" t="s">
        <v>23</v>
      </c>
      <c r="G1122">
        <v>59079.02</v>
      </c>
      <c r="H1122">
        <v>49215.83</v>
      </c>
      <c r="I1122">
        <v>9863.19</v>
      </c>
      <c r="J1122">
        <v>80943.23</v>
      </c>
      <c r="K1122">
        <v>28905.57</v>
      </c>
      <c r="L1122">
        <v>174586.87</v>
      </c>
      <c r="M1122">
        <v>1380</v>
      </c>
      <c r="N1122">
        <v>0.121</v>
      </c>
      <c r="O1122">
        <v>0.16689999999999999</v>
      </c>
      <c r="P1122">
        <v>0.1656</v>
      </c>
      <c r="Q1122" t="s">
        <v>72</v>
      </c>
      <c r="R1122">
        <v>2024</v>
      </c>
      <c r="S1122" t="s">
        <v>25</v>
      </c>
    </row>
    <row r="1123" spans="1:19" x14ac:dyDescent="0.3">
      <c r="A1123" t="s">
        <v>1199</v>
      </c>
      <c r="B1123" s="1">
        <v>44682</v>
      </c>
      <c r="C1123" t="s">
        <v>20</v>
      </c>
      <c r="D1123" t="s">
        <v>21</v>
      </c>
      <c r="E1123" t="s">
        <v>22</v>
      </c>
      <c r="F1123" t="s">
        <v>23</v>
      </c>
      <c r="G1123">
        <v>5712.66</v>
      </c>
      <c r="H1123">
        <v>4106.0200000000004</v>
      </c>
      <c r="I1123">
        <v>1606.64</v>
      </c>
      <c r="J1123">
        <v>40080.76</v>
      </c>
      <c r="K1123">
        <v>45397.81</v>
      </c>
      <c r="L1123">
        <v>74121.759999999995</v>
      </c>
      <c r="M1123">
        <v>1158</v>
      </c>
      <c r="N1123">
        <v>5.4999999999999997E-3</v>
      </c>
      <c r="O1123">
        <v>0.28120000000000001</v>
      </c>
      <c r="P1123">
        <v>0.61250000000000004</v>
      </c>
      <c r="Q1123" t="s">
        <v>58</v>
      </c>
      <c r="R1123">
        <v>2022</v>
      </c>
      <c r="S1123" t="s">
        <v>82</v>
      </c>
    </row>
    <row r="1124" spans="1:19" x14ac:dyDescent="0.3">
      <c r="A1124" t="s">
        <v>1200</v>
      </c>
      <c r="B1124" s="1">
        <v>45124</v>
      </c>
      <c r="C1124" t="s">
        <v>102</v>
      </c>
      <c r="D1124" t="s">
        <v>103</v>
      </c>
      <c r="E1124" t="s">
        <v>32</v>
      </c>
      <c r="F1124" t="s">
        <v>33</v>
      </c>
      <c r="G1124">
        <v>81825.77</v>
      </c>
      <c r="H1124">
        <v>71382.429999999993</v>
      </c>
      <c r="I1124">
        <v>10443.34</v>
      </c>
      <c r="J1124">
        <v>45533.919999999998</v>
      </c>
      <c r="K1124">
        <v>18654.79</v>
      </c>
      <c r="L1124">
        <v>179267.77</v>
      </c>
      <c r="M1124">
        <v>544</v>
      </c>
      <c r="N1124">
        <v>3.4200000000000001E-2</v>
      </c>
      <c r="O1124">
        <v>0.12759999999999999</v>
      </c>
      <c r="P1124">
        <v>0.1041</v>
      </c>
      <c r="Q1124" t="s">
        <v>56</v>
      </c>
      <c r="R1124">
        <v>2023</v>
      </c>
      <c r="S1124" t="s">
        <v>25</v>
      </c>
    </row>
    <row r="1125" spans="1:19" x14ac:dyDescent="0.3">
      <c r="A1125" t="s">
        <v>1201</v>
      </c>
      <c r="B1125" s="1">
        <v>44770</v>
      </c>
      <c r="C1125" t="s">
        <v>68</v>
      </c>
      <c r="D1125" t="s">
        <v>69</v>
      </c>
      <c r="E1125" t="s">
        <v>32</v>
      </c>
      <c r="F1125" t="s">
        <v>33</v>
      </c>
      <c r="G1125">
        <v>14660.47</v>
      </c>
      <c r="H1125">
        <v>9521.32</v>
      </c>
      <c r="I1125">
        <v>5139.1499999999996</v>
      </c>
      <c r="J1125">
        <v>56784.98</v>
      </c>
      <c r="K1125">
        <v>51955.66</v>
      </c>
      <c r="L1125">
        <v>133779.38</v>
      </c>
      <c r="M1125">
        <v>973</v>
      </c>
      <c r="N1125">
        <v>-6.1699999999999998E-2</v>
      </c>
      <c r="O1125">
        <v>0.35049999999999998</v>
      </c>
      <c r="P1125">
        <v>0.38840000000000002</v>
      </c>
      <c r="Q1125" t="s">
        <v>76</v>
      </c>
      <c r="R1125">
        <v>2022</v>
      </c>
      <c r="S1125" t="s">
        <v>40</v>
      </c>
    </row>
    <row r="1126" spans="1:19" x14ac:dyDescent="0.3">
      <c r="A1126" t="s">
        <v>1202</v>
      </c>
      <c r="B1126" s="1">
        <v>45262</v>
      </c>
      <c r="C1126" t="s">
        <v>48</v>
      </c>
      <c r="D1126" t="s">
        <v>49</v>
      </c>
      <c r="E1126" t="s">
        <v>22</v>
      </c>
      <c r="F1126" t="s">
        <v>23</v>
      </c>
      <c r="G1126">
        <v>70722.5</v>
      </c>
      <c r="H1126">
        <v>42834.21</v>
      </c>
      <c r="I1126">
        <v>27888.29</v>
      </c>
      <c r="J1126">
        <v>42734.07</v>
      </c>
      <c r="K1126">
        <v>130498.74</v>
      </c>
      <c r="L1126">
        <v>87922.01</v>
      </c>
      <c r="M1126">
        <v>836</v>
      </c>
      <c r="N1126">
        <v>0.1043</v>
      </c>
      <c r="O1126">
        <v>0.39429999999999998</v>
      </c>
      <c r="P1126">
        <v>1.4843</v>
      </c>
      <c r="Q1126" t="s">
        <v>44</v>
      </c>
      <c r="R1126">
        <v>2023</v>
      </c>
      <c r="S1126" t="s">
        <v>82</v>
      </c>
    </row>
    <row r="1127" spans="1:19" x14ac:dyDescent="0.3">
      <c r="A1127" t="s">
        <v>1203</v>
      </c>
      <c r="B1127" s="1">
        <v>45199</v>
      </c>
      <c r="C1127" t="s">
        <v>48</v>
      </c>
      <c r="D1127" t="s">
        <v>49</v>
      </c>
      <c r="E1127" t="s">
        <v>65</v>
      </c>
      <c r="F1127" t="s">
        <v>33</v>
      </c>
      <c r="G1127">
        <v>26035.81</v>
      </c>
      <c r="H1127">
        <v>23518.38</v>
      </c>
      <c r="I1127">
        <v>2517.4299999999998</v>
      </c>
      <c r="J1127">
        <v>43452.87</v>
      </c>
      <c r="K1127">
        <v>5127.08</v>
      </c>
      <c r="L1127">
        <v>94796.73</v>
      </c>
      <c r="M1127">
        <v>696</v>
      </c>
      <c r="N1127">
        <v>-4.2599999999999999E-2</v>
      </c>
      <c r="O1127">
        <v>9.6699999999999994E-2</v>
      </c>
      <c r="P1127">
        <v>5.4100000000000002E-2</v>
      </c>
      <c r="Q1127" t="s">
        <v>56</v>
      </c>
      <c r="R1127">
        <v>2023</v>
      </c>
      <c r="S1127" t="s">
        <v>25</v>
      </c>
    </row>
    <row r="1128" spans="1:19" x14ac:dyDescent="0.3">
      <c r="A1128" t="s">
        <v>1204</v>
      </c>
      <c r="B1128" s="1">
        <v>44949</v>
      </c>
      <c r="C1128" t="s">
        <v>68</v>
      </c>
      <c r="D1128" t="s">
        <v>69</v>
      </c>
      <c r="E1128" t="s">
        <v>38</v>
      </c>
      <c r="F1128" t="s">
        <v>23</v>
      </c>
      <c r="G1128">
        <v>804740.76</v>
      </c>
      <c r="H1128">
        <v>39889.74</v>
      </c>
      <c r="I1128">
        <v>764851.02</v>
      </c>
      <c r="J1128">
        <v>37943.01</v>
      </c>
      <c r="K1128">
        <v>215829.76000000001</v>
      </c>
      <c r="L1128">
        <v>88702.98</v>
      </c>
      <c r="M1128">
        <v>1247</v>
      </c>
      <c r="N1128">
        <v>-1.78E-2</v>
      </c>
      <c r="O1128">
        <v>0.95040000000000002</v>
      </c>
      <c r="P1128">
        <v>2.4331999999999998</v>
      </c>
      <c r="Q1128" t="s">
        <v>118</v>
      </c>
      <c r="R1128">
        <v>2023</v>
      </c>
      <c r="S1128" t="s">
        <v>82</v>
      </c>
    </row>
    <row r="1129" spans="1:19" x14ac:dyDescent="0.3">
      <c r="A1129" t="s">
        <v>1205</v>
      </c>
      <c r="B1129" s="1">
        <v>45774</v>
      </c>
      <c r="C1129" t="s">
        <v>85</v>
      </c>
      <c r="D1129" t="s">
        <v>86</v>
      </c>
      <c r="E1129" t="s">
        <v>38</v>
      </c>
      <c r="F1129" t="s">
        <v>23</v>
      </c>
      <c r="G1129">
        <v>88295.09</v>
      </c>
      <c r="H1129">
        <v>60267.65</v>
      </c>
      <c r="I1129">
        <v>28027.439999999999</v>
      </c>
      <c r="J1129">
        <v>88336.31</v>
      </c>
      <c r="K1129">
        <v>32226.13</v>
      </c>
      <c r="L1129">
        <v>132476.35</v>
      </c>
      <c r="M1129">
        <v>1545</v>
      </c>
      <c r="N1129">
        <v>5.62E-2</v>
      </c>
      <c r="O1129">
        <v>0.31740000000000002</v>
      </c>
      <c r="P1129">
        <v>0.24329999999999999</v>
      </c>
      <c r="Q1129" t="s">
        <v>34</v>
      </c>
      <c r="R1129">
        <v>2025</v>
      </c>
      <c r="S1129" t="s">
        <v>25</v>
      </c>
    </row>
    <row r="1130" spans="1:19" x14ac:dyDescent="0.3">
      <c r="A1130" t="s">
        <v>1206</v>
      </c>
      <c r="B1130" s="1">
        <v>45447</v>
      </c>
      <c r="C1130" t="s">
        <v>20</v>
      </c>
      <c r="D1130" t="s">
        <v>21</v>
      </c>
      <c r="E1130" t="s">
        <v>38</v>
      </c>
      <c r="F1130" t="s">
        <v>23</v>
      </c>
      <c r="G1130">
        <v>30858.59</v>
      </c>
      <c r="H1130">
        <v>25611.88</v>
      </c>
      <c r="I1130">
        <v>5246.71</v>
      </c>
      <c r="J1130">
        <v>14599.09</v>
      </c>
      <c r="K1130">
        <v>8429.49</v>
      </c>
      <c r="L1130">
        <v>64904.83</v>
      </c>
      <c r="M1130">
        <v>1076</v>
      </c>
      <c r="N1130">
        <v>-1.5100000000000001E-2</v>
      </c>
      <c r="O1130">
        <v>0.17</v>
      </c>
      <c r="P1130">
        <v>0.12989999999999999</v>
      </c>
      <c r="Q1130" t="s">
        <v>111</v>
      </c>
      <c r="R1130">
        <v>2024</v>
      </c>
      <c r="S1130" t="s">
        <v>25</v>
      </c>
    </row>
    <row r="1131" spans="1:19" x14ac:dyDescent="0.3">
      <c r="A1131" t="s">
        <v>1207</v>
      </c>
      <c r="B1131" s="1">
        <v>45522</v>
      </c>
      <c r="C1131" t="s">
        <v>78</v>
      </c>
      <c r="D1131" t="s">
        <v>79</v>
      </c>
      <c r="E1131" t="s">
        <v>22</v>
      </c>
      <c r="F1131" t="s">
        <v>23</v>
      </c>
      <c r="G1131">
        <v>51242.54</v>
      </c>
      <c r="H1131">
        <v>33342.04</v>
      </c>
      <c r="I1131">
        <v>17900.5</v>
      </c>
      <c r="J1131">
        <v>13684.93</v>
      </c>
      <c r="K1131">
        <v>19533.78</v>
      </c>
      <c r="L1131">
        <v>101073.02</v>
      </c>
      <c r="M1131">
        <v>931</v>
      </c>
      <c r="N1131">
        <v>-1.1000000000000001E-3</v>
      </c>
      <c r="O1131">
        <v>0.3493</v>
      </c>
      <c r="P1131">
        <v>0.1933</v>
      </c>
      <c r="Q1131" t="s">
        <v>72</v>
      </c>
      <c r="R1131">
        <v>2024</v>
      </c>
      <c r="S1131" t="s">
        <v>25</v>
      </c>
    </row>
    <row r="1132" spans="1:19" x14ac:dyDescent="0.3">
      <c r="A1132" t="s">
        <v>1208</v>
      </c>
      <c r="B1132" s="1">
        <v>45300</v>
      </c>
      <c r="C1132" t="s">
        <v>102</v>
      </c>
      <c r="D1132" t="s">
        <v>103</v>
      </c>
      <c r="E1132" t="s">
        <v>32</v>
      </c>
      <c r="F1132" t="s">
        <v>33</v>
      </c>
      <c r="G1132">
        <v>87708.79</v>
      </c>
      <c r="H1132">
        <v>58735.78</v>
      </c>
      <c r="I1132">
        <v>28973.01</v>
      </c>
      <c r="J1132">
        <v>74153.06</v>
      </c>
      <c r="K1132">
        <v>123626.07</v>
      </c>
      <c r="L1132">
        <v>141404.79999999999</v>
      </c>
      <c r="M1132">
        <v>996</v>
      </c>
      <c r="N1132">
        <v>-4.8500000000000001E-2</v>
      </c>
      <c r="O1132">
        <v>0.33029999999999998</v>
      </c>
      <c r="P1132">
        <v>0.87429999999999997</v>
      </c>
      <c r="Q1132" t="s">
        <v>80</v>
      </c>
      <c r="R1132">
        <v>2024</v>
      </c>
      <c r="S1132" t="s">
        <v>82</v>
      </c>
    </row>
    <row r="1133" spans="1:19" x14ac:dyDescent="0.3">
      <c r="A1133" t="s">
        <v>1209</v>
      </c>
      <c r="B1133" s="1">
        <v>44901</v>
      </c>
      <c r="C1133" t="s">
        <v>42</v>
      </c>
      <c r="D1133" t="s">
        <v>43</v>
      </c>
      <c r="E1133" t="s">
        <v>51</v>
      </c>
      <c r="F1133" t="s">
        <v>23</v>
      </c>
      <c r="G1133">
        <v>152613.45000000001</v>
      </c>
      <c r="H1133">
        <v>112837.56</v>
      </c>
      <c r="I1133">
        <v>39775.89</v>
      </c>
      <c r="J1133">
        <v>44900.32</v>
      </c>
      <c r="K1133">
        <v>12366.57</v>
      </c>
      <c r="L1133">
        <v>183652.34</v>
      </c>
      <c r="M1133">
        <v>1452</v>
      </c>
      <c r="N1133">
        <v>-8.2799999999999999E-2</v>
      </c>
      <c r="O1133">
        <v>0.2606</v>
      </c>
      <c r="P1133">
        <v>6.7299999999999999E-2</v>
      </c>
      <c r="Q1133" t="s">
        <v>46</v>
      </c>
      <c r="R1133">
        <v>2022</v>
      </c>
      <c r="S1133" t="s">
        <v>25</v>
      </c>
    </row>
    <row r="1134" spans="1:19" x14ac:dyDescent="0.3">
      <c r="A1134" t="s">
        <v>1210</v>
      </c>
      <c r="B1134" s="1">
        <v>45512</v>
      </c>
      <c r="C1134" t="s">
        <v>68</v>
      </c>
      <c r="D1134" t="s">
        <v>69</v>
      </c>
      <c r="E1134" t="s">
        <v>32</v>
      </c>
      <c r="F1134" t="s">
        <v>33</v>
      </c>
      <c r="G1134">
        <v>65209.75</v>
      </c>
      <c r="H1134">
        <v>41909.65</v>
      </c>
      <c r="I1134">
        <v>23300.1</v>
      </c>
      <c r="J1134">
        <v>11284.41</v>
      </c>
      <c r="K1134">
        <v>23422.33</v>
      </c>
      <c r="L1134">
        <v>45360.47</v>
      </c>
      <c r="M1134">
        <v>475</v>
      </c>
      <c r="N1134">
        <v>-4.8000000000000001E-2</v>
      </c>
      <c r="O1134">
        <v>0.35730000000000001</v>
      </c>
      <c r="P1134">
        <v>0.51639999999999997</v>
      </c>
      <c r="Q1134" t="s">
        <v>72</v>
      </c>
      <c r="R1134">
        <v>2024</v>
      </c>
      <c r="S1134" t="s">
        <v>40</v>
      </c>
    </row>
    <row r="1135" spans="1:19" x14ac:dyDescent="0.3">
      <c r="A1135" t="s">
        <v>1211</v>
      </c>
      <c r="B1135" s="1">
        <v>45560</v>
      </c>
      <c r="C1135" t="s">
        <v>54</v>
      </c>
      <c r="D1135" t="s">
        <v>55</v>
      </c>
      <c r="E1135" t="s">
        <v>32</v>
      </c>
      <c r="F1135" t="s">
        <v>33</v>
      </c>
      <c r="G1135">
        <v>125353.43</v>
      </c>
      <c r="H1135">
        <v>84793.14</v>
      </c>
      <c r="I1135">
        <v>40560.29</v>
      </c>
      <c r="J1135">
        <v>40057.160000000003</v>
      </c>
      <c r="K1135">
        <v>57641.08</v>
      </c>
      <c r="L1135">
        <v>96221.1</v>
      </c>
      <c r="M1135">
        <v>1078</v>
      </c>
      <c r="N1135">
        <v>-6.7999999999999996E-3</v>
      </c>
      <c r="O1135">
        <v>0.3236</v>
      </c>
      <c r="P1135">
        <v>0.59899999999999998</v>
      </c>
      <c r="Q1135" t="s">
        <v>72</v>
      </c>
      <c r="R1135">
        <v>2024</v>
      </c>
      <c r="S1135" t="s">
        <v>40</v>
      </c>
    </row>
    <row r="1136" spans="1:19" x14ac:dyDescent="0.3">
      <c r="A1136" t="s">
        <v>1212</v>
      </c>
      <c r="B1136" s="1">
        <v>44911</v>
      </c>
      <c r="C1136" t="s">
        <v>36</v>
      </c>
      <c r="D1136" t="s">
        <v>37</v>
      </c>
      <c r="E1136" t="s">
        <v>38</v>
      </c>
      <c r="F1136" t="s">
        <v>23</v>
      </c>
      <c r="G1136">
        <v>35247.879999999997</v>
      </c>
      <c r="H1136">
        <v>23701.41</v>
      </c>
      <c r="I1136">
        <v>11546.47</v>
      </c>
      <c r="J1136">
        <v>19482.43</v>
      </c>
      <c r="K1136">
        <v>24381.56</v>
      </c>
      <c r="L1136">
        <v>96462.48</v>
      </c>
      <c r="M1136">
        <v>365</v>
      </c>
      <c r="N1136">
        <v>0.1116</v>
      </c>
      <c r="O1136">
        <v>0.3276</v>
      </c>
      <c r="P1136">
        <v>0.25280000000000002</v>
      </c>
      <c r="Q1136" t="s">
        <v>46</v>
      </c>
      <c r="R1136">
        <v>2022</v>
      </c>
      <c r="S1136" t="s">
        <v>25</v>
      </c>
    </row>
    <row r="1137" spans="1:19" x14ac:dyDescent="0.3">
      <c r="A1137" t="s">
        <v>1213</v>
      </c>
      <c r="B1137" s="1">
        <v>44806</v>
      </c>
      <c r="C1137" t="s">
        <v>42</v>
      </c>
      <c r="D1137" t="s">
        <v>43</v>
      </c>
      <c r="E1137" t="s">
        <v>32</v>
      </c>
      <c r="F1137" t="s">
        <v>33</v>
      </c>
      <c r="G1137">
        <v>157601.69</v>
      </c>
      <c r="H1137">
        <v>89566.53</v>
      </c>
      <c r="I1137">
        <v>68035.16</v>
      </c>
      <c r="J1137">
        <v>35873.4</v>
      </c>
      <c r="K1137">
        <v>34755.86</v>
      </c>
      <c r="L1137">
        <v>141193.28</v>
      </c>
      <c r="M1137">
        <v>1776</v>
      </c>
      <c r="N1137">
        <v>0.1154</v>
      </c>
      <c r="O1137">
        <v>0.43169999999999997</v>
      </c>
      <c r="P1137">
        <v>0.2462</v>
      </c>
      <c r="Q1137" t="s">
        <v>76</v>
      </c>
      <c r="R1137">
        <v>2022</v>
      </c>
      <c r="S1137" t="s">
        <v>25</v>
      </c>
    </row>
    <row r="1138" spans="1:19" x14ac:dyDescent="0.3">
      <c r="A1138" t="s">
        <v>1214</v>
      </c>
      <c r="B1138" s="1">
        <v>44854</v>
      </c>
      <c r="C1138" t="s">
        <v>85</v>
      </c>
      <c r="D1138" t="s">
        <v>86</v>
      </c>
      <c r="E1138" t="s">
        <v>38</v>
      </c>
      <c r="F1138" t="s">
        <v>23</v>
      </c>
      <c r="G1138">
        <v>48496.05</v>
      </c>
      <c r="H1138">
        <v>35106.660000000003</v>
      </c>
      <c r="I1138">
        <v>13389.39</v>
      </c>
      <c r="J1138">
        <v>65106.85</v>
      </c>
      <c r="K1138">
        <v>50254.91</v>
      </c>
      <c r="L1138">
        <v>74051.839999999997</v>
      </c>
      <c r="M1138">
        <v>1388</v>
      </c>
      <c r="N1138">
        <v>-9.6299999999999997E-2</v>
      </c>
      <c r="O1138">
        <v>0.27610000000000001</v>
      </c>
      <c r="P1138">
        <v>0.67859999999999998</v>
      </c>
      <c r="Q1138" t="s">
        <v>46</v>
      </c>
      <c r="R1138">
        <v>2022</v>
      </c>
      <c r="S1138" t="s">
        <v>82</v>
      </c>
    </row>
    <row r="1139" spans="1:19" x14ac:dyDescent="0.3">
      <c r="A1139" t="s">
        <v>1215</v>
      </c>
      <c r="B1139" s="1">
        <v>45084</v>
      </c>
      <c r="C1139" t="s">
        <v>27</v>
      </c>
      <c r="D1139" t="s">
        <v>28</v>
      </c>
      <c r="E1139" t="s">
        <v>22</v>
      </c>
      <c r="F1139" t="s">
        <v>23</v>
      </c>
      <c r="G1139">
        <v>140903.28</v>
      </c>
      <c r="H1139">
        <v>97438.23</v>
      </c>
      <c r="I1139">
        <v>43465.05</v>
      </c>
      <c r="J1139">
        <v>18602.59</v>
      </c>
      <c r="K1139">
        <v>107320.36</v>
      </c>
      <c r="L1139">
        <v>49326.73</v>
      </c>
      <c r="M1139">
        <v>1204</v>
      </c>
      <c r="N1139">
        <v>9.35E-2</v>
      </c>
      <c r="O1139">
        <v>0.3085</v>
      </c>
      <c r="P1139">
        <v>2.1757</v>
      </c>
      <c r="Q1139" t="s">
        <v>39</v>
      </c>
      <c r="R1139">
        <v>2023</v>
      </c>
      <c r="S1139" t="s">
        <v>82</v>
      </c>
    </row>
    <row r="1140" spans="1:19" x14ac:dyDescent="0.3">
      <c r="A1140" t="s">
        <v>1216</v>
      </c>
      <c r="B1140" s="1">
        <v>44930</v>
      </c>
      <c r="C1140" t="s">
        <v>61</v>
      </c>
      <c r="E1140" t="s">
        <v>38</v>
      </c>
      <c r="F1140" t="s">
        <v>23</v>
      </c>
      <c r="G1140">
        <v>37449.660000000003</v>
      </c>
      <c r="H1140">
        <v>34000.85</v>
      </c>
      <c r="I1140">
        <v>3448.81</v>
      </c>
      <c r="J1140">
        <v>38516.9</v>
      </c>
      <c r="K1140">
        <v>25663.96</v>
      </c>
      <c r="L1140">
        <v>100540.84</v>
      </c>
      <c r="M1140">
        <v>1001</v>
      </c>
      <c r="N1140">
        <v>-6.2600000000000003E-2</v>
      </c>
      <c r="O1140">
        <v>9.2100000000000001E-2</v>
      </c>
      <c r="P1140">
        <v>0.25530000000000003</v>
      </c>
      <c r="Q1140" t="s">
        <v>118</v>
      </c>
      <c r="R1140">
        <v>2023</v>
      </c>
      <c r="S1140" t="s">
        <v>25</v>
      </c>
    </row>
    <row r="1141" spans="1:19" x14ac:dyDescent="0.3">
      <c r="A1141" t="s">
        <v>1217</v>
      </c>
      <c r="B1141" s="1">
        <v>45740</v>
      </c>
      <c r="C1141" t="s">
        <v>78</v>
      </c>
      <c r="D1141" t="s">
        <v>79</v>
      </c>
      <c r="E1141" t="s">
        <v>32</v>
      </c>
      <c r="F1141" t="s">
        <v>33</v>
      </c>
      <c r="G1141">
        <v>41431.81</v>
      </c>
      <c r="H1141">
        <v>25245.54</v>
      </c>
      <c r="I1141">
        <v>16186.27</v>
      </c>
      <c r="J1141">
        <v>36634.92</v>
      </c>
      <c r="K1141">
        <v>22709.42</v>
      </c>
      <c r="L1141">
        <v>71011.13</v>
      </c>
      <c r="M1141">
        <v>981</v>
      </c>
      <c r="N1141">
        <v>-3.7100000000000001E-2</v>
      </c>
      <c r="O1141">
        <v>0.39069999999999999</v>
      </c>
      <c r="P1141">
        <v>0.31979999999999997</v>
      </c>
      <c r="Q1141" t="s">
        <v>106</v>
      </c>
      <c r="R1141">
        <v>2025</v>
      </c>
      <c r="S1141" t="s">
        <v>40</v>
      </c>
    </row>
    <row r="1142" spans="1:19" x14ac:dyDescent="0.3">
      <c r="A1142" t="s">
        <v>1218</v>
      </c>
      <c r="B1142" s="1">
        <v>45854</v>
      </c>
      <c r="C1142" t="s">
        <v>102</v>
      </c>
      <c r="D1142" t="s">
        <v>103</v>
      </c>
      <c r="E1142" t="s">
        <v>32</v>
      </c>
      <c r="F1142" t="s">
        <v>33</v>
      </c>
      <c r="G1142">
        <v>110019.68</v>
      </c>
      <c r="H1142">
        <v>86510.53</v>
      </c>
      <c r="I1142">
        <v>23509.15</v>
      </c>
      <c r="J1142">
        <v>42193.15</v>
      </c>
      <c r="K1142">
        <v>9795.02</v>
      </c>
      <c r="L1142">
        <v>56473.37</v>
      </c>
      <c r="M1142">
        <v>695</v>
      </c>
      <c r="N1142">
        <v>0.14510000000000001</v>
      </c>
      <c r="O1142">
        <v>0.2137</v>
      </c>
      <c r="P1142">
        <v>0.1734</v>
      </c>
      <c r="Q1142" t="s">
        <v>24</v>
      </c>
      <c r="R1142">
        <v>2025</v>
      </c>
      <c r="S1142" t="s">
        <v>25</v>
      </c>
    </row>
    <row r="1143" spans="1:19" x14ac:dyDescent="0.3">
      <c r="A1143" t="s">
        <v>1219</v>
      </c>
      <c r="B1143" s="1">
        <v>44594</v>
      </c>
      <c r="C1143" t="s">
        <v>20</v>
      </c>
      <c r="D1143" t="s">
        <v>21</v>
      </c>
      <c r="E1143" t="s">
        <v>22</v>
      </c>
      <c r="F1143" t="s">
        <v>23</v>
      </c>
      <c r="G1143">
        <v>64509.13</v>
      </c>
      <c r="H1143">
        <v>46716.31</v>
      </c>
      <c r="I1143">
        <v>17792.82</v>
      </c>
      <c r="J1143">
        <v>9438.19</v>
      </c>
      <c r="K1143">
        <v>68880.350000000006</v>
      </c>
      <c r="L1143">
        <v>53499.839999999997</v>
      </c>
      <c r="M1143">
        <v>2412</v>
      </c>
      <c r="N1143">
        <v>-6.7599999999999993E-2</v>
      </c>
      <c r="O1143">
        <v>0.27579999999999999</v>
      </c>
      <c r="P1143">
        <v>1.2875000000000001</v>
      </c>
      <c r="Q1143" t="s">
        <v>90</v>
      </c>
      <c r="R1143">
        <v>2022</v>
      </c>
      <c r="S1143" t="s">
        <v>82</v>
      </c>
    </row>
    <row r="1144" spans="1:19" x14ac:dyDescent="0.3">
      <c r="A1144" t="s">
        <v>1220</v>
      </c>
      <c r="B1144" t="s">
        <v>1221</v>
      </c>
      <c r="C1144" t="s">
        <v>48</v>
      </c>
      <c r="D1144" t="s">
        <v>49</v>
      </c>
      <c r="E1144" t="s">
        <v>51</v>
      </c>
      <c r="F1144" t="s">
        <v>23</v>
      </c>
      <c r="G1144">
        <v>59455.7</v>
      </c>
      <c r="H1144">
        <v>33470.199999999997</v>
      </c>
      <c r="I1144">
        <v>25985.5</v>
      </c>
      <c r="J1144">
        <v>47975.3</v>
      </c>
      <c r="K1144">
        <v>13202.01</v>
      </c>
      <c r="L1144">
        <v>77102.14</v>
      </c>
      <c r="M1144">
        <v>1006</v>
      </c>
      <c r="N1144">
        <v>6.2300000000000001E-2</v>
      </c>
      <c r="O1144">
        <v>0.43709999999999999</v>
      </c>
      <c r="P1144">
        <v>0.17119999999999999</v>
      </c>
      <c r="Q1144" t="s">
        <v>80</v>
      </c>
      <c r="R1144">
        <v>2024</v>
      </c>
      <c r="S1144" t="s">
        <v>25</v>
      </c>
    </row>
    <row r="1145" spans="1:19" x14ac:dyDescent="0.3">
      <c r="A1145" t="s">
        <v>1222</v>
      </c>
      <c r="B1145" s="1">
        <v>44582</v>
      </c>
      <c r="C1145" t="s">
        <v>85</v>
      </c>
      <c r="D1145" t="s">
        <v>86</v>
      </c>
      <c r="E1145" t="s">
        <v>22</v>
      </c>
      <c r="F1145" t="s">
        <v>23</v>
      </c>
      <c r="G1145">
        <v>94345.87</v>
      </c>
      <c r="H1145">
        <v>77562.039999999994</v>
      </c>
      <c r="I1145">
        <v>16783.830000000002</v>
      </c>
      <c r="J1145">
        <v>15927.17</v>
      </c>
      <c r="K1145">
        <v>16220.4</v>
      </c>
      <c r="L1145">
        <v>44384.76</v>
      </c>
      <c r="M1145">
        <v>657</v>
      </c>
      <c r="N1145">
        <v>-8.5500000000000007E-2</v>
      </c>
      <c r="O1145">
        <v>0.1779</v>
      </c>
      <c r="P1145">
        <v>0.3654</v>
      </c>
      <c r="Q1145" t="s">
        <v>90</v>
      </c>
      <c r="R1145">
        <v>2022</v>
      </c>
      <c r="S1145" t="s">
        <v>40</v>
      </c>
    </row>
    <row r="1146" spans="1:19" x14ac:dyDescent="0.3">
      <c r="A1146" t="s">
        <v>1223</v>
      </c>
      <c r="B1146" s="1">
        <v>45366</v>
      </c>
      <c r="C1146" t="s">
        <v>48</v>
      </c>
      <c r="D1146" t="s">
        <v>49</v>
      </c>
      <c r="E1146" t="s">
        <v>32</v>
      </c>
      <c r="F1146" t="s">
        <v>33</v>
      </c>
      <c r="G1146">
        <v>69816.73</v>
      </c>
      <c r="H1146">
        <v>39144.67</v>
      </c>
      <c r="I1146">
        <v>30672.06</v>
      </c>
      <c r="J1146">
        <v>109517.18</v>
      </c>
      <c r="K1146">
        <v>28302.54</v>
      </c>
      <c r="L1146">
        <v>144189.85999999999</v>
      </c>
      <c r="M1146">
        <v>595</v>
      </c>
      <c r="N1146">
        <v>6.2600000000000003E-2</v>
      </c>
      <c r="O1146">
        <v>0.43930000000000002</v>
      </c>
      <c r="P1146">
        <v>0.1963</v>
      </c>
      <c r="Q1146" t="s">
        <v>80</v>
      </c>
      <c r="R1146">
        <v>2024</v>
      </c>
      <c r="S1146" t="s">
        <v>25</v>
      </c>
    </row>
    <row r="1147" spans="1:19" x14ac:dyDescent="0.3">
      <c r="A1147" t="s">
        <v>1224</v>
      </c>
      <c r="B1147" s="1">
        <v>45816</v>
      </c>
      <c r="C1147" t="s">
        <v>78</v>
      </c>
      <c r="D1147" t="s">
        <v>79</v>
      </c>
      <c r="E1147" t="s">
        <v>22</v>
      </c>
      <c r="F1147" t="s">
        <v>23</v>
      </c>
      <c r="G1147">
        <v>103762.38</v>
      </c>
      <c r="H1147">
        <v>94579.86</v>
      </c>
      <c r="I1147">
        <v>9182.52</v>
      </c>
      <c r="J1147">
        <v>108269.7</v>
      </c>
      <c r="K1147">
        <v>14875.28</v>
      </c>
      <c r="L1147">
        <v>149651.37</v>
      </c>
      <c r="M1147">
        <v>694</v>
      </c>
      <c r="N1147">
        <v>2.9000000000000001E-2</v>
      </c>
      <c r="O1147">
        <v>8.8499999999999995E-2</v>
      </c>
      <c r="P1147">
        <v>9.9400000000000002E-2</v>
      </c>
      <c r="Q1147" t="s">
        <v>34</v>
      </c>
      <c r="R1147">
        <v>2025</v>
      </c>
      <c r="S1147" t="s">
        <v>25</v>
      </c>
    </row>
    <row r="1148" spans="1:19" x14ac:dyDescent="0.3">
      <c r="A1148" t="s">
        <v>1225</v>
      </c>
      <c r="B1148" s="1">
        <v>45053</v>
      </c>
      <c r="C1148" t="s">
        <v>102</v>
      </c>
      <c r="D1148" t="s">
        <v>103</v>
      </c>
      <c r="E1148" t="s">
        <v>32</v>
      </c>
      <c r="F1148" t="s">
        <v>33</v>
      </c>
      <c r="G1148">
        <v>50548.47</v>
      </c>
      <c r="H1148">
        <v>36312.46</v>
      </c>
      <c r="I1148">
        <v>14236.01</v>
      </c>
      <c r="J1148">
        <v>18169.18</v>
      </c>
      <c r="K1148">
        <v>12274.05</v>
      </c>
      <c r="L1148">
        <v>51756.02</v>
      </c>
      <c r="M1148">
        <v>1711</v>
      </c>
      <c r="N1148">
        <v>2.4400000000000002E-2</v>
      </c>
      <c r="O1148">
        <v>0.28160000000000002</v>
      </c>
      <c r="P1148">
        <v>0.23719999999999999</v>
      </c>
      <c r="Q1148" t="s">
        <v>39</v>
      </c>
      <c r="R1148">
        <v>2023</v>
      </c>
      <c r="S1148" t="s">
        <v>25</v>
      </c>
    </row>
    <row r="1149" spans="1:19" x14ac:dyDescent="0.3">
      <c r="A1149" t="s">
        <v>1226</v>
      </c>
      <c r="B1149" s="1">
        <v>44728</v>
      </c>
      <c r="C1149" t="s">
        <v>30</v>
      </c>
      <c r="D1149" t="s">
        <v>31</v>
      </c>
      <c r="E1149" t="s">
        <v>22</v>
      </c>
      <c r="F1149" t="s">
        <v>23</v>
      </c>
      <c r="G1149">
        <v>158933.22</v>
      </c>
      <c r="H1149">
        <v>113631.59</v>
      </c>
      <c r="I1149">
        <v>45301.63</v>
      </c>
      <c r="J1149">
        <v>81696.91</v>
      </c>
      <c r="K1149">
        <v>59941.38</v>
      </c>
      <c r="L1149">
        <v>124185.13</v>
      </c>
      <c r="M1149">
        <v>633</v>
      </c>
      <c r="N1149">
        <v>9.4100000000000003E-2</v>
      </c>
      <c r="O1149">
        <v>0.28499999999999998</v>
      </c>
      <c r="P1149">
        <v>0.48270000000000002</v>
      </c>
      <c r="Q1149" t="s">
        <v>58</v>
      </c>
      <c r="R1149">
        <v>2022</v>
      </c>
      <c r="S1149" t="s">
        <v>40</v>
      </c>
    </row>
    <row r="1150" spans="1:19" x14ac:dyDescent="0.3">
      <c r="A1150" t="s">
        <v>1227</v>
      </c>
      <c r="B1150" s="1">
        <v>44689</v>
      </c>
      <c r="C1150" t="s">
        <v>48</v>
      </c>
      <c r="D1150" t="s">
        <v>49</v>
      </c>
      <c r="E1150" t="s">
        <v>38</v>
      </c>
      <c r="F1150" t="s">
        <v>23</v>
      </c>
      <c r="G1150">
        <v>19103.560000000001</v>
      </c>
      <c r="H1150">
        <v>16609.060000000001</v>
      </c>
      <c r="I1150">
        <v>2494.5</v>
      </c>
      <c r="J1150">
        <v>66547.56</v>
      </c>
      <c r="K1150">
        <v>73807.240000000005</v>
      </c>
      <c r="L1150">
        <v>185152.33</v>
      </c>
      <c r="M1150">
        <v>721</v>
      </c>
      <c r="N1150">
        <v>-3.3599999999999998E-2</v>
      </c>
      <c r="O1150">
        <v>0.13059999999999999</v>
      </c>
      <c r="P1150">
        <v>0.39860000000000001</v>
      </c>
      <c r="Q1150" t="s">
        <v>58</v>
      </c>
      <c r="R1150">
        <v>2022</v>
      </c>
      <c r="S1150" t="s">
        <v>40</v>
      </c>
    </row>
    <row r="1151" spans="1:19" x14ac:dyDescent="0.3">
      <c r="A1151" t="s">
        <v>1228</v>
      </c>
      <c r="B1151" s="1">
        <v>45144</v>
      </c>
      <c r="C1151" t="s">
        <v>30</v>
      </c>
      <c r="D1151" t="s">
        <v>31</v>
      </c>
      <c r="E1151" t="s">
        <v>22</v>
      </c>
      <c r="F1151" t="s">
        <v>23</v>
      </c>
      <c r="G1151">
        <v>59753.63</v>
      </c>
      <c r="H1151">
        <v>41127.75</v>
      </c>
      <c r="I1151">
        <v>18625.88</v>
      </c>
      <c r="J1151">
        <v>46199.63</v>
      </c>
      <c r="K1151">
        <v>35902.120000000003</v>
      </c>
      <c r="L1151">
        <v>178735.3</v>
      </c>
      <c r="M1151">
        <v>631</v>
      </c>
      <c r="N1151">
        <v>6.1699999999999998E-2</v>
      </c>
      <c r="O1151">
        <v>0.31169999999999998</v>
      </c>
      <c r="P1151">
        <v>0.2009</v>
      </c>
      <c r="Q1151" t="s">
        <v>56</v>
      </c>
      <c r="R1151">
        <v>2023</v>
      </c>
      <c r="S1151" t="s">
        <v>25</v>
      </c>
    </row>
    <row r="1152" spans="1:19" x14ac:dyDescent="0.3">
      <c r="A1152" t="s">
        <v>1229</v>
      </c>
      <c r="B1152" s="1">
        <v>45563</v>
      </c>
      <c r="C1152" t="s">
        <v>36</v>
      </c>
      <c r="D1152" t="s">
        <v>37</v>
      </c>
      <c r="E1152" t="s">
        <v>32</v>
      </c>
      <c r="F1152" t="s">
        <v>33</v>
      </c>
      <c r="G1152">
        <v>177132.68</v>
      </c>
      <c r="H1152">
        <v>144752.4</v>
      </c>
      <c r="I1152">
        <v>32380.28</v>
      </c>
      <c r="J1152">
        <v>34384.25</v>
      </c>
      <c r="K1152">
        <v>11585.03</v>
      </c>
      <c r="L1152">
        <v>112058.95</v>
      </c>
      <c r="M1152">
        <v>883</v>
      </c>
      <c r="N1152">
        <v>-7.4800000000000005E-2</v>
      </c>
      <c r="O1152">
        <v>0.18279999999999999</v>
      </c>
      <c r="P1152">
        <v>0.10340000000000001</v>
      </c>
      <c r="Q1152" t="s">
        <v>72</v>
      </c>
      <c r="R1152">
        <v>2024</v>
      </c>
      <c r="S1152" t="s">
        <v>25</v>
      </c>
    </row>
    <row r="1153" spans="1:19" x14ac:dyDescent="0.3">
      <c r="A1153" t="s">
        <v>1230</v>
      </c>
      <c r="B1153" s="1">
        <v>44635</v>
      </c>
      <c r="C1153" t="s">
        <v>54</v>
      </c>
      <c r="D1153" t="s">
        <v>55</v>
      </c>
      <c r="E1153" t="s">
        <v>22</v>
      </c>
      <c r="F1153" t="s">
        <v>23</v>
      </c>
      <c r="G1153">
        <v>107707.69</v>
      </c>
      <c r="H1153">
        <v>88840.25</v>
      </c>
      <c r="I1153">
        <v>18867.439999999999</v>
      </c>
      <c r="J1153">
        <v>21470.77</v>
      </c>
      <c r="K1153">
        <v>16072.68</v>
      </c>
      <c r="L1153">
        <v>79842.95</v>
      </c>
      <c r="M1153">
        <v>468</v>
      </c>
      <c r="N1153">
        <v>0.13750000000000001</v>
      </c>
      <c r="O1153">
        <v>0.17519999999999999</v>
      </c>
      <c r="P1153">
        <v>0.20130000000000001</v>
      </c>
      <c r="Q1153" t="s">
        <v>90</v>
      </c>
      <c r="R1153">
        <v>2022</v>
      </c>
      <c r="S1153" t="s">
        <v>25</v>
      </c>
    </row>
    <row r="1154" spans="1:19" x14ac:dyDescent="0.3">
      <c r="A1154" t="s">
        <v>1231</v>
      </c>
      <c r="B1154" s="1">
        <v>44976</v>
      </c>
      <c r="C1154" t="s">
        <v>20</v>
      </c>
      <c r="D1154" t="s">
        <v>21</v>
      </c>
      <c r="E1154" t="s">
        <v>22</v>
      </c>
      <c r="F1154" t="s">
        <v>23</v>
      </c>
      <c r="G1154">
        <v>42129.46</v>
      </c>
      <c r="H1154">
        <v>36222.800000000003</v>
      </c>
      <c r="I1154">
        <v>5906.66</v>
      </c>
      <c r="J1154">
        <v>34054.93</v>
      </c>
      <c r="K1154">
        <v>10765.02</v>
      </c>
      <c r="L1154">
        <v>114575.94</v>
      </c>
      <c r="M1154">
        <v>1964</v>
      </c>
      <c r="N1154">
        <v>1.41E-2</v>
      </c>
      <c r="O1154">
        <v>0.14019999999999999</v>
      </c>
      <c r="P1154">
        <v>9.4E-2</v>
      </c>
      <c r="Q1154" t="s">
        <v>118</v>
      </c>
      <c r="R1154">
        <v>2023</v>
      </c>
      <c r="S1154" t="s">
        <v>25</v>
      </c>
    </row>
    <row r="1155" spans="1:19" x14ac:dyDescent="0.3">
      <c r="A1155" t="s">
        <v>1232</v>
      </c>
      <c r="B1155" s="1">
        <v>45907</v>
      </c>
      <c r="C1155" t="s">
        <v>61</v>
      </c>
      <c r="D1155" t="s">
        <v>74</v>
      </c>
      <c r="E1155" t="s">
        <v>22</v>
      </c>
      <c r="F1155" t="s">
        <v>23</v>
      </c>
      <c r="G1155">
        <v>52479.199999999997</v>
      </c>
      <c r="H1155">
        <v>39729.78</v>
      </c>
      <c r="I1155">
        <v>12749.42</v>
      </c>
      <c r="J1155">
        <v>13002.03</v>
      </c>
      <c r="K1155">
        <v>28455.1</v>
      </c>
      <c r="L1155">
        <v>74144.75</v>
      </c>
      <c r="M1155">
        <v>946</v>
      </c>
      <c r="N1155">
        <v>6.4600000000000005E-2</v>
      </c>
      <c r="O1155">
        <v>0.2429</v>
      </c>
      <c r="P1155">
        <v>0.38379999999999997</v>
      </c>
      <c r="Q1155" t="s">
        <v>24</v>
      </c>
      <c r="R1155">
        <v>2025</v>
      </c>
      <c r="S1155" t="s">
        <v>40</v>
      </c>
    </row>
    <row r="1156" spans="1:19" x14ac:dyDescent="0.3">
      <c r="A1156" t="s">
        <v>1233</v>
      </c>
      <c r="B1156" s="1">
        <v>45270</v>
      </c>
      <c r="C1156" t="s">
        <v>102</v>
      </c>
      <c r="D1156" t="s">
        <v>103</v>
      </c>
      <c r="E1156" t="s">
        <v>51</v>
      </c>
      <c r="F1156" t="s">
        <v>23</v>
      </c>
      <c r="H1156">
        <v>94151.09</v>
      </c>
      <c r="J1156">
        <v>75687.570000000007</v>
      </c>
      <c r="K1156">
        <v>9029.56</v>
      </c>
      <c r="L1156">
        <v>133251.1</v>
      </c>
      <c r="M1156">
        <v>792</v>
      </c>
      <c r="N1156">
        <v>4.2500000000000003E-2</v>
      </c>
      <c r="P1156">
        <v>6.7799999999999999E-2</v>
      </c>
      <c r="Q1156" t="s">
        <v>44</v>
      </c>
      <c r="R1156">
        <v>2023</v>
      </c>
      <c r="S1156" t="s">
        <v>25</v>
      </c>
    </row>
    <row r="1157" spans="1:19" x14ac:dyDescent="0.3">
      <c r="A1157" t="s">
        <v>1234</v>
      </c>
      <c r="B1157" s="1">
        <v>45528</v>
      </c>
      <c r="C1157" t="s">
        <v>102</v>
      </c>
      <c r="D1157" t="s">
        <v>103</v>
      </c>
      <c r="E1157" t="s">
        <v>38</v>
      </c>
      <c r="F1157" t="s">
        <v>23</v>
      </c>
      <c r="G1157">
        <v>54907.96</v>
      </c>
      <c r="H1157">
        <v>30774.01</v>
      </c>
      <c r="I1157">
        <v>24133.95</v>
      </c>
      <c r="J1157">
        <v>15040.24</v>
      </c>
      <c r="K1157">
        <v>22829.97</v>
      </c>
      <c r="L1157">
        <v>65507.07</v>
      </c>
      <c r="M1157">
        <v>964</v>
      </c>
      <c r="N1157">
        <v>-2.3800000000000002E-2</v>
      </c>
      <c r="O1157">
        <v>0.4395</v>
      </c>
      <c r="P1157">
        <v>0.34849999999999998</v>
      </c>
      <c r="Q1157" t="s">
        <v>72</v>
      </c>
      <c r="R1157">
        <v>2024</v>
      </c>
      <c r="S1157" t="s">
        <v>40</v>
      </c>
    </row>
    <row r="1158" spans="1:19" x14ac:dyDescent="0.3">
      <c r="A1158" t="s">
        <v>1235</v>
      </c>
      <c r="B1158" s="1">
        <v>45215</v>
      </c>
      <c r="C1158" t="s">
        <v>48</v>
      </c>
      <c r="D1158" t="s">
        <v>49</v>
      </c>
      <c r="E1158" t="s">
        <v>22</v>
      </c>
      <c r="F1158" t="s">
        <v>23</v>
      </c>
      <c r="G1158">
        <v>60428.15</v>
      </c>
      <c r="H1158">
        <v>40510.699999999997</v>
      </c>
      <c r="I1158">
        <v>19917.45</v>
      </c>
      <c r="J1158">
        <v>42979.85</v>
      </c>
      <c r="K1158">
        <v>35851.26</v>
      </c>
      <c r="L1158">
        <v>70430.77</v>
      </c>
      <c r="M1158">
        <v>2062</v>
      </c>
      <c r="N1158">
        <v>-8.8099999999999998E-2</v>
      </c>
      <c r="O1158">
        <v>0.3296</v>
      </c>
      <c r="P1158">
        <v>0.50900000000000001</v>
      </c>
      <c r="Q1158" t="s">
        <v>44</v>
      </c>
      <c r="R1158">
        <v>2023</v>
      </c>
      <c r="S1158" t="s">
        <v>40</v>
      </c>
    </row>
    <row r="1159" spans="1:19" x14ac:dyDescent="0.3">
      <c r="A1159" t="s">
        <v>1236</v>
      </c>
      <c r="B1159" s="1">
        <v>45085</v>
      </c>
      <c r="C1159" t="s">
        <v>36</v>
      </c>
      <c r="D1159" t="s">
        <v>37</v>
      </c>
      <c r="E1159" t="s">
        <v>38</v>
      </c>
      <c r="F1159" t="s">
        <v>23</v>
      </c>
      <c r="G1159">
        <v>500244.24</v>
      </c>
      <c r="H1159">
        <v>25420.22</v>
      </c>
      <c r="I1159">
        <v>474824.02</v>
      </c>
      <c r="J1159">
        <v>15279.93</v>
      </c>
      <c r="K1159">
        <v>279913.68</v>
      </c>
      <c r="L1159">
        <v>165366.53</v>
      </c>
      <c r="M1159">
        <v>1521</v>
      </c>
      <c r="N1159">
        <v>4.1000000000000002E-2</v>
      </c>
      <c r="O1159">
        <v>0.94920000000000004</v>
      </c>
      <c r="P1159">
        <v>1.6927000000000001</v>
      </c>
      <c r="Q1159" t="s">
        <v>39</v>
      </c>
      <c r="R1159">
        <v>2023</v>
      </c>
      <c r="S1159" t="s">
        <v>82</v>
      </c>
    </row>
    <row r="1160" spans="1:19" x14ac:dyDescent="0.3">
      <c r="A1160" t="s">
        <v>1237</v>
      </c>
      <c r="B1160" s="1">
        <v>45059</v>
      </c>
      <c r="C1160" t="s">
        <v>85</v>
      </c>
      <c r="D1160" t="s">
        <v>86</v>
      </c>
      <c r="E1160" t="s">
        <v>32</v>
      </c>
      <c r="F1160" t="s">
        <v>33</v>
      </c>
      <c r="G1160">
        <v>110654.63</v>
      </c>
      <c r="H1160">
        <v>86003.28</v>
      </c>
      <c r="I1160">
        <v>24651.35</v>
      </c>
      <c r="J1160">
        <v>18429.689999999999</v>
      </c>
      <c r="K1160">
        <v>18904.25</v>
      </c>
      <c r="L1160">
        <v>63967.74</v>
      </c>
      <c r="M1160">
        <v>1028</v>
      </c>
      <c r="N1160">
        <v>-5.7000000000000002E-2</v>
      </c>
      <c r="O1160">
        <v>0.2228</v>
      </c>
      <c r="P1160">
        <v>0.29549999999999998</v>
      </c>
      <c r="Q1160" t="s">
        <v>39</v>
      </c>
      <c r="R1160">
        <v>2023</v>
      </c>
      <c r="S1160" t="s">
        <v>25</v>
      </c>
    </row>
    <row r="1161" spans="1:19" x14ac:dyDescent="0.3">
      <c r="A1161" t="s">
        <v>1238</v>
      </c>
      <c r="B1161" s="1">
        <v>44582</v>
      </c>
      <c r="C1161" t="s">
        <v>20</v>
      </c>
      <c r="D1161" t="s">
        <v>21</v>
      </c>
      <c r="E1161" t="s">
        <v>38</v>
      </c>
      <c r="F1161" t="s">
        <v>23</v>
      </c>
      <c r="G1161">
        <v>202301.97</v>
      </c>
      <c r="H1161">
        <v>163290.98000000001</v>
      </c>
      <c r="I1161">
        <v>39010.99</v>
      </c>
      <c r="J1161">
        <v>17457.3</v>
      </c>
      <c r="K1161">
        <v>111847.81</v>
      </c>
      <c r="L1161">
        <v>54190.68</v>
      </c>
      <c r="M1161">
        <v>1089</v>
      </c>
      <c r="N1161">
        <v>1.14E-2</v>
      </c>
      <c r="O1161">
        <v>0.1928</v>
      </c>
      <c r="P1161">
        <v>2.0640000000000001</v>
      </c>
      <c r="Q1161" t="s">
        <v>90</v>
      </c>
      <c r="R1161">
        <v>2022</v>
      </c>
      <c r="S1161" t="s">
        <v>82</v>
      </c>
    </row>
    <row r="1162" spans="1:19" x14ac:dyDescent="0.3">
      <c r="A1162" t="s">
        <v>1239</v>
      </c>
      <c r="B1162" s="1">
        <v>45336</v>
      </c>
      <c r="C1162" t="s">
        <v>85</v>
      </c>
      <c r="D1162" t="s">
        <v>86</v>
      </c>
      <c r="E1162" t="s">
        <v>22</v>
      </c>
      <c r="F1162" t="s">
        <v>23</v>
      </c>
      <c r="G1162">
        <v>105439.43</v>
      </c>
      <c r="H1162">
        <v>90130.16</v>
      </c>
      <c r="I1162">
        <v>15309.27</v>
      </c>
      <c r="J1162">
        <v>30478.86</v>
      </c>
      <c r="K1162">
        <v>137241.54</v>
      </c>
      <c r="L1162">
        <v>81177.84</v>
      </c>
      <c r="M1162">
        <v>1990</v>
      </c>
      <c r="N1162">
        <v>-0.13689999999999999</v>
      </c>
      <c r="O1162">
        <v>0.1452</v>
      </c>
      <c r="P1162">
        <v>1.6906000000000001</v>
      </c>
      <c r="Q1162" t="s">
        <v>80</v>
      </c>
      <c r="R1162">
        <v>2024</v>
      </c>
      <c r="S1162" t="s">
        <v>82</v>
      </c>
    </row>
    <row r="1163" spans="1:19" x14ac:dyDescent="0.3">
      <c r="A1163" t="s">
        <v>1240</v>
      </c>
      <c r="B1163" s="3">
        <v>45174</v>
      </c>
      <c r="C1163" t="s">
        <v>102</v>
      </c>
      <c r="D1163" t="s">
        <v>103</v>
      </c>
      <c r="E1163" t="s">
        <v>32</v>
      </c>
      <c r="F1163" t="s">
        <v>33</v>
      </c>
      <c r="G1163">
        <v>49423.41</v>
      </c>
      <c r="H1163">
        <v>38022.699999999997</v>
      </c>
      <c r="I1163">
        <v>11400.71</v>
      </c>
      <c r="J1163">
        <v>45595.98</v>
      </c>
      <c r="K1163">
        <v>100451.84</v>
      </c>
      <c r="L1163">
        <v>97980.89</v>
      </c>
      <c r="M1163">
        <v>617</v>
      </c>
      <c r="N1163">
        <v>2.7400000000000001E-2</v>
      </c>
      <c r="O1163">
        <v>0.23069999999999999</v>
      </c>
      <c r="P1163">
        <v>1.0251999999999999</v>
      </c>
      <c r="Q1163" t="s">
        <v>56</v>
      </c>
      <c r="R1163">
        <v>2023</v>
      </c>
      <c r="S1163" t="s">
        <v>82</v>
      </c>
    </row>
    <row r="1164" spans="1:19" x14ac:dyDescent="0.3">
      <c r="A1164" t="s">
        <v>1241</v>
      </c>
      <c r="B1164" s="1">
        <v>45878</v>
      </c>
      <c r="C1164" t="s">
        <v>42</v>
      </c>
      <c r="D1164" t="s">
        <v>43</v>
      </c>
      <c r="E1164" t="s">
        <v>38</v>
      </c>
      <c r="F1164" t="s">
        <v>23</v>
      </c>
      <c r="G1164">
        <v>71674.16</v>
      </c>
      <c r="H1164">
        <v>44733.17</v>
      </c>
      <c r="I1164">
        <v>26940.99</v>
      </c>
      <c r="J1164">
        <v>35752.57</v>
      </c>
      <c r="K1164">
        <v>112509.01</v>
      </c>
      <c r="L1164">
        <v>57545.34</v>
      </c>
      <c r="M1164">
        <v>658</v>
      </c>
      <c r="N1164">
        <v>-6.1199999999999997E-2</v>
      </c>
      <c r="O1164">
        <v>0.37590000000000001</v>
      </c>
      <c r="P1164">
        <v>1.9551000000000001</v>
      </c>
      <c r="Q1164" t="s">
        <v>24</v>
      </c>
      <c r="R1164">
        <v>2025</v>
      </c>
      <c r="S1164" t="s">
        <v>82</v>
      </c>
    </row>
    <row r="1165" spans="1:19" x14ac:dyDescent="0.3">
      <c r="A1165" t="s">
        <v>1242</v>
      </c>
      <c r="B1165" s="1">
        <v>45757</v>
      </c>
      <c r="C1165" t="s">
        <v>36</v>
      </c>
      <c r="D1165" t="s">
        <v>37</v>
      </c>
      <c r="E1165" t="s">
        <v>51</v>
      </c>
      <c r="F1165" t="s">
        <v>23</v>
      </c>
      <c r="G1165">
        <v>41806.42</v>
      </c>
      <c r="H1165">
        <v>35262.589999999997</v>
      </c>
      <c r="I1165">
        <v>6543.83</v>
      </c>
      <c r="J1165">
        <v>24056.639999999999</v>
      </c>
      <c r="K1165">
        <v>13594.34</v>
      </c>
      <c r="L1165">
        <v>94380.94</v>
      </c>
      <c r="M1165">
        <v>535</v>
      </c>
      <c r="N1165">
        <v>0.152</v>
      </c>
      <c r="O1165">
        <v>0.1565</v>
      </c>
      <c r="P1165">
        <v>0.14399999999999999</v>
      </c>
      <c r="Q1165" t="s">
        <v>34</v>
      </c>
      <c r="R1165">
        <v>2025</v>
      </c>
      <c r="S1165" t="s">
        <v>25</v>
      </c>
    </row>
    <row r="1166" spans="1:19" x14ac:dyDescent="0.3">
      <c r="A1166" t="s">
        <v>1243</v>
      </c>
      <c r="B1166" s="1">
        <v>45396</v>
      </c>
      <c r="C1166" t="s">
        <v>42</v>
      </c>
      <c r="D1166" t="s">
        <v>43</v>
      </c>
      <c r="E1166" t="s">
        <v>22</v>
      </c>
      <c r="F1166" t="s">
        <v>23</v>
      </c>
      <c r="G1166">
        <v>80632.38</v>
      </c>
      <c r="H1166">
        <v>58024.480000000003</v>
      </c>
      <c r="I1166">
        <v>22607.9</v>
      </c>
      <c r="J1166">
        <v>34304.54</v>
      </c>
      <c r="K1166">
        <v>7447.99</v>
      </c>
      <c r="L1166">
        <v>100889.92</v>
      </c>
      <c r="M1166">
        <v>990</v>
      </c>
      <c r="N1166">
        <v>0.1197</v>
      </c>
      <c r="O1166">
        <v>0.28039999999999998</v>
      </c>
      <c r="P1166">
        <v>7.3800000000000004E-2</v>
      </c>
      <c r="Q1166" t="s">
        <v>111</v>
      </c>
      <c r="R1166">
        <v>2024</v>
      </c>
      <c r="S1166" t="s">
        <v>25</v>
      </c>
    </row>
    <row r="1167" spans="1:19" x14ac:dyDescent="0.3">
      <c r="A1167" t="s">
        <v>1244</v>
      </c>
      <c r="B1167" s="1">
        <v>45382</v>
      </c>
      <c r="C1167" t="s">
        <v>27</v>
      </c>
      <c r="D1167" t="s">
        <v>28</v>
      </c>
      <c r="E1167" t="s">
        <v>51</v>
      </c>
      <c r="F1167" t="s">
        <v>23</v>
      </c>
      <c r="G1167">
        <v>427131.44</v>
      </c>
      <c r="H1167">
        <v>312664.09000000003</v>
      </c>
      <c r="I1167">
        <v>114467.35</v>
      </c>
      <c r="J1167">
        <v>11080.27</v>
      </c>
      <c r="K1167">
        <v>43238.29</v>
      </c>
      <c r="L1167">
        <v>142933.51999999999</v>
      </c>
      <c r="M1167">
        <v>766</v>
      </c>
      <c r="N1167">
        <v>-5.4199999999999998E-2</v>
      </c>
      <c r="O1167">
        <v>0.26800000000000002</v>
      </c>
      <c r="P1167">
        <v>0.30249999999999999</v>
      </c>
      <c r="Q1167" t="s">
        <v>80</v>
      </c>
      <c r="R1167">
        <v>2024</v>
      </c>
      <c r="S1167" t="s">
        <v>40</v>
      </c>
    </row>
    <row r="1168" spans="1:19" x14ac:dyDescent="0.3">
      <c r="A1168" t="s">
        <v>1245</v>
      </c>
      <c r="B1168" s="1">
        <v>45784</v>
      </c>
      <c r="C1168" t="s">
        <v>85</v>
      </c>
      <c r="D1168" t="s">
        <v>86</v>
      </c>
      <c r="E1168" t="s">
        <v>38</v>
      </c>
      <c r="F1168" t="s">
        <v>23</v>
      </c>
      <c r="G1168">
        <v>50191.95</v>
      </c>
      <c r="H1168">
        <v>31644.48</v>
      </c>
      <c r="I1168">
        <v>18547.47</v>
      </c>
      <c r="J1168">
        <v>159611.72</v>
      </c>
      <c r="K1168">
        <v>33742.199999999997</v>
      </c>
      <c r="L1168">
        <v>215073.96</v>
      </c>
      <c r="M1168">
        <v>294</v>
      </c>
      <c r="N1168">
        <v>4.7600000000000003E-2</v>
      </c>
      <c r="O1168">
        <v>0.3695</v>
      </c>
      <c r="P1168">
        <v>0.15690000000000001</v>
      </c>
      <c r="Q1168" t="s">
        <v>34</v>
      </c>
      <c r="R1168">
        <v>2025</v>
      </c>
      <c r="S1168" t="s">
        <v>25</v>
      </c>
    </row>
    <row r="1169" spans="1:19" x14ac:dyDescent="0.3">
      <c r="A1169" t="s">
        <v>1246</v>
      </c>
      <c r="B1169" s="1">
        <v>44697</v>
      </c>
      <c r="C1169" t="s">
        <v>102</v>
      </c>
      <c r="D1169" t="s">
        <v>103</v>
      </c>
      <c r="E1169" t="s">
        <v>22</v>
      </c>
      <c r="F1169" t="s">
        <v>23</v>
      </c>
      <c r="G1169">
        <v>37413.279999999999</v>
      </c>
      <c r="H1169">
        <v>28674.53</v>
      </c>
      <c r="I1169">
        <v>8738.75</v>
      </c>
      <c r="J1169">
        <v>22943.98</v>
      </c>
      <c r="K1169">
        <v>72687.7</v>
      </c>
      <c r="L1169">
        <v>146404.07999999999</v>
      </c>
      <c r="M1169">
        <v>785</v>
      </c>
      <c r="N1169">
        <v>7.5999999999999998E-2</v>
      </c>
      <c r="O1169">
        <v>0.2336</v>
      </c>
      <c r="P1169">
        <v>0.4965</v>
      </c>
      <c r="Q1169" t="s">
        <v>58</v>
      </c>
      <c r="R1169">
        <v>2022</v>
      </c>
      <c r="S1169" t="s">
        <v>40</v>
      </c>
    </row>
    <row r="1170" spans="1:19" x14ac:dyDescent="0.3">
      <c r="A1170" t="s">
        <v>1247</v>
      </c>
      <c r="B1170" s="1">
        <v>45884</v>
      </c>
      <c r="C1170" t="s">
        <v>61</v>
      </c>
      <c r="D1170" t="s">
        <v>74</v>
      </c>
      <c r="E1170" t="s">
        <v>51</v>
      </c>
      <c r="F1170" t="s">
        <v>23</v>
      </c>
      <c r="G1170">
        <v>268294.7</v>
      </c>
      <c r="H1170">
        <v>213705.58</v>
      </c>
      <c r="I1170">
        <v>54589.120000000003</v>
      </c>
      <c r="J1170">
        <v>15708.13</v>
      </c>
      <c r="K1170">
        <v>8642.89</v>
      </c>
      <c r="L1170">
        <v>86535.18</v>
      </c>
      <c r="M1170">
        <v>1250</v>
      </c>
      <c r="N1170">
        <v>5.6399999999999999E-2</v>
      </c>
      <c r="O1170">
        <v>0.20349999999999999</v>
      </c>
      <c r="P1170">
        <v>9.9900000000000003E-2</v>
      </c>
      <c r="Q1170" t="s">
        <v>24</v>
      </c>
      <c r="R1170">
        <v>2025</v>
      </c>
      <c r="S1170" t="s">
        <v>25</v>
      </c>
    </row>
    <row r="1171" spans="1:19" x14ac:dyDescent="0.3">
      <c r="A1171" t="s">
        <v>1248</v>
      </c>
      <c r="B1171" s="1">
        <v>45274</v>
      </c>
      <c r="C1171" t="s">
        <v>78</v>
      </c>
      <c r="D1171" t="s">
        <v>79</v>
      </c>
      <c r="E1171" t="s">
        <v>22</v>
      </c>
      <c r="F1171" t="s">
        <v>23</v>
      </c>
      <c r="G1171">
        <v>31885.13</v>
      </c>
      <c r="H1171">
        <v>28787.58</v>
      </c>
      <c r="I1171">
        <v>3097.55</v>
      </c>
      <c r="J1171">
        <v>15394.54</v>
      </c>
      <c r="K1171">
        <v>45011.81</v>
      </c>
      <c r="L1171">
        <v>156283.47</v>
      </c>
      <c r="M1171">
        <v>506</v>
      </c>
      <c r="N1171">
        <v>1.5100000000000001E-2</v>
      </c>
      <c r="O1171">
        <v>9.7100000000000006E-2</v>
      </c>
      <c r="P1171">
        <v>0.28799999999999998</v>
      </c>
      <c r="Q1171" t="s">
        <v>44</v>
      </c>
      <c r="R1171">
        <v>2023</v>
      </c>
      <c r="S1171" t="s">
        <v>25</v>
      </c>
    </row>
    <row r="1172" spans="1:19" x14ac:dyDescent="0.3">
      <c r="A1172" t="s">
        <v>1249</v>
      </c>
      <c r="B1172" s="1">
        <v>45196</v>
      </c>
      <c r="C1172" t="s">
        <v>85</v>
      </c>
      <c r="D1172" t="s">
        <v>86</v>
      </c>
      <c r="E1172" t="s">
        <v>32</v>
      </c>
      <c r="F1172" t="s">
        <v>33</v>
      </c>
      <c r="G1172">
        <v>72398.720000000001</v>
      </c>
      <c r="H1172">
        <v>63231.54</v>
      </c>
      <c r="I1172">
        <v>9167.18</v>
      </c>
      <c r="J1172">
        <v>16539.98</v>
      </c>
      <c r="K1172">
        <v>20584.98</v>
      </c>
      <c r="L1172">
        <v>108051.92</v>
      </c>
      <c r="M1172">
        <v>1014</v>
      </c>
      <c r="N1172">
        <v>8.7300000000000003E-2</v>
      </c>
      <c r="O1172">
        <v>0.12659999999999999</v>
      </c>
      <c r="P1172">
        <v>0.1905</v>
      </c>
      <c r="Q1172" t="s">
        <v>56</v>
      </c>
      <c r="R1172">
        <v>2023</v>
      </c>
      <c r="S1172" t="s">
        <v>25</v>
      </c>
    </row>
    <row r="1173" spans="1:19" x14ac:dyDescent="0.3">
      <c r="A1173" t="s">
        <v>1250</v>
      </c>
      <c r="B1173" s="1">
        <v>45163</v>
      </c>
      <c r="C1173" t="s">
        <v>102</v>
      </c>
      <c r="D1173" t="s">
        <v>103</v>
      </c>
      <c r="E1173" t="s">
        <v>22</v>
      </c>
      <c r="F1173" t="s">
        <v>23</v>
      </c>
      <c r="G1173">
        <v>88399.91</v>
      </c>
      <c r="H1173">
        <v>66699.199999999997</v>
      </c>
      <c r="I1173">
        <v>21700.71</v>
      </c>
      <c r="J1173">
        <v>38172.769999999997</v>
      </c>
      <c r="K1173">
        <v>3810.38</v>
      </c>
      <c r="L1173">
        <v>97873.72</v>
      </c>
      <c r="M1173">
        <v>693</v>
      </c>
      <c r="N1173">
        <v>2.0899999999999998E-2</v>
      </c>
      <c r="O1173">
        <v>0.2455</v>
      </c>
      <c r="P1173">
        <v>3.8899999999999997E-2</v>
      </c>
      <c r="Q1173" t="s">
        <v>56</v>
      </c>
      <c r="R1173">
        <v>2023</v>
      </c>
      <c r="S1173" t="s">
        <v>25</v>
      </c>
    </row>
    <row r="1174" spans="1:19" x14ac:dyDescent="0.3">
      <c r="A1174" t="s">
        <v>1251</v>
      </c>
      <c r="B1174" s="1">
        <v>44614</v>
      </c>
      <c r="C1174" t="s">
        <v>85</v>
      </c>
      <c r="D1174" t="s">
        <v>86</v>
      </c>
      <c r="E1174" t="s">
        <v>22</v>
      </c>
      <c r="F1174" t="s">
        <v>23</v>
      </c>
      <c r="G1174">
        <v>68116.19</v>
      </c>
      <c r="H1174">
        <v>46495.839999999997</v>
      </c>
      <c r="I1174">
        <v>21620.35</v>
      </c>
      <c r="J1174">
        <v>52606.47</v>
      </c>
      <c r="K1174">
        <v>55116.24</v>
      </c>
      <c r="L1174">
        <v>60273.47</v>
      </c>
      <c r="M1174">
        <v>1532</v>
      </c>
      <c r="N1174">
        <v>4.9099999999999998E-2</v>
      </c>
      <c r="O1174">
        <v>0.31740000000000002</v>
      </c>
      <c r="P1174">
        <v>0.91439999999999999</v>
      </c>
      <c r="Q1174" t="s">
        <v>90</v>
      </c>
      <c r="R1174">
        <v>2022</v>
      </c>
      <c r="S1174" t="s">
        <v>82</v>
      </c>
    </row>
    <row r="1175" spans="1:19" x14ac:dyDescent="0.3">
      <c r="A1175" t="s">
        <v>1252</v>
      </c>
      <c r="B1175" s="1">
        <v>45704</v>
      </c>
      <c r="C1175" t="s">
        <v>78</v>
      </c>
      <c r="D1175" t="s">
        <v>79</v>
      </c>
      <c r="E1175" t="s">
        <v>22</v>
      </c>
      <c r="F1175" t="s">
        <v>23</v>
      </c>
      <c r="G1175">
        <v>19150.55</v>
      </c>
      <c r="H1175">
        <v>15194.84</v>
      </c>
      <c r="I1175">
        <v>3955.71</v>
      </c>
      <c r="J1175">
        <v>44411.51</v>
      </c>
      <c r="K1175">
        <v>38870.69</v>
      </c>
      <c r="L1175">
        <v>262785.46000000002</v>
      </c>
      <c r="M1175">
        <v>572</v>
      </c>
      <c r="N1175">
        <v>-6.4000000000000001E-2</v>
      </c>
      <c r="O1175">
        <v>0.20660000000000001</v>
      </c>
      <c r="P1175">
        <v>0.1479</v>
      </c>
      <c r="Q1175" t="s">
        <v>106</v>
      </c>
      <c r="R1175">
        <v>2025</v>
      </c>
      <c r="S1175" t="s">
        <v>25</v>
      </c>
    </row>
    <row r="1176" spans="1:19" x14ac:dyDescent="0.3">
      <c r="A1176" t="s">
        <v>1253</v>
      </c>
      <c r="B1176" s="1">
        <v>45687</v>
      </c>
      <c r="C1176" t="s">
        <v>36</v>
      </c>
      <c r="D1176" t="s">
        <v>37</v>
      </c>
      <c r="E1176" t="s">
        <v>38</v>
      </c>
      <c r="F1176" t="s">
        <v>23</v>
      </c>
      <c r="G1176">
        <v>62060.02</v>
      </c>
      <c r="H1176">
        <v>53179.95</v>
      </c>
      <c r="I1176">
        <v>8880.07</v>
      </c>
      <c r="J1176">
        <v>28763</v>
      </c>
      <c r="K1176">
        <v>45935.56</v>
      </c>
      <c r="L1176">
        <v>249858.67</v>
      </c>
      <c r="M1176">
        <v>1080</v>
      </c>
      <c r="N1176">
        <v>-8.2600000000000007E-2</v>
      </c>
      <c r="O1176">
        <v>0.1431</v>
      </c>
      <c r="P1176">
        <v>0.18379999999999999</v>
      </c>
      <c r="Q1176" t="s">
        <v>106</v>
      </c>
      <c r="R1176">
        <v>2025</v>
      </c>
      <c r="S1176" t="s">
        <v>25</v>
      </c>
    </row>
    <row r="1177" spans="1:19" x14ac:dyDescent="0.3">
      <c r="A1177" t="s">
        <v>1254</v>
      </c>
      <c r="B1177" s="1">
        <v>45094</v>
      </c>
      <c r="C1177" t="s">
        <v>85</v>
      </c>
      <c r="D1177" t="s">
        <v>86</v>
      </c>
      <c r="E1177" t="s">
        <v>22</v>
      </c>
      <c r="F1177" t="s">
        <v>23</v>
      </c>
      <c r="G1177">
        <v>51013.599999999999</v>
      </c>
      <c r="H1177">
        <v>30333.14</v>
      </c>
      <c r="I1177">
        <v>20680.46</v>
      </c>
      <c r="J1177">
        <v>8984.09</v>
      </c>
      <c r="K1177">
        <v>35836.589999999997</v>
      </c>
      <c r="L1177">
        <v>47075.5</v>
      </c>
      <c r="M1177">
        <v>1533</v>
      </c>
      <c r="N1177">
        <v>0.19439999999999999</v>
      </c>
      <c r="O1177">
        <v>0.40539999999999998</v>
      </c>
      <c r="P1177">
        <v>0.76129999999999998</v>
      </c>
      <c r="Q1177" t="s">
        <v>39</v>
      </c>
      <c r="R1177">
        <v>2023</v>
      </c>
      <c r="S1177" t="s">
        <v>82</v>
      </c>
    </row>
    <row r="1178" spans="1:19" x14ac:dyDescent="0.3">
      <c r="A1178" t="s">
        <v>1255</v>
      </c>
      <c r="B1178" s="1">
        <v>45878</v>
      </c>
      <c r="C1178" t="s">
        <v>27</v>
      </c>
      <c r="D1178" t="s">
        <v>28</v>
      </c>
      <c r="E1178" t="s">
        <v>38</v>
      </c>
      <c r="F1178" t="s">
        <v>23</v>
      </c>
      <c r="G1178">
        <v>55621.79</v>
      </c>
      <c r="H1178">
        <v>45627.08</v>
      </c>
      <c r="I1178">
        <v>9994.7099999999991</v>
      </c>
      <c r="J1178">
        <v>11518.57</v>
      </c>
      <c r="K1178">
        <v>9265.3799999999992</v>
      </c>
      <c r="L1178">
        <v>107658.88</v>
      </c>
      <c r="M1178">
        <v>1286</v>
      </c>
      <c r="N1178">
        <v>1.0500000000000001E-2</v>
      </c>
      <c r="O1178">
        <v>0.1797</v>
      </c>
      <c r="P1178">
        <v>8.6099999999999996E-2</v>
      </c>
      <c r="Q1178" t="s">
        <v>24</v>
      </c>
      <c r="R1178">
        <v>2025</v>
      </c>
      <c r="S1178" t="s">
        <v>25</v>
      </c>
    </row>
    <row r="1179" spans="1:19" x14ac:dyDescent="0.3">
      <c r="A1179" t="s">
        <v>1256</v>
      </c>
      <c r="B1179" s="1">
        <v>45297</v>
      </c>
      <c r="C1179" t="s">
        <v>36</v>
      </c>
      <c r="D1179" t="s">
        <v>37</v>
      </c>
      <c r="E1179" t="s">
        <v>22</v>
      </c>
      <c r="F1179" t="s">
        <v>23</v>
      </c>
      <c r="G1179">
        <v>59480.88</v>
      </c>
      <c r="H1179">
        <v>33488.300000000003</v>
      </c>
      <c r="I1179">
        <v>25992.58</v>
      </c>
      <c r="J1179">
        <v>36536.870000000003</v>
      </c>
      <c r="K1179">
        <v>41045.18</v>
      </c>
      <c r="L1179">
        <v>70183.679999999993</v>
      </c>
      <c r="M1179">
        <v>917</v>
      </c>
      <c r="N1179">
        <v>-9.1399999999999995E-2</v>
      </c>
      <c r="O1179">
        <v>0.437</v>
      </c>
      <c r="P1179">
        <v>0.58479999999999999</v>
      </c>
      <c r="Q1179" t="s">
        <v>80</v>
      </c>
      <c r="R1179">
        <v>2024</v>
      </c>
      <c r="S1179" t="s">
        <v>40</v>
      </c>
    </row>
    <row r="1180" spans="1:19" x14ac:dyDescent="0.3">
      <c r="A1180" t="s">
        <v>1257</v>
      </c>
      <c r="B1180" s="1">
        <v>45967</v>
      </c>
      <c r="C1180" t="s">
        <v>85</v>
      </c>
      <c r="D1180" t="s">
        <v>86</v>
      </c>
      <c r="E1180" t="s">
        <v>32</v>
      </c>
      <c r="F1180" t="s">
        <v>33</v>
      </c>
      <c r="G1180">
        <v>114213.96</v>
      </c>
      <c r="H1180">
        <v>102747.33</v>
      </c>
      <c r="I1180">
        <v>11466.63</v>
      </c>
      <c r="J1180">
        <v>27349.03</v>
      </c>
      <c r="K1180">
        <v>26597.82</v>
      </c>
      <c r="L1180">
        <v>79018.960000000006</v>
      </c>
      <c r="M1180">
        <v>625</v>
      </c>
      <c r="N1180">
        <v>1.26E-2</v>
      </c>
      <c r="O1180">
        <v>0.1004</v>
      </c>
      <c r="P1180">
        <v>0.33660000000000001</v>
      </c>
      <c r="Q1180" t="s">
        <v>66</v>
      </c>
      <c r="R1180">
        <v>2025</v>
      </c>
      <c r="S1180" t="s">
        <v>40</v>
      </c>
    </row>
    <row r="1181" spans="1:19" x14ac:dyDescent="0.3">
      <c r="A1181" t="s">
        <v>1258</v>
      </c>
      <c r="B1181" s="1">
        <v>44818</v>
      </c>
      <c r="C1181" t="s">
        <v>30</v>
      </c>
      <c r="D1181" t="s">
        <v>31</v>
      </c>
      <c r="E1181" t="s">
        <v>51</v>
      </c>
      <c r="F1181" t="s">
        <v>23</v>
      </c>
      <c r="G1181">
        <v>81118.73</v>
      </c>
      <c r="H1181">
        <v>70655.95</v>
      </c>
      <c r="I1181">
        <v>10462.780000000001</v>
      </c>
      <c r="J1181">
        <v>42394.76</v>
      </c>
      <c r="K1181">
        <v>19124.400000000001</v>
      </c>
      <c r="L1181">
        <v>96922.31</v>
      </c>
      <c r="M1181">
        <v>839</v>
      </c>
      <c r="N1181">
        <v>4.7899999999999998E-2</v>
      </c>
      <c r="O1181">
        <v>0.129</v>
      </c>
      <c r="P1181">
        <v>0.1973</v>
      </c>
      <c r="Q1181" t="s">
        <v>76</v>
      </c>
      <c r="R1181">
        <v>2022</v>
      </c>
      <c r="S1181" t="s">
        <v>25</v>
      </c>
    </row>
    <row r="1182" spans="1:19" x14ac:dyDescent="0.3">
      <c r="A1182" t="s">
        <v>1259</v>
      </c>
      <c r="B1182" s="1">
        <v>44839</v>
      </c>
      <c r="C1182" t="s">
        <v>61</v>
      </c>
      <c r="D1182" t="s">
        <v>74</v>
      </c>
      <c r="E1182" t="s">
        <v>38</v>
      </c>
      <c r="F1182" t="s">
        <v>23</v>
      </c>
      <c r="G1182">
        <v>57609.07</v>
      </c>
      <c r="H1182">
        <v>43739.65</v>
      </c>
      <c r="I1182">
        <v>13869.42</v>
      </c>
      <c r="J1182">
        <v>25002.06</v>
      </c>
      <c r="K1182">
        <v>78426.350000000006</v>
      </c>
      <c r="L1182">
        <v>131431.87</v>
      </c>
      <c r="M1182">
        <v>1409</v>
      </c>
      <c r="N1182">
        <v>0.04</v>
      </c>
      <c r="O1182">
        <v>0.24079999999999999</v>
      </c>
      <c r="P1182">
        <v>0.59670000000000001</v>
      </c>
      <c r="Q1182" t="s">
        <v>46</v>
      </c>
      <c r="R1182">
        <v>2022</v>
      </c>
      <c r="S1182" t="s">
        <v>40</v>
      </c>
    </row>
    <row r="1183" spans="1:19" x14ac:dyDescent="0.3">
      <c r="A1183" t="s">
        <v>1260</v>
      </c>
      <c r="B1183" s="1">
        <v>44753</v>
      </c>
      <c r="C1183" t="s">
        <v>85</v>
      </c>
      <c r="D1183" t="s">
        <v>86</v>
      </c>
      <c r="E1183" t="s">
        <v>32</v>
      </c>
      <c r="F1183" t="s">
        <v>33</v>
      </c>
      <c r="G1183">
        <v>172223.24</v>
      </c>
      <c r="H1183">
        <v>142293.34</v>
      </c>
      <c r="I1183">
        <v>29929.9</v>
      </c>
      <c r="J1183">
        <v>39666.99</v>
      </c>
      <c r="K1183">
        <v>136229.63</v>
      </c>
      <c r="L1183">
        <v>159513.82</v>
      </c>
      <c r="M1183">
        <v>749</v>
      </c>
      <c r="N1183">
        <v>-0.1051</v>
      </c>
      <c r="O1183">
        <v>0.17380000000000001</v>
      </c>
      <c r="P1183">
        <v>0.85399999999999998</v>
      </c>
      <c r="Q1183" t="s">
        <v>76</v>
      </c>
      <c r="R1183">
        <v>2022</v>
      </c>
      <c r="S1183" t="s">
        <v>82</v>
      </c>
    </row>
    <row r="1184" spans="1:19" x14ac:dyDescent="0.3">
      <c r="A1184" t="s">
        <v>1261</v>
      </c>
      <c r="B1184" s="1">
        <v>45128</v>
      </c>
      <c r="C1184" t="s">
        <v>68</v>
      </c>
      <c r="D1184" t="s">
        <v>69</v>
      </c>
      <c r="E1184" t="s">
        <v>38</v>
      </c>
      <c r="F1184" t="s">
        <v>23</v>
      </c>
      <c r="G1184">
        <v>38212.93</v>
      </c>
      <c r="J1184">
        <v>12401.98</v>
      </c>
      <c r="K1184">
        <v>37847.67</v>
      </c>
      <c r="L1184">
        <v>278296.49</v>
      </c>
      <c r="M1184">
        <v>2260</v>
      </c>
      <c r="N1184">
        <v>-5.3900000000000003E-2</v>
      </c>
      <c r="P1184">
        <v>0.13600000000000001</v>
      </c>
      <c r="Q1184" t="s">
        <v>56</v>
      </c>
      <c r="R1184">
        <v>2023</v>
      </c>
      <c r="S1184" t="s">
        <v>25</v>
      </c>
    </row>
    <row r="1185" spans="1:19" x14ac:dyDescent="0.3">
      <c r="A1185" t="s">
        <v>1262</v>
      </c>
      <c r="B1185" s="1">
        <v>45404</v>
      </c>
      <c r="C1185" t="s">
        <v>48</v>
      </c>
      <c r="D1185" t="s">
        <v>49</v>
      </c>
      <c r="E1185" t="s">
        <v>32</v>
      </c>
      <c r="F1185" t="s">
        <v>33</v>
      </c>
      <c r="G1185">
        <v>96860.35</v>
      </c>
      <c r="H1185">
        <v>83363.929999999993</v>
      </c>
      <c r="I1185">
        <v>13496.42</v>
      </c>
      <c r="J1185">
        <v>36104.07</v>
      </c>
      <c r="K1185">
        <v>121795.67</v>
      </c>
      <c r="L1185">
        <v>65134.2</v>
      </c>
      <c r="M1185">
        <v>999</v>
      </c>
      <c r="N1185">
        <v>-8.5500000000000007E-2</v>
      </c>
      <c r="O1185">
        <v>0.13930000000000001</v>
      </c>
      <c r="P1185">
        <v>1.8698999999999999</v>
      </c>
      <c r="Q1185" t="s">
        <v>111</v>
      </c>
      <c r="R1185">
        <v>2024</v>
      </c>
      <c r="S1185" t="s">
        <v>82</v>
      </c>
    </row>
    <row r="1186" spans="1:19" x14ac:dyDescent="0.3">
      <c r="A1186" t="s">
        <v>1263</v>
      </c>
      <c r="B1186" s="1">
        <v>45611</v>
      </c>
      <c r="C1186" t="s">
        <v>61</v>
      </c>
      <c r="D1186" t="s">
        <v>74</v>
      </c>
      <c r="E1186" t="s">
        <v>22</v>
      </c>
      <c r="F1186" t="s">
        <v>23</v>
      </c>
      <c r="G1186">
        <v>79048.789999999994</v>
      </c>
      <c r="J1186">
        <v>56694.32</v>
      </c>
      <c r="K1186">
        <v>20336.68</v>
      </c>
      <c r="L1186">
        <v>85475.62</v>
      </c>
      <c r="M1186">
        <v>612</v>
      </c>
      <c r="N1186">
        <v>0.1236</v>
      </c>
      <c r="P1186">
        <v>0.2379</v>
      </c>
      <c r="Q1186" t="s">
        <v>52</v>
      </c>
      <c r="R1186">
        <v>2024</v>
      </c>
      <c r="S1186" t="s">
        <v>25</v>
      </c>
    </row>
    <row r="1187" spans="1:19" x14ac:dyDescent="0.3">
      <c r="A1187" t="s">
        <v>1264</v>
      </c>
      <c r="B1187" s="1">
        <v>45377</v>
      </c>
      <c r="C1187" t="s">
        <v>54</v>
      </c>
      <c r="D1187" t="s">
        <v>55</v>
      </c>
      <c r="E1187" t="s">
        <v>22</v>
      </c>
      <c r="F1187" t="s">
        <v>23</v>
      </c>
      <c r="G1187">
        <v>60852.24</v>
      </c>
      <c r="H1187">
        <v>49397.47</v>
      </c>
      <c r="I1187">
        <v>11454.77</v>
      </c>
      <c r="J1187">
        <v>27141.69</v>
      </c>
      <c r="K1187">
        <v>23426.959999999999</v>
      </c>
      <c r="L1187">
        <v>92387.26</v>
      </c>
      <c r="M1187">
        <v>954</v>
      </c>
      <c r="N1187">
        <v>-0.1696</v>
      </c>
      <c r="O1187">
        <v>0.18820000000000001</v>
      </c>
      <c r="P1187">
        <v>0.25359999999999999</v>
      </c>
      <c r="Q1187" t="s">
        <v>80</v>
      </c>
      <c r="R1187">
        <v>2024</v>
      </c>
      <c r="S1187" t="s">
        <v>25</v>
      </c>
    </row>
    <row r="1188" spans="1:19" x14ac:dyDescent="0.3">
      <c r="A1188" t="s">
        <v>1265</v>
      </c>
      <c r="B1188" s="1">
        <v>45826</v>
      </c>
      <c r="C1188" t="s">
        <v>27</v>
      </c>
      <c r="D1188" t="s">
        <v>28</v>
      </c>
      <c r="E1188" t="s">
        <v>32</v>
      </c>
      <c r="F1188" t="s">
        <v>33</v>
      </c>
      <c r="G1188">
        <v>82329.279999999999</v>
      </c>
      <c r="H1188">
        <v>74236.61</v>
      </c>
      <c r="I1188">
        <v>8092.67</v>
      </c>
      <c r="J1188">
        <v>13095.98</v>
      </c>
      <c r="K1188">
        <v>67567.199999999997</v>
      </c>
      <c r="L1188">
        <v>97345.99</v>
      </c>
      <c r="M1188">
        <v>1400</v>
      </c>
      <c r="N1188">
        <v>4.36E-2</v>
      </c>
      <c r="O1188">
        <v>9.8299999999999998E-2</v>
      </c>
      <c r="P1188">
        <v>0.69410000000000005</v>
      </c>
      <c r="Q1188" t="s">
        <v>34</v>
      </c>
      <c r="R1188">
        <v>2025</v>
      </c>
      <c r="S1188" t="s">
        <v>82</v>
      </c>
    </row>
    <row r="1189" spans="1:19" x14ac:dyDescent="0.3">
      <c r="A1189" t="s">
        <v>1266</v>
      </c>
      <c r="B1189" s="1">
        <v>44811</v>
      </c>
      <c r="C1189" t="s">
        <v>42</v>
      </c>
      <c r="D1189" t="s">
        <v>43</v>
      </c>
      <c r="E1189" t="s">
        <v>32</v>
      </c>
      <c r="F1189" t="s">
        <v>33</v>
      </c>
      <c r="G1189">
        <v>70230.899999999994</v>
      </c>
      <c r="H1189">
        <v>56865.2</v>
      </c>
      <c r="I1189">
        <v>13365.7</v>
      </c>
      <c r="J1189">
        <v>13373.09</v>
      </c>
      <c r="K1189">
        <v>31572.03</v>
      </c>
      <c r="L1189">
        <v>70312.47</v>
      </c>
      <c r="M1189">
        <v>620</v>
      </c>
      <c r="N1189">
        <v>0.1318</v>
      </c>
      <c r="O1189">
        <v>0.1903</v>
      </c>
      <c r="P1189">
        <v>0.44900000000000001</v>
      </c>
      <c r="Q1189" t="s">
        <v>76</v>
      </c>
      <c r="R1189">
        <v>2022</v>
      </c>
      <c r="S1189" t="s">
        <v>40</v>
      </c>
    </row>
    <row r="1190" spans="1:19" x14ac:dyDescent="0.3">
      <c r="A1190" t="s">
        <v>1267</v>
      </c>
      <c r="B1190" s="1">
        <v>45605</v>
      </c>
      <c r="C1190" t="s">
        <v>36</v>
      </c>
      <c r="D1190" t="s">
        <v>37</v>
      </c>
      <c r="E1190" t="s">
        <v>38</v>
      </c>
      <c r="F1190" t="s">
        <v>23</v>
      </c>
      <c r="G1190">
        <v>54557.96</v>
      </c>
      <c r="H1190">
        <v>34141.49</v>
      </c>
      <c r="I1190">
        <v>20416.47</v>
      </c>
      <c r="J1190">
        <v>8093.41</v>
      </c>
      <c r="K1190">
        <v>12492.49</v>
      </c>
      <c r="L1190">
        <v>45238.33</v>
      </c>
      <c r="M1190">
        <v>1252</v>
      </c>
      <c r="N1190">
        <v>8.1699999999999995E-2</v>
      </c>
      <c r="O1190">
        <v>0.37419999999999998</v>
      </c>
      <c r="P1190">
        <v>0.27610000000000001</v>
      </c>
      <c r="Q1190" t="s">
        <v>52</v>
      </c>
      <c r="R1190">
        <v>2024</v>
      </c>
      <c r="S1190" t="s">
        <v>25</v>
      </c>
    </row>
    <row r="1191" spans="1:19" x14ac:dyDescent="0.3">
      <c r="A1191" t="s">
        <v>1268</v>
      </c>
      <c r="B1191" s="1">
        <v>45175</v>
      </c>
      <c r="C1191" t="s">
        <v>61</v>
      </c>
      <c r="D1191" t="s">
        <v>74</v>
      </c>
      <c r="E1191" t="s">
        <v>22</v>
      </c>
      <c r="F1191" t="s">
        <v>23</v>
      </c>
      <c r="G1191">
        <v>52493.45</v>
      </c>
      <c r="H1191">
        <v>39080.51</v>
      </c>
      <c r="I1191">
        <v>13412.94</v>
      </c>
      <c r="J1191">
        <v>21575.05</v>
      </c>
      <c r="K1191">
        <v>24172.639999999999</v>
      </c>
      <c r="L1191">
        <v>52978.44</v>
      </c>
      <c r="M1191">
        <v>1227</v>
      </c>
      <c r="N1191">
        <v>0.20300000000000001</v>
      </c>
      <c r="O1191">
        <v>0.2555</v>
      </c>
      <c r="P1191">
        <v>0.45629999999999998</v>
      </c>
      <c r="Q1191" t="s">
        <v>56</v>
      </c>
      <c r="R1191">
        <v>2023</v>
      </c>
      <c r="S1191" t="s">
        <v>40</v>
      </c>
    </row>
    <row r="1192" spans="1:19" x14ac:dyDescent="0.3">
      <c r="A1192" t="s">
        <v>1269</v>
      </c>
      <c r="B1192" s="1">
        <v>45241</v>
      </c>
      <c r="C1192" t="s">
        <v>78</v>
      </c>
      <c r="D1192" t="s">
        <v>79</v>
      </c>
      <c r="E1192" t="s">
        <v>38</v>
      </c>
      <c r="F1192" t="s">
        <v>23</v>
      </c>
      <c r="G1192">
        <v>98303.56</v>
      </c>
      <c r="H1192">
        <v>59406.3</v>
      </c>
      <c r="I1192">
        <v>38897.26</v>
      </c>
      <c r="J1192">
        <v>37653.339999999997</v>
      </c>
      <c r="K1192">
        <v>42168.91</v>
      </c>
      <c r="L1192">
        <v>110562.85</v>
      </c>
      <c r="M1192">
        <v>323</v>
      </c>
      <c r="N1192">
        <v>1.1900000000000001E-2</v>
      </c>
      <c r="O1192">
        <v>0.3957</v>
      </c>
      <c r="P1192">
        <v>0.38140000000000002</v>
      </c>
      <c r="Q1192" t="s">
        <v>44</v>
      </c>
      <c r="R1192">
        <v>2023</v>
      </c>
      <c r="S1192" t="s">
        <v>40</v>
      </c>
    </row>
    <row r="1193" spans="1:19" x14ac:dyDescent="0.3">
      <c r="A1193" t="s">
        <v>1270</v>
      </c>
      <c r="B1193" s="1">
        <v>45731</v>
      </c>
      <c r="C1193" t="s">
        <v>42</v>
      </c>
      <c r="D1193" t="s">
        <v>43</v>
      </c>
      <c r="E1193" t="s">
        <v>38</v>
      </c>
      <c r="F1193" t="s">
        <v>23</v>
      </c>
      <c r="G1193">
        <v>115799.43</v>
      </c>
      <c r="H1193">
        <v>100012.56</v>
      </c>
      <c r="I1193">
        <v>15786.87</v>
      </c>
      <c r="J1193">
        <v>29050.81</v>
      </c>
      <c r="K1193">
        <v>67372.98</v>
      </c>
      <c r="L1193">
        <v>43288.54</v>
      </c>
      <c r="M1193">
        <v>1406</v>
      </c>
      <c r="N1193">
        <v>9.8400000000000001E-2</v>
      </c>
      <c r="O1193">
        <v>0.1363</v>
      </c>
      <c r="P1193">
        <v>1.5564</v>
      </c>
      <c r="Q1193" t="s">
        <v>106</v>
      </c>
      <c r="R1193">
        <v>2025</v>
      </c>
      <c r="S1193" t="s">
        <v>82</v>
      </c>
    </row>
    <row r="1194" spans="1:19" x14ac:dyDescent="0.3">
      <c r="A1194" t="s">
        <v>1271</v>
      </c>
      <c r="B1194" s="1">
        <v>45969</v>
      </c>
      <c r="C1194" t="s">
        <v>20</v>
      </c>
      <c r="D1194" t="s">
        <v>21</v>
      </c>
      <c r="E1194" t="s">
        <v>38</v>
      </c>
      <c r="F1194" t="s">
        <v>23</v>
      </c>
      <c r="G1194">
        <v>62983.54</v>
      </c>
      <c r="H1194">
        <v>45652.76</v>
      </c>
      <c r="I1194">
        <v>17330.78</v>
      </c>
      <c r="J1194">
        <v>10968.74</v>
      </c>
      <c r="K1194">
        <v>36003.949999999997</v>
      </c>
      <c r="L1194">
        <v>65381.81</v>
      </c>
      <c r="M1194">
        <v>1062</v>
      </c>
      <c r="N1194">
        <v>0.15060000000000001</v>
      </c>
      <c r="O1194">
        <v>0.2752</v>
      </c>
      <c r="P1194">
        <v>0.55069999999999997</v>
      </c>
      <c r="Q1194" t="s">
        <v>66</v>
      </c>
      <c r="R1194">
        <v>2025</v>
      </c>
      <c r="S1194" t="s">
        <v>40</v>
      </c>
    </row>
    <row r="1195" spans="1:19" x14ac:dyDescent="0.3">
      <c r="A1195" t="s">
        <v>1272</v>
      </c>
      <c r="B1195" s="1">
        <v>45450</v>
      </c>
      <c r="C1195" t="s">
        <v>68</v>
      </c>
      <c r="D1195" t="s">
        <v>69</v>
      </c>
      <c r="E1195" t="s">
        <v>51</v>
      </c>
      <c r="F1195" t="s">
        <v>23</v>
      </c>
      <c r="G1195">
        <v>191061.94</v>
      </c>
      <c r="H1195">
        <v>170444.63</v>
      </c>
      <c r="I1195">
        <v>20617.310000000001</v>
      </c>
      <c r="J1195">
        <v>15289.28</v>
      </c>
      <c r="K1195">
        <v>16990.05</v>
      </c>
      <c r="L1195">
        <v>133845.09</v>
      </c>
      <c r="M1195">
        <v>623</v>
      </c>
      <c r="N1195">
        <v>4.0000000000000002E-4</v>
      </c>
      <c r="O1195">
        <v>0.1079</v>
      </c>
      <c r="P1195">
        <v>0.12690000000000001</v>
      </c>
      <c r="Q1195" t="s">
        <v>111</v>
      </c>
      <c r="R1195">
        <v>2024</v>
      </c>
      <c r="S1195" t="s">
        <v>25</v>
      </c>
    </row>
    <row r="1196" spans="1:19" x14ac:dyDescent="0.3">
      <c r="A1196" t="s">
        <v>1273</v>
      </c>
      <c r="B1196" s="1">
        <v>44795</v>
      </c>
      <c r="C1196" t="s">
        <v>85</v>
      </c>
      <c r="D1196" t="s">
        <v>86</v>
      </c>
      <c r="E1196" t="s">
        <v>38</v>
      </c>
      <c r="F1196" t="s">
        <v>23</v>
      </c>
      <c r="G1196">
        <v>24069.279999999999</v>
      </c>
      <c r="H1196">
        <v>18962.490000000002</v>
      </c>
      <c r="I1196">
        <v>5106.79</v>
      </c>
      <c r="J1196">
        <v>38302.29</v>
      </c>
      <c r="K1196">
        <v>11606.1</v>
      </c>
      <c r="L1196">
        <v>171283.81</v>
      </c>
      <c r="M1196">
        <v>642</v>
      </c>
      <c r="N1196">
        <v>5.8900000000000001E-2</v>
      </c>
      <c r="O1196">
        <v>0.2122</v>
      </c>
      <c r="P1196">
        <v>6.7799999999999999E-2</v>
      </c>
      <c r="Q1196" t="s">
        <v>76</v>
      </c>
      <c r="R1196">
        <v>2022</v>
      </c>
      <c r="S1196" t="s">
        <v>25</v>
      </c>
    </row>
    <row r="1197" spans="1:19" x14ac:dyDescent="0.3">
      <c r="A1197" t="s">
        <v>1274</v>
      </c>
      <c r="B1197" s="1">
        <v>45950</v>
      </c>
      <c r="C1197" t="s">
        <v>48</v>
      </c>
      <c r="D1197" t="s">
        <v>49</v>
      </c>
      <c r="E1197" t="s">
        <v>38</v>
      </c>
      <c r="F1197" t="s">
        <v>23</v>
      </c>
      <c r="G1197">
        <v>130357.48</v>
      </c>
      <c r="H1197">
        <v>74518.259999999995</v>
      </c>
      <c r="I1197">
        <v>55839.22</v>
      </c>
      <c r="J1197">
        <v>34768.639999999999</v>
      </c>
      <c r="K1197">
        <v>83773.31</v>
      </c>
      <c r="L1197">
        <v>309304.32000000001</v>
      </c>
      <c r="M1197">
        <v>1401</v>
      </c>
      <c r="N1197">
        <v>4.5699999999999998E-2</v>
      </c>
      <c r="O1197">
        <v>0.4284</v>
      </c>
      <c r="P1197">
        <v>0.27079999999999999</v>
      </c>
      <c r="Q1197" t="s">
        <v>66</v>
      </c>
      <c r="R1197">
        <v>2025</v>
      </c>
      <c r="S1197" t="s">
        <v>25</v>
      </c>
    </row>
    <row r="1198" spans="1:19" x14ac:dyDescent="0.3">
      <c r="A1198" t="s">
        <v>1275</v>
      </c>
      <c r="B1198" s="1">
        <v>45742</v>
      </c>
      <c r="C1198" t="s">
        <v>102</v>
      </c>
      <c r="D1198" t="s">
        <v>103</v>
      </c>
      <c r="E1198" t="s">
        <v>22</v>
      </c>
      <c r="F1198" t="s">
        <v>23</v>
      </c>
      <c r="G1198">
        <v>130450.4</v>
      </c>
      <c r="H1198">
        <v>91981.1</v>
      </c>
      <c r="I1198">
        <v>38469.300000000003</v>
      </c>
      <c r="J1198">
        <v>57927.88</v>
      </c>
      <c r="K1198">
        <v>21646.87</v>
      </c>
      <c r="L1198">
        <v>72658.759999999995</v>
      </c>
      <c r="M1198">
        <v>872</v>
      </c>
      <c r="N1198">
        <v>4.1000000000000003E-3</v>
      </c>
      <c r="O1198">
        <v>0.2949</v>
      </c>
      <c r="P1198">
        <v>0.2979</v>
      </c>
      <c r="Q1198" t="s">
        <v>106</v>
      </c>
      <c r="R1198">
        <v>2025</v>
      </c>
      <c r="S1198" t="s">
        <v>25</v>
      </c>
    </row>
    <row r="1199" spans="1:19" x14ac:dyDescent="0.3">
      <c r="A1199" t="s">
        <v>1276</v>
      </c>
      <c r="B1199" s="1">
        <v>45762</v>
      </c>
      <c r="C1199" t="s">
        <v>27</v>
      </c>
      <c r="D1199" t="s">
        <v>28</v>
      </c>
      <c r="E1199" t="s">
        <v>22</v>
      </c>
      <c r="F1199" t="s">
        <v>23</v>
      </c>
      <c r="G1199">
        <v>48610.02</v>
      </c>
      <c r="H1199">
        <v>36966.120000000003</v>
      </c>
      <c r="I1199">
        <v>11643.9</v>
      </c>
      <c r="J1199">
        <v>28562.12</v>
      </c>
      <c r="K1199">
        <v>67778.350000000006</v>
      </c>
      <c r="L1199">
        <v>97796.05</v>
      </c>
      <c r="M1199">
        <v>899</v>
      </c>
      <c r="N1199">
        <v>2.3300000000000001E-2</v>
      </c>
      <c r="O1199">
        <v>0.23949999999999999</v>
      </c>
      <c r="P1199">
        <v>0.69310000000000005</v>
      </c>
      <c r="Q1199" t="s">
        <v>34</v>
      </c>
      <c r="R1199">
        <v>2025</v>
      </c>
      <c r="S1199" t="s">
        <v>82</v>
      </c>
    </row>
    <row r="1200" spans="1:19" x14ac:dyDescent="0.3">
      <c r="A1200" t="s">
        <v>1277</v>
      </c>
      <c r="B1200" s="1">
        <v>45282</v>
      </c>
      <c r="C1200" t="s">
        <v>30</v>
      </c>
      <c r="D1200" t="s">
        <v>31</v>
      </c>
      <c r="E1200" t="s">
        <v>22</v>
      </c>
      <c r="F1200" t="s">
        <v>23</v>
      </c>
      <c r="G1200">
        <v>73300.94</v>
      </c>
      <c r="H1200">
        <v>55381.93</v>
      </c>
      <c r="I1200">
        <v>17919.009999999998</v>
      </c>
      <c r="J1200">
        <v>28673.69</v>
      </c>
      <c r="K1200">
        <v>27304.1</v>
      </c>
      <c r="L1200">
        <v>188927.82</v>
      </c>
      <c r="M1200">
        <v>990</v>
      </c>
      <c r="N1200">
        <v>6.3200000000000006E-2</v>
      </c>
      <c r="O1200">
        <v>0.2445</v>
      </c>
      <c r="P1200">
        <v>0.14449999999999999</v>
      </c>
      <c r="Q1200" t="s">
        <v>44</v>
      </c>
      <c r="R1200">
        <v>2023</v>
      </c>
      <c r="S1200" t="s">
        <v>25</v>
      </c>
    </row>
    <row r="1201" spans="1:19" x14ac:dyDescent="0.3">
      <c r="A1201" t="s">
        <v>1278</v>
      </c>
      <c r="B1201" s="1">
        <v>45925</v>
      </c>
      <c r="C1201" t="s">
        <v>54</v>
      </c>
      <c r="D1201" t="s">
        <v>55</v>
      </c>
      <c r="E1201" t="s">
        <v>38</v>
      </c>
      <c r="F1201" t="s">
        <v>23</v>
      </c>
      <c r="G1201">
        <v>39324.97</v>
      </c>
      <c r="H1201">
        <v>24389.84</v>
      </c>
      <c r="I1201">
        <v>14935.13</v>
      </c>
      <c r="J1201">
        <v>46856.31</v>
      </c>
      <c r="K1201">
        <v>5756.09</v>
      </c>
      <c r="L1201">
        <v>91641.68</v>
      </c>
      <c r="M1201">
        <v>1378</v>
      </c>
      <c r="N1201">
        <v>4.4699999999999997E-2</v>
      </c>
      <c r="O1201">
        <v>0.37980000000000003</v>
      </c>
      <c r="P1201">
        <v>6.2799999999999995E-2</v>
      </c>
      <c r="Q1201" t="s">
        <v>24</v>
      </c>
      <c r="R1201">
        <v>2025</v>
      </c>
      <c r="S1201" t="s">
        <v>25</v>
      </c>
    </row>
    <row r="1202" spans="1:19" x14ac:dyDescent="0.3">
      <c r="A1202" t="s">
        <v>535</v>
      </c>
      <c r="B1202" s="1">
        <v>45432</v>
      </c>
      <c r="C1202" t="s">
        <v>30</v>
      </c>
      <c r="D1202" t="s">
        <v>31</v>
      </c>
      <c r="E1202" t="s">
        <v>32</v>
      </c>
      <c r="F1202" t="s">
        <v>33</v>
      </c>
      <c r="G1202">
        <v>34626.97</v>
      </c>
      <c r="H1202">
        <v>23910.02</v>
      </c>
      <c r="I1202">
        <v>10716.95</v>
      </c>
      <c r="J1202">
        <v>41883.42</v>
      </c>
      <c r="K1202">
        <v>35527.040000000001</v>
      </c>
      <c r="L1202">
        <v>105780.14</v>
      </c>
      <c r="M1202">
        <v>1053</v>
      </c>
      <c r="N1202">
        <v>2.4400000000000002E-2</v>
      </c>
      <c r="O1202">
        <v>0.3095</v>
      </c>
      <c r="P1202">
        <v>0.33589999999999998</v>
      </c>
      <c r="Q1202" t="s">
        <v>111</v>
      </c>
      <c r="R1202">
        <v>2024</v>
      </c>
      <c r="S1202" t="s">
        <v>40</v>
      </c>
    </row>
    <row r="1203" spans="1:19" x14ac:dyDescent="0.3">
      <c r="A1203" t="s">
        <v>533</v>
      </c>
      <c r="B1203" s="1">
        <v>45972</v>
      </c>
      <c r="C1203" t="s">
        <v>27</v>
      </c>
      <c r="D1203" t="s">
        <v>28</v>
      </c>
      <c r="E1203" t="s">
        <v>38</v>
      </c>
      <c r="F1203" t="s">
        <v>23</v>
      </c>
      <c r="G1203">
        <v>50140.21</v>
      </c>
      <c r="H1203">
        <v>28346.97</v>
      </c>
      <c r="I1203">
        <v>21793.24</v>
      </c>
      <c r="J1203">
        <v>21418.93</v>
      </c>
      <c r="K1203">
        <v>44538.93</v>
      </c>
      <c r="L1203">
        <v>36072.82</v>
      </c>
      <c r="M1203">
        <v>1080</v>
      </c>
      <c r="N1203">
        <v>7.5999999999999998E-2</v>
      </c>
      <c r="O1203">
        <v>0.43459999999999999</v>
      </c>
      <c r="P1203">
        <v>1.2346999999999999</v>
      </c>
      <c r="Q1203" t="s">
        <v>66</v>
      </c>
      <c r="R1203">
        <v>2025</v>
      </c>
      <c r="S1203" t="s">
        <v>82</v>
      </c>
    </row>
    <row r="1204" spans="1:19" x14ac:dyDescent="0.3">
      <c r="A1204" t="s">
        <v>1100</v>
      </c>
      <c r="B1204" s="1">
        <v>44794</v>
      </c>
      <c r="C1204" t="s">
        <v>85</v>
      </c>
      <c r="D1204" t="s">
        <v>86</v>
      </c>
      <c r="E1204" t="s">
        <v>32</v>
      </c>
      <c r="F1204" t="s">
        <v>33</v>
      </c>
      <c r="G1204">
        <v>91143.71</v>
      </c>
      <c r="H1204">
        <v>50967.94</v>
      </c>
      <c r="I1204">
        <v>40175.769999999997</v>
      </c>
      <c r="K1204">
        <v>52130.81</v>
      </c>
      <c r="L1204">
        <v>79401.06</v>
      </c>
      <c r="M1204">
        <v>585</v>
      </c>
      <c r="N1204">
        <v>-6.0699999999999997E-2</v>
      </c>
      <c r="O1204">
        <v>0.44080000000000003</v>
      </c>
      <c r="P1204">
        <v>0.65659999999999996</v>
      </c>
      <c r="Q1204" t="s">
        <v>76</v>
      </c>
      <c r="R1204">
        <v>2022</v>
      </c>
      <c r="S1204" t="s">
        <v>82</v>
      </c>
    </row>
    <row r="1205" spans="1:19" x14ac:dyDescent="0.3">
      <c r="A1205" t="s">
        <v>214</v>
      </c>
      <c r="B1205" s="1">
        <v>45554</v>
      </c>
      <c r="C1205" t="s">
        <v>30</v>
      </c>
      <c r="D1205" t="s">
        <v>31</v>
      </c>
      <c r="E1205" t="s">
        <v>22</v>
      </c>
      <c r="F1205" t="s">
        <v>23</v>
      </c>
      <c r="G1205">
        <v>34808.53</v>
      </c>
      <c r="H1205">
        <v>22174.33</v>
      </c>
      <c r="I1205">
        <v>12634.2</v>
      </c>
      <c r="J1205">
        <v>27578.09</v>
      </c>
      <c r="K1205">
        <v>25230.09</v>
      </c>
      <c r="L1205">
        <v>163515.95000000001</v>
      </c>
      <c r="M1205">
        <v>497</v>
      </c>
      <c r="N1205">
        <v>2.0799999999999999E-2</v>
      </c>
      <c r="O1205">
        <v>0.36299999999999999</v>
      </c>
      <c r="P1205">
        <v>0.15429999999999999</v>
      </c>
      <c r="Q1205" t="s">
        <v>72</v>
      </c>
      <c r="R1205">
        <v>2024</v>
      </c>
      <c r="S1205" t="s">
        <v>25</v>
      </c>
    </row>
    <row r="1206" spans="1:19" x14ac:dyDescent="0.3">
      <c r="A1206" t="s">
        <v>744</v>
      </c>
      <c r="B1206" s="1">
        <v>44944</v>
      </c>
      <c r="C1206" t="s">
        <v>85</v>
      </c>
      <c r="D1206" t="s">
        <v>86</v>
      </c>
      <c r="E1206" t="s">
        <v>22</v>
      </c>
      <c r="F1206" t="s">
        <v>23</v>
      </c>
      <c r="G1206">
        <v>37434.949999999997</v>
      </c>
      <c r="H1206">
        <v>22291.81</v>
      </c>
      <c r="I1206">
        <v>15143.14</v>
      </c>
      <c r="J1206">
        <v>28401.63</v>
      </c>
      <c r="K1206">
        <v>91454.12</v>
      </c>
      <c r="L1206">
        <v>159196.82</v>
      </c>
      <c r="M1206">
        <v>1028</v>
      </c>
      <c r="N1206">
        <v>0.1208</v>
      </c>
      <c r="O1206">
        <v>0.40450000000000003</v>
      </c>
      <c r="P1206">
        <v>0.57450000000000001</v>
      </c>
      <c r="Q1206" t="s">
        <v>118</v>
      </c>
      <c r="R1206">
        <v>2023</v>
      </c>
      <c r="S1206" t="s">
        <v>40</v>
      </c>
    </row>
    <row r="1207" spans="1:19" x14ac:dyDescent="0.3">
      <c r="A1207" t="s">
        <v>1089</v>
      </c>
      <c r="B1207" s="1">
        <v>45916</v>
      </c>
      <c r="C1207" t="s">
        <v>85</v>
      </c>
      <c r="D1207" t="s">
        <v>86</v>
      </c>
      <c r="E1207" t="s">
        <v>22</v>
      </c>
      <c r="F1207" t="s">
        <v>23</v>
      </c>
      <c r="G1207">
        <v>157835.23000000001</v>
      </c>
      <c r="H1207">
        <v>119699.6</v>
      </c>
      <c r="I1207">
        <v>38135.629999999997</v>
      </c>
      <c r="J1207">
        <v>14541.12</v>
      </c>
      <c r="K1207">
        <v>18106.169999999998</v>
      </c>
      <c r="L1207">
        <v>45495.53</v>
      </c>
      <c r="M1207">
        <v>1027</v>
      </c>
      <c r="N1207">
        <v>5.7599999999999998E-2</v>
      </c>
      <c r="O1207">
        <v>0.24160000000000001</v>
      </c>
      <c r="P1207">
        <v>0.39800000000000002</v>
      </c>
      <c r="Q1207" t="s">
        <v>24</v>
      </c>
      <c r="R1207">
        <v>2025</v>
      </c>
      <c r="S1207" t="s">
        <v>40</v>
      </c>
    </row>
    <row r="1208" spans="1:19" x14ac:dyDescent="0.3">
      <c r="A1208" t="s">
        <v>224</v>
      </c>
      <c r="B1208" s="1">
        <v>45592</v>
      </c>
      <c r="C1208" t="s">
        <v>85</v>
      </c>
      <c r="D1208" t="s">
        <v>86</v>
      </c>
      <c r="E1208" t="s">
        <v>38</v>
      </c>
      <c r="F1208" t="s">
        <v>23</v>
      </c>
      <c r="G1208">
        <v>52594.67</v>
      </c>
      <c r="H1208">
        <v>36769.07</v>
      </c>
      <c r="I1208">
        <v>15825.6</v>
      </c>
      <c r="J1208">
        <v>27848.98</v>
      </c>
      <c r="K1208">
        <v>41324.379999999997</v>
      </c>
      <c r="L1208">
        <v>58369.33</v>
      </c>
      <c r="M1208">
        <v>909</v>
      </c>
      <c r="N1208">
        <v>9.2999999999999992E-3</v>
      </c>
      <c r="O1208">
        <v>0.3009</v>
      </c>
      <c r="P1208">
        <v>0.70799999999999996</v>
      </c>
      <c r="Q1208" t="s">
        <v>52</v>
      </c>
      <c r="R1208">
        <v>2024</v>
      </c>
      <c r="S1208" t="s">
        <v>82</v>
      </c>
    </row>
    <row r="1209" spans="1:19" x14ac:dyDescent="0.3">
      <c r="A1209" t="s">
        <v>907</v>
      </c>
      <c r="B1209" s="1">
        <v>45612</v>
      </c>
      <c r="C1209" t="s">
        <v>68</v>
      </c>
      <c r="D1209" t="s">
        <v>69</v>
      </c>
      <c r="E1209" t="s">
        <v>22</v>
      </c>
      <c r="F1209" t="s">
        <v>23</v>
      </c>
      <c r="G1209">
        <v>29868.97</v>
      </c>
      <c r="H1209">
        <v>18620.25</v>
      </c>
      <c r="I1209">
        <v>11248.72</v>
      </c>
      <c r="J1209">
        <v>108022.46</v>
      </c>
      <c r="K1209">
        <v>27206.3</v>
      </c>
      <c r="L1209">
        <v>199407.85</v>
      </c>
      <c r="M1209">
        <v>688</v>
      </c>
      <c r="N1209">
        <v>0.12659999999999999</v>
      </c>
      <c r="O1209">
        <v>0.37659999999999999</v>
      </c>
      <c r="P1209">
        <v>0.13639999999999999</v>
      </c>
      <c r="Q1209" t="s">
        <v>52</v>
      </c>
      <c r="R1209">
        <v>2024</v>
      </c>
      <c r="S1209" t="s">
        <v>25</v>
      </c>
    </row>
    <row r="1210" spans="1:19" x14ac:dyDescent="0.3">
      <c r="A1210" t="s">
        <v>826</v>
      </c>
      <c r="B1210" s="1">
        <v>45767</v>
      </c>
      <c r="C1210" t="s">
        <v>78</v>
      </c>
      <c r="D1210" t="s">
        <v>79</v>
      </c>
      <c r="E1210" t="s">
        <v>22</v>
      </c>
      <c r="F1210" t="s">
        <v>23</v>
      </c>
      <c r="G1210">
        <v>72065.88</v>
      </c>
      <c r="H1210">
        <v>43202.879999999997</v>
      </c>
      <c r="I1210">
        <v>28863</v>
      </c>
      <c r="J1210">
        <v>84944.73</v>
      </c>
      <c r="K1210">
        <v>34596.93</v>
      </c>
      <c r="L1210">
        <v>195079.24</v>
      </c>
      <c r="M1210">
        <v>1032</v>
      </c>
      <c r="N1210">
        <v>-6.7000000000000004E-2</v>
      </c>
      <c r="O1210">
        <v>0.40050000000000002</v>
      </c>
      <c r="P1210">
        <v>0.17730000000000001</v>
      </c>
      <c r="Q1210" t="s">
        <v>34</v>
      </c>
      <c r="R1210">
        <v>2025</v>
      </c>
      <c r="S1210" t="s">
        <v>25</v>
      </c>
    </row>
    <row r="1211" spans="1:19" x14ac:dyDescent="0.3">
      <c r="A1211" t="s">
        <v>117</v>
      </c>
      <c r="B1211" s="1">
        <v>44966</v>
      </c>
      <c r="C1211" t="s">
        <v>30</v>
      </c>
      <c r="D1211" t="s">
        <v>31</v>
      </c>
      <c r="E1211" t="s">
        <v>38</v>
      </c>
      <c r="F1211" t="s">
        <v>23</v>
      </c>
      <c r="G1211">
        <v>73380.13</v>
      </c>
      <c r="H1211">
        <v>61237.57</v>
      </c>
      <c r="I1211">
        <v>12142.56</v>
      </c>
      <c r="J1211">
        <v>33958.230000000003</v>
      </c>
      <c r="K1211">
        <v>20943.45</v>
      </c>
      <c r="L1211">
        <v>52003.83</v>
      </c>
      <c r="M1211">
        <v>484</v>
      </c>
      <c r="N1211">
        <v>5.0200000000000002E-2</v>
      </c>
      <c r="O1211">
        <v>0.16550000000000001</v>
      </c>
      <c r="P1211">
        <v>0.4027</v>
      </c>
      <c r="Q1211" t="s">
        <v>118</v>
      </c>
      <c r="R1211">
        <v>2023</v>
      </c>
      <c r="S1211" t="s">
        <v>40</v>
      </c>
    </row>
    <row r="1212" spans="1:19" x14ac:dyDescent="0.3">
      <c r="A1212" t="s">
        <v>1210</v>
      </c>
      <c r="B1212" s="1">
        <v>45512</v>
      </c>
      <c r="C1212" t="s">
        <v>68</v>
      </c>
      <c r="D1212" t="s">
        <v>69</v>
      </c>
      <c r="E1212" t="s">
        <v>32</v>
      </c>
      <c r="F1212" t="s">
        <v>33</v>
      </c>
      <c r="G1212">
        <v>65209.75</v>
      </c>
      <c r="H1212">
        <v>41909.65</v>
      </c>
      <c r="I1212">
        <v>23300.1</v>
      </c>
      <c r="J1212">
        <v>11284.41</v>
      </c>
      <c r="K1212">
        <v>23422.33</v>
      </c>
      <c r="L1212">
        <v>45360.47</v>
      </c>
      <c r="M1212">
        <v>475</v>
      </c>
      <c r="N1212">
        <v>-4.8000000000000001E-2</v>
      </c>
      <c r="O1212">
        <v>0.35730000000000001</v>
      </c>
      <c r="P1212">
        <v>0.51639999999999997</v>
      </c>
      <c r="Q1212" t="s">
        <v>72</v>
      </c>
      <c r="R1212">
        <v>2024</v>
      </c>
      <c r="S1212" t="s">
        <v>40</v>
      </c>
    </row>
    <row r="1213" spans="1:19" x14ac:dyDescent="0.3">
      <c r="A1213" t="s">
        <v>201</v>
      </c>
      <c r="B1213" s="1">
        <v>46013</v>
      </c>
      <c r="C1213" t="s">
        <v>54</v>
      </c>
      <c r="D1213" t="s">
        <v>55</v>
      </c>
      <c r="E1213" t="s">
        <v>32</v>
      </c>
      <c r="F1213" t="s">
        <v>33</v>
      </c>
      <c r="G1213">
        <v>36584.629999999997</v>
      </c>
      <c r="J1213">
        <v>35040.65</v>
      </c>
      <c r="K1213">
        <v>14970.74</v>
      </c>
      <c r="L1213">
        <v>122512.33</v>
      </c>
      <c r="M1213">
        <v>1176</v>
      </c>
      <c r="N1213">
        <v>-5.0799999999999998E-2</v>
      </c>
      <c r="P1213">
        <v>0.1222</v>
      </c>
      <c r="Q1213" t="s">
        <v>66</v>
      </c>
      <c r="R1213">
        <v>2025</v>
      </c>
      <c r="S1213" t="s">
        <v>25</v>
      </c>
    </row>
    <row r="1214" spans="1:19" x14ac:dyDescent="0.3">
      <c r="A1214" t="s">
        <v>99</v>
      </c>
      <c r="B1214" s="1">
        <v>45583</v>
      </c>
      <c r="C1214" t="s">
        <v>61</v>
      </c>
      <c r="D1214" t="s">
        <v>74</v>
      </c>
      <c r="E1214" t="s">
        <v>22</v>
      </c>
      <c r="F1214" t="s">
        <v>23</v>
      </c>
      <c r="H1214">
        <v>29601.11</v>
      </c>
      <c r="J1214">
        <v>59558.93</v>
      </c>
      <c r="K1214">
        <v>57619.07</v>
      </c>
      <c r="L1214">
        <v>237536.47</v>
      </c>
      <c r="M1214">
        <v>1056</v>
      </c>
      <c r="N1214">
        <v>5.3600000000000002E-2</v>
      </c>
      <c r="P1214">
        <v>0.24260000000000001</v>
      </c>
      <c r="Q1214" t="s">
        <v>52</v>
      </c>
      <c r="R1214">
        <v>2024</v>
      </c>
      <c r="S1214" t="s">
        <v>25</v>
      </c>
    </row>
    <row r="1215" spans="1:19" x14ac:dyDescent="0.3">
      <c r="A1215" t="s">
        <v>355</v>
      </c>
      <c r="B1215" s="1">
        <v>45994</v>
      </c>
      <c r="C1215" t="s">
        <v>54</v>
      </c>
      <c r="D1215" t="s">
        <v>55</v>
      </c>
      <c r="E1215" t="s">
        <v>38</v>
      </c>
      <c r="F1215" t="s">
        <v>23</v>
      </c>
      <c r="H1215">
        <v>18306</v>
      </c>
      <c r="J1215">
        <v>24165.85</v>
      </c>
      <c r="K1215">
        <v>109061.49</v>
      </c>
      <c r="L1215">
        <v>192901.84</v>
      </c>
      <c r="M1215">
        <v>501</v>
      </c>
      <c r="N1215">
        <v>6.1699999999999998E-2</v>
      </c>
      <c r="P1215">
        <v>0.56540000000000001</v>
      </c>
      <c r="Q1215" t="s">
        <v>66</v>
      </c>
      <c r="R1215">
        <v>2025</v>
      </c>
      <c r="S1215" t="s">
        <v>40</v>
      </c>
    </row>
    <row r="1216" spans="1:19" x14ac:dyDescent="0.3">
      <c r="A1216" t="s">
        <v>670</v>
      </c>
      <c r="B1216" s="1">
        <v>45898</v>
      </c>
      <c r="C1216" t="s">
        <v>68</v>
      </c>
      <c r="D1216" t="s">
        <v>69</v>
      </c>
      <c r="E1216" t="s">
        <v>38</v>
      </c>
      <c r="F1216" t="s">
        <v>23</v>
      </c>
      <c r="G1216">
        <v>54773.68</v>
      </c>
      <c r="H1216">
        <v>34417.879999999997</v>
      </c>
      <c r="I1216">
        <v>20355.8</v>
      </c>
      <c r="J1216">
        <v>22233.15</v>
      </c>
      <c r="K1216">
        <v>16995.759999999998</v>
      </c>
      <c r="L1216">
        <v>111761.48</v>
      </c>
      <c r="M1216">
        <v>1429</v>
      </c>
      <c r="N1216">
        <v>-2.06E-2</v>
      </c>
      <c r="O1216">
        <v>0.37159999999999999</v>
      </c>
      <c r="P1216">
        <v>0.15210000000000001</v>
      </c>
      <c r="Q1216" t="s">
        <v>24</v>
      </c>
      <c r="R1216">
        <v>2025</v>
      </c>
      <c r="S1216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FAA1F-B4ED-458F-89AB-A9A5419A2A29}">
  <dimension ref="A1:S1201"/>
  <sheetViews>
    <sheetView topLeftCell="E1175" workbookViewId="0"/>
  </sheetViews>
  <sheetFormatPr defaultRowHeight="14.4" x14ac:dyDescent="0.3"/>
  <cols>
    <col min="1" max="1" width="15.109375" customWidth="1"/>
    <col min="2" max="2" width="14.33203125" style="4" bestFit="1" customWidth="1"/>
    <col min="3" max="3" width="18.44140625" bestFit="1" customWidth="1"/>
    <col min="4" max="4" width="18.33203125" bestFit="1" customWidth="1"/>
    <col min="5" max="5" width="12.6640625" bestFit="1" customWidth="1"/>
    <col min="6" max="6" width="10.33203125" customWidth="1"/>
    <col min="7" max="7" width="10" bestFit="1" customWidth="1"/>
    <col min="8" max="8" width="19.6640625" customWidth="1"/>
    <col min="9" max="9" width="22.44140625" customWidth="1"/>
    <col min="10" max="11" width="10" bestFit="1" customWidth="1"/>
    <col min="12" max="12" width="13.21875" customWidth="1"/>
    <col min="13" max="13" width="12" customWidth="1"/>
    <col min="14" max="14" width="13.88671875" customWidth="1"/>
    <col min="15" max="15" width="13.77734375" customWidth="1"/>
    <col min="16" max="16" width="15.5546875" customWidth="1"/>
    <col min="17" max="17" width="9.21875" customWidth="1"/>
    <col min="18" max="18" width="6.5546875" customWidth="1"/>
    <col min="19" max="19" width="11.5546875" customWidth="1"/>
  </cols>
  <sheetData>
    <row r="1" spans="1:19" x14ac:dyDescent="0.3">
      <c r="A1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>
        <v>45856</v>
      </c>
      <c r="C2" t="s">
        <v>20</v>
      </c>
      <c r="D2" t="s">
        <v>21</v>
      </c>
      <c r="E2" t="s">
        <v>22</v>
      </c>
      <c r="F2" t="s">
        <v>23</v>
      </c>
      <c r="G2">
        <v>111412.81</v>
      </c>
      <c r="H2">
        <v>67708.56</v>
      </c>
      <c r="I2">
        <v>43704.25</v>
      </c>
      <c r="J2">
        <v>95427.39</v>
      </c>
      <c r="K2">
        <v>33631.99</v>
      </c>
      <c r="L2">
        <v>223184.54</v>
      </c>
      <c r="M2">
        <v>691</v>
      </c>
      <c r="N2">
        <v>-2.9399999999999999E-2</v>
      </c>
      <c r="O2">
        <f>(ROUND(I2/G2,4))</f>
        <v>0.39229999999999998</v>
      </c>
      <c r="P2">
        <f>ROUND(K2/L2,4)</f>
        <v>0.1507</v>
      </c>
      <c r="Q2" t="s">
        <v>24</v>
      </c>
      <c r="R2">
        <v>2025</v>
      </c>
      <c r="S2" t="s">
        <v>25</v>
      </c>
    </row>
    <row r="3" spans="1:19" x14ac:dyDescent="0.3">
      <c r="A3" t="s">
        <v>26</v>
      </c>
      <c r="B3">
        <v>45899</v>
      </c>
      <c r="C3" t="s">
        <v>27</v>
      </c>
      <c r="D3" t="s">
        <v>28</v>
      </c>
      <c r="E3" t="s">
        <v>22</v>
      </c>
      <c r="F3" t="s">
        <v>23</v>
      </c>
      <c r="G3">
        <v>13384.37</v>
      </c>
      <c r="H3">
        <v>8803.64</v>
      </c>
      <c r="I3">
        <v>4580.7299999999996</v>
      </c>
      <c r="J3">
        <v>63911.77</v>
      </c>
      <c r="K3">
        <v>11964.93</v>
      </c>
      <c r="L3">
        <v>139699.03</v>
      </c>
      <c r="M3">
        <v>596</v>
      </c>
      <c r="N3">
        <v>-9.5899999999999999E-2</v>
      </c>
      <c r="O3">
        <f t="shared" ref="O3:O66" si="0">(ROUND(I3/G3,4))</f>
        <v>0.3422</v>
      </c>
      <c r="P3">
        <f t="shared" ref="P3:P66" si="1">ROUND(K3/L3,4)</f>
        <v>8.5599999999999996E-2</v>
      </c>
      <c r="Q3" t="s">
        <v>24</v>
      </c>
      <c r="R3">
        <v>2025</v>
      </c>
      <c r="S3" t="s">
        <v>25</v>
      </c>
    </row>
    <row r="4" spans="1:19" x14ac:dyDescent="0.3">
      <c r="A4" t="s">
        <v>29</v>
      </c>
      <c r="B4">
        <v>45829</v>
      </c>
      <c r="C4" t="s">
        <v>30</v>
      </c>
      <c r="D4" t="s">
        <v>31</v>
      </c>
      <c r="E4" t="s">
        <v>32</v>
      </c>
      <c r="F4" t="s">
        <v>23</v>
      </c>
      <c r="G4">
        <v>58779.937550000002</v>
      </c>
      <c r="H4">
        <v>45542.2</v>
      </c>
      <c r="I4">
        <v>13237.73</v>
      </c>
      <c r="J4">
        <v>40662.050000000003</v>
      </c>
      <c r="K4">
        <v>19057.22</v>
      </c>
      <c r="L4">
        <v>180185.01</v>
      </c>
      <c r="M4">
        <v>1023</v>
      </c>
      <c r="N4">
        <v>-3.7699999999999997E-2</v>
      </c>
      <c r="O4">
        <f t="shared" si="0"/>
        <v>0.22520000000000001</v>
      </c>
      <c r="P4">
        <f t="shared" si="1"/>
        <v>0.10580000000000001</v>
      </c>
      <c r="Q4" t="s">
        <v>34</v>
      </c>
      <c r="R4">
        <v>2025</v>
      </c>
      <c r="S4" t="s">
        <v>25</v>
      </c>
    </row>
    <row r="5" spans="1:19" x14ac:dyDescent="0.3">
      <c r="A5" t="s">
        <v>35</v>
      </c>
      <c r="B5">
        <v>45070</v>
      </c>
      <c r="C5" t="s">
        <v>36</v>
      </c>
      <c r="D5" t="s">
        <v>37</v>
      </c>
      <c r="E5" t="s">
        <v>38</v>
      </c>
      <c r="F5" t="s">
        <v>23</v>
      </c>
      <c r="G5">
        <v>57566.09</v>
      </c>
      <c r="H5">
        <v>39990.720000000001</v>
      </c>
      <c r="I5">
        <v>17575.37</v>
      </c>
      <c r="J5">
        <v>42740.2</v>
      </c>
      <c r="K5">
        <v>42314.720000000001</v>
      </c>
      <c r="L5">
        <v>78040.97</v>
      </c>
      <c r="M5">
        <v>482</v>
      </c>
      <c r="N5">
        <v>-1.6500000000000001E-2</v>
      </c>
      <c r="O5">
        <f t="shared" si="0"/>
        <v>0.30530000000000002</v>
      </c>
      <c r="P5">
        <f t="shared" si="1"/>
        <v>0.54220000000000002</v>
      </c>
      <c r="Q5" t="s">
        <v>39</v>
      </c>
      <c r="R5">
        <v>2023</v>
      </c>
      <c r="S5" t="s">
        <v>40</v>
      </c>
    </row>
    <row r="6" spans="1:19" x14ac:dyDescent="0.3">
      <c r="A6" t="s">
        <v>41</v>
      </c>
      <c r="B6">
        <v>45264</v>
      </c>
      <c r="C6" t="s">
        <v>42</v>
      </c>
      <c r="D6" t="s">
        <v>43</v>
      </c>
      <c r="E6" t="s">
        <v>38</v>
      </c>
      <c r="F6" t="s">
        <v>23</v>
      </c>
      <c r="G6">
        <v>65213.01</v>
      </c>
      <c r="H6">
        <v>45401.66</v>
      </c>
      <c r="I6">
        <v>19811.349999999999</v>
      </c>
      <c r="J6">
        <v>76162.53</v>
      </c>
      <c r="K6">
        <v>30888.99</v>
      </c>
      <c r="L6">
        <v>152517.56</v>
      </c>
      <c r="M6">
        <v>1255</v>
      </c>
      <c r="N6">
        <v>-0.12770000000000001</v>
      </c>
      <c r="O6">
        <f t="shared" si="0"/>
        <v>0.30380000000000001</v>
      </c>
      <c r="P6">
        <f t="shared" si="1"/>
        <v>0.20250000000000001</v>
      </c>
      <c r="Q6" t="s">
        <v>44</v>
      </c>
      <c r="R6">
        <v>2023</v>
      </c>
      <c r="S6" t="s">
        <v>25</v>
      </c>
    </row>
    <row r="7" spans="1:19" x14ac:dyDescent="0.3">
      <c r="A7" t="s">
        <v>45</v>
      </c>
      <c r="B7">
        <v>44857</v>
      </c>
      <c r="C7" t="s">
        <v>36</v>
      </c>
      <c r="D7" t="s">
        <v>37</v>
      </c>
      <c r="E7" t="s">
        <v>38</v>
      </c>
      <c r="F7" t="s">
        <v>23</v>
      </c>
      <c r="G7">
        <v>99466.44</v>
      </c>
      <c r="H7">
        <v>74568.61</v>
      </c>
      <c r="I7">
        <v>24897.83</v>
      </c>
      <c r="J7">
        <v>52126.74</v>
      </c>
      <c r="K7">
        <v>38896.25</v>
      </c>
      <c r="L7">
        <v>115986.37</v>
      </c>
      <c r="M7">
        <v>455</v>
      </c>
      <c r="N7">
        <v>6.4100000000000004E-2</v>
      </c>
      <c r="O7">
        <f t="shared" si="0"/>
        <v>0.25030000000000002</v>
      </c>
      <c r="P7">
        <f t="shared" si="1"/>
        <v>0.33539999999999998</v>
      </c>
      <c r="Q7" t="s">
        <v>46</v>
      </c>
      <c r="R7">
        <v>2022</v>
      </c>
      <c r="S7" t="s">
        <v>40</v>
      </c>
    </row>
    <row r="8" spans="1:19" x14ac:dyDescent="0.3">
      <c r="A8" t="s">
        <v>47</v>
      </c>
      <c r="B8">
        <v>45082</v>
      </c>
      <c r="C8" t="s">
        <v>48</v>
      </c>
      <c r="D8" t="s">
        <v>49</v>
      </c>
      <c r="E8" t="s">
        <v>38</v>
      </c>
      <c r="F8" t="s">
        <v>23</v>
      </c>
      <c r="G8">
        <v>47098.7</v>
      </c>
      <c r="H8">
        <v>26000.52</v>
      </c>
      <c r="I8">
        <v>21098.18</v>
      </c>
      <c r="J8">
        <v>50421.52</v>
      </c>
      <c r="K8">
        <v>42860.17</v>
      </c>
      <c r="L8">
        <v>166940.72</v>
      </c>
      <c r="M8">
        <v>1342</v>
      </c>
      <c r="N8">
        <v>6.6600000000000006E-2</v>
      </c>
      <c r="O8">
        <f t="shared" si="0"/>
        <v>0.44800000000000001</v>
      </c>
      <c r="P8">
        <f t="shared" si="1"/>
        <v>0.25669999999999998</v>
      </c>
      <c r="Q8" t="s">
        <v>39</v>
      </c>
      <c r="R8">
        <v>2023</v>
      </c>
      <c r="S8" t="s">
        <v>25</v>
      </c>
    </row>
    <row r="9" spans="1:19" x14ac:dyDescent="0.3">
      <c r="A9" t="s">
        <v>50</v>
      </c>
      <c r="B9">
        <v>45579</v>
      </c>
      <c r="C9" t="s">
        <v>27</v>
      </c>
      <c r="D9" t="s">
        <v>28</v>
      </c>
      <c r="E9" t="s">
        <v>51</v>
      </c>
      <c r="F9" t="s">
        <v>23</v>
      </c>
      <c r="G9">
        <v>27438.44</v>
      </c>
      <c r="H9">
        <v>15736.4</v>
      </c>
      <c r="I9">
        <v>11702.04</v>
      </c>
      <c r="J9">
        <v>70951.58</v>
      </c>
      <c r="K9">
        <v>11102.57</v>
      </c>
      <c r="L9">
        <v>95363.94</v>
      </c>
      <c r="M9">
        <v>1294</v>
      </c>
      <c r="N9">
        <v>0.11169999999999999</v>
      </c>
      <c r="O9">
        <f t="shared" si="0"/>
        <v>0.42649999999999999</v>
      </c>
      <c r="P9">
        <f t="shared" si="1"/>
        <v>0.1164</v>
      </c>
      <c r="Q9" t="s">
        <v>52</v>
      </c>
      <c r="R9">
        <v>2024</v>
      </c>
      <c r="S9" t="s">
        <v>25</v>
      </c>
    </row>
    <row r="10" spans="1:19" x14ac:dyDescent="0.3">
      <c r="A10" t="s">
        <v>53</v>
      </c>
      <c r="B10">
        <v>45174</v>
      </c>
      <c r="C10" t="s">
        <v>54</v>
      </c>
      <c r="D10" t="s">
        <v>55</v>
      </c>
      <c r="E10" t="s">
        <v>32</v>
      </c>
      <c r="F10" t="s">
        <v>23</v>
      </c>
      <c r="G10">
        <v>45636.299350000001</v>
      </c>
      <c r="H10">
        <v>29423.79</v>
      </c>
      <c r="I10">
        <v>16212.51</v>
      </c>
      <c r="J10">
        <v>65143.66</v>
      </c>
      <c r="K10">
        <v>27309.17</v>
      </c>
      <c r="L10">
        <v>98374.6</v>
      </c>
      <c r="M10">
        <v>960</v>
      </c>
      <c r="N10">
        <v>1.5E-3</v>
      </c>
      <c r="O10">
        <f t="shared" si="0"/>
        <v>0.3553</v>
      </c>
      <c r="P10">
        <f t="shared" si="1"/>
        <v>0.27760000000000001</v>
      </c>
      <c r="Q10" t="s">
        <v>56</v>
      </c>
      <c r="R10">
        <v>2023</v>
      </c>
      <c r="S10" t="s">
        <v>25</v>
      </c>
    </row>
    <row r="11" spans="1:19" x14ac:dyDescent="0.3">
      <c r="A11" t="s">
        <v>57</v>
      </c>
      <c r="B11">
        <v>44657</v>
      </c>
      <c r="C11" t="s">
        <v>48</v>
      </c>
      <c r="D11" t="s">
        <v>49</v>
      </c>
      <c r="E11" t="s">
        <v>38</v>
      </c>
      <c r="F11" t="s">
        <v>23</v>
      </c>
      <c r="G11">
        <v>43987.86</v>
      </c>
      <c r="H11">
        <v>34030.519999999997</v>
      </c>
      <c r="I11">
        <v>9957.34</v>
      </c>
      <c r="J11">
        <v>44212.38</v>
      </c>
      <c r="K11">
        <v>8648.34</v>
      </c>
      <c r="L11">
        <v>113273.88</v>
      </c>
      <c r="M11">
        <v>954</v>
      </c>
      <c r="N11">
        <v>5.5599999999999997E-2</v>
      </c>
      <c r="O11">
        <f t="shared" si="0"/>
        <v>0.22639999999999999</v>
      </c>
      <c r="P11">
        <f t="shared" si="1"/>
        <v>7.6300000000000007E-2</v>
      </c>
      <c r="Q11" t="s">
        <v>58</v>
      </c>
      <c r="R11">
        <v>2022</v>
      </c>
      <c r="S11" t="s">
        <v>25</v>
      </c>
    </row>
    <row r="12" spans="1:19" x14ac:dyDescent="0.3">
      <c r="A12" t="s">
        <v>59</v>
      </c>
      <c r="B12">
        <v>45139</v>
      </c>
      <c r="C12" t="s">
        <v>30</v>
      </c>
      <c r="D12" t="s">
        <v>31</v>
      </c>
      <c r="E12" t="s">
        <v>38</v>
      </c>
      <c r="F12" t="s">
        <v>23</v>
      </c>
      <c r="G12">
        <v>28182.91</v>
      </c>
      <c r="H12">
        <v>16600.66</v>
      </c>
      <c r="I12">
        <v>11582.25</v>
      </c>
      <c r="J12">
        <v>61380.08</v>
      </c>
      <c r="K12">
        <v>8217.82</v>
      </c>
      <c r="L12">
        <v>111811.23</v>
      </c>
      <c r="M12">
        <v>1384</v>
      </c>
      <c r="N12">
        <v>-5.7000000000000002E-3</v>
      </c>
      <c r="O12">
        <f t="shared" si="0"/>
        <v>0.41099999999999998</v>
      </c>
      <c r="P12">
        <f t="shared" si="1"/>
        <v>7.3499999999999996E-2</v>
      </c>
      <c r="Q12" t="s">
        <v>56</v>
      </c>
      <c r="R12">
        <v>2023</v>
      </c>
      <c r="S12" t="s">
        <v>25</v>
      </c>
    </row>
    <row r="13" spans="1:19" x14ac:dyDescent="0.3">
      <c r="A13" t="s">
        <v>60</v>
      </c>
      <c r="B13">
        <v>45816</v>
      </c>
      <c r="C13" t="s">
        <v>61</v>
      </c>
      <c r="D13" t="s">
        <v>74</v>
      </c>
      <c r="E13" t="s">
        <v>38</v>
      </c>
      <c r="F13" t="s">
        <v>23</v>
      </c>
      <c r="G13">
        <v>61832.22</v>
      </c>
      <c r="H13">
        <v>48825.53</v>
      </c>
      <c r="I13">
        <v>13006.69</v>
      </c>
      <c r="J13">
        <v>45372.84</v>
      </c>
      <c r="K13">
        <v>13410</v>
      </c>
      <c r="L13">
        <v>86319.17</v>
      </c>
      <c r="M13">
        <v>497</v>
      </c>
      <c r="N13">
        <v>0.23080000000000001</v>
      </c>
      <c r="O13">
        <f t="shared" si="0"/>
        <v>0.2104</v>
      </c>
      <c r="P13">
        <f t="shared" si="1"/>
        <v>0.15540000000000001</v>
      </c>
      <c r="Q13" t="s">
        <v>34</v>
      </c>
      <c r="R13">
        <v>2025</v>
      </c>
      <c r="S13" t="s">
        <v>25</v>
      </c>
    </row>
    <row r="14" spans="1:19" x14ac:dyDescent="0.3">
      <c r="A14" t="s">
        <v>63</v>
      </c>
      <c r="B14">
        <v>45245</v>
      </c>
      <c r="C14" t="s">
        <v>48</v>
      </c>
      <c r="D14" t="s">
        <v>49</v>
      </c>
      <c r="E14" t="s">
        <v>38</v>
      </c>
      <c r="F14" t="s">
        <v>23</v>
      </c>
      <c r="G14">
        <v>47432.39</v>
      </c>
      <c r="H14">
        <v>29927.119999999999</v>
      </c>
      <c r="I14">
        <v>17505.27</v>
      </c>
      <c r="J14">
        <v>22933.38</v>
      </c>
      <c r="K14">
        <v>5047.8599999999997</v>
      </c>
      <c r="L14">
        <v>177411.14</v>
      </c>
      <c r="M14">
        <v>891</v>
      </c>
      <c r="N14">
        <v>7.9000000000000008E-3</v>
      </c>
      <c r="O14">
        <f t="shared" si="0"/>
        <v>0.36909999999999998</v>
      </c>
      <c r="P14">
        <f t="shared" si="1"/>
        <v>2.8500000000000001E-2</v>
      </c>
      <c r="Q14" t="s">
        <v>44</v>
      </c>
      <c r="R14">
        <v>2023</v>
      </c>
      <c r="S14" t="s">
        <v>25</v>
      </c>
    </row>
    <row r="15" spans="1:19" x14ac:dyDescent="0.3">
      <c r="A15" t="s">
        <v>64</v>
      </c>
      <c r="B15">
        <v>45971</v>
      </c>
      <c r="C15" t="s">
        <v>36</v>
      </c>
      <c r="D15" t="s">
        <v>37</v>
      </c>
      <c r="E15" t="s">
        <v>32</v>
      </c>
      <c r="F15" t="s">
        <v>23</v>
      </c>
      <c r="G15">
        <v>44671.34</v>
      </c>
      <c r="H15">
        <v>41060.29</v>
      </c>
      <c r="I15">
        <v>3611.05</v>
      </c>
      <c r="J15">
        <v>45260.54</v>
      </c>
      <c r="K15">
        <v>18893.759999999998</v>
      </c>
      <c r="L15">
        <v>101472.02</v>
      </c>
      <c r="M15">
        <v>1566</v>
      </c>
      <c r="N15">
        <v>-9.7000000000000003E-2</v>
      </c>
      <c r="O15">
        <f t="shared" si="0"/>
        <v>8.0799999999999997E-2</v>
      </c>
      <c r="P15">
        <f t="shared" si="1"/>
        <v>0.1862</v>
      </c>
      <c r="Q15" t="s">
        <v>66</v>
      </c>
      <c r="R15">
        <v>2025</v>
      </c>
      <c r="S15" t="s">
        <v>25</v>
      </c>
    </row>
    <row r="16" spans="1:19" x14ac:dyDescent="0.3">
      <c r="A16" t="s">
        <v>67</v>
      </c>
      <c r="B16">
        <v>45291</v>
      </c>
      <c r="C16" t="s">
        <v>1282</v>
      </c>
      <c r="D16" t="s">
        <v>69</v>
      </c>
      <c r="E16" t="s">
        <v>32</v>
      </c>
      <c r="F16" t="s">
        <v>23</v>
      </c>
      <c r="G16">
        <v>176000.03390000001</v>
      </c>
      <c r="H16">
        <v>112274.98</v>
      </c>
      <c r="I16">
        <v>63725.06</v>
      </c>
      <c r="J16">
        <v>63688.4</v>
      </c>
      <c r="K16">
        <v>16219.06</v>
      </c>
      <c r="L16">
        <v>257262.65</v>
      </c>
      <c r="M16">
        <v>1689</v>
      </c>
      <c r="N16">
        <v>0.1144</v>
      </c>
      <c r="O16">
        <f t="shared" si="0"/>
        <v>0.36209999999999998</v>
      </c>
      <c r="P16">
        <f t="shared" si="1"/>
        <v>6.3E-2</v>
      </c>
      <c r="Q16" t="s">
        <v>44</v>
      </c>
      <c r="R16">
        <v>2023</v>
      </c>
      <c r="S16" t="s">
        <v>25</v>
      </c>
    </row>
    <row r="17" spans="1:19" x14ac:dyDescent="0.3">
      <c r="A17" t="s">
        <v>70</v>
      </c>
      <c r="B17">
        <v>44705</v>
      </c>
      <c r="C17" t="s">
        <v>54</v>
      </c>
      <c r="D17" t="s">
        <v>55</v>
      </c>
      <c r="E17" t="s">
        <v>22</v>
      </c>
      <c r="F17" t="s">
        <v>23</v>
      </c>
      <c r="G17">
        <v>53064.79</v>
      </c>
      <c r="H17">
        <v>32847.730000000003</v>
      </c>
      <c r="I17">
        <v>20217.060000000001</v>
      </c>
      <c r="J17">
        <v>62706.09</v>
      </c>
      <c r="K17">
        <v>29135.75</v>
      </c>
      <c r="L17">
        <v>103749.81</v>
      </c>
      <c r="M17">
        <v>446</v>
      </c>
      <c r="N17">
        <v>1.5100000000000001E-2</v>
      </c>
      <c r="O17">
        <f t="shared" si="0"/>
        <v>0.38100000000000001</v>
      </c>
      <c r="P17">
        <f t="shared" si="1"/>
        <v>0.28079999999999999</v>
      </c>
      <c r="Q17" t="s">
        <v>58</v>
      </c>
      <c r="R17">
        <v>2022</v>
      </c>
      <c r="S17" t="s">
        <v>25</v>
      </c>
    </row>
    <row r="18" spans="1:19" x14ac:dyDescent="0.3">
      <c r="A18" t="s">
        <v>71</v>
      </c>
      <c r="B18">
        <v>45490</v>
      </c>
      <c r="C18" t="s">
        <v>20</v>
      </c>
      <c r="D18" t="s">
        <v>21</v>
      </c>
      <c r="E18" t="s">
        <v>38</v>
      </c>
      <c r="F18" t="s">
        <v>23</v>
      </c>
      <c r="G18">
        <v>96587.86</v>
      </c>
      <c r="H18">
        <v>83061</v>
      </c>
      <c r="I18">
        <v>13526.86</v>
      </c>
      <c r="J18">
        <v>5832.56</v>
      </c>
      <c r="K18">
        <v>68553.25</v>
      </c>
      <c r="L18">
        <v>121097.4</v>
      </c>
      <c r="M18">
        <v>984</v>
      </c>
      <c r="N18">
        <v>-9.8299999999999998E-2</v>
      </c>
      <c r="O18">
        <f t="shared" si="0"/>
        <v>0.14000000000000001</v>
      </c>
      <c r="P18">
        <f t="shared" si="1"/>
        <v>0.56610000000000005</v>
      </c>
      <c r="Q18" t="s">
        <v>72</v>
      </c>
      <c r="R18">
        <v>2024</v>
      </c>
      <c r="S18" t="s">
        <v>40</v>
      </c>
    </row>
    <row r="19" spans="1:19" x14ac:dyDescent="0.3">
      <c r="A19" t="s">
        <v>73</v>
      </c>
      <c r="B19">
        <v>44705</v>
      </c>
      <c r="C19" t="s">
        <v>61</v>
      </c>
      <c r="D19" t="s">
        <v>74</v>
      </c>
      <c r="E19" t="s">
        <v>38</v>
      </c>
      <c r="F19" t="s">
        <v>23</v>
      </c>
      <c r="G19">
        <v>84782.88</v>
      </c>
      <c r="H19">
        <v>63245.55</v>
      </c>
      <c r="I19">
        <v>21537.33</v>
      </c>
      <c r="J19">
        <v>82043.09</v>
      </c>
      <c r="K19">
        <v>20752.189999999999</v>
      </c>
      <c r="L19">
        <v>133350.99</v>
      </c>
      <c r="M19">
        <v>469</v>
      </c>
      <c r="N19">
        <v>9.9299999999999999E-2</v>
      </c>
      <c r="O19">
        <f t="shared" si="0"/>
        <v>0.254</v>
      </c>
      <c r="P19">
        <f t="shared" si="1"/>
        <v>0.15559999999999999</v>
      </c>
      <c r="Q19" t="s">
        <v>58</v>
      </c>
      <c r="R19">
        <v>2022</v>
      </c>
      <c r="S19" t="s">
        <v>25</v>
      </c>
    </row>
    <row r="20" spans="1:19" x14ac:dyDescent="0.3">
      <c r="A20" t="s">
        <v>75</v>
      </c>
      <c r="B20">
        <v>44769</v>
      </c>
      <c r="C20" t="s">
        <v>30</v>
      </c>
      <c r="D20" t="s">
        <v>31</v>
      </c>
      <c r="E20" t="s">
        <v>22</v>
      </c>
      <c r="F20" t="s">
        <v>23</v>
      </c>
      <c r="G20">
        <v>109257.91</v>
      </c>
      <c r="H20">
        <v>63493.25</v>
      </c>
      <c r="I20">
        <v>45764.66</v>
      </c>
      <c r="J20">
        <v>77029.95</v>
      </c>
      <c r="K20">
        <v>34011.64</v>
      </c>
      <c r="L20">
        <v>112069.63</v>
      </c>
      <c r="M20">
        <v>2078</v>
      </c>
      <c r="N20">
        <v>4.5499999999999999E-2</v>
      </c>
      <c r="O20">
        <f t="shared" si="0"/>
        <v>0.41889999999999999</v>
      </c>
      <c r="P20">
        <f t="shared" si="1"/>
        <v>0.30349999999999999</v>
      </c>
      <c r="Q20" t="s">
        <v>76</v>
      </c>
      <c r="R20">
        <v>2022</v>
      </c>
      <c r="S20" t="s">
        <v>40</v>
      </c>
    </row>
    <row r="21" spans="1:19" x14ac:dyDescent="0.3">
      <c r="A21" t="s">
        <v>77</v>
      </c>
      <c r="B21">
        <v>45362</v>
      </c>
      <c r="C21" t="s">
        <v>78</v>
      </c>
      <c r="D21" t="s">
        <v>79</v>
      </c>
      <c r="E21" t="s">
        <v>38</v>
      </c>
      <c r="F21" t="s">
        <v>23</v>
      </c>
      <c r="G21">
        <v>30805.599999999999</v>
      </c>
      <c r="H21">
        <v>21120.12</v>
      </c>
      <c r="I21">
        <v>9685.48</v>
      </c>
      <c r="J21">
        <v>32283.08</v>
      </c>
      <c r="K21">
        <v>53840.63</v>
      </c>
      <c r="L21">
        <v>155144.26</v>
      </c>
      <c r="M21">
        <v>1083</v>
      </c>
      <c r="N21">
        <v>-0.13150000000000001</v>
      </c>
      <c r="O21">
        <f t="shared" si="0"/>
        <v>0.31440000000000001</v>
      </c>
      <c r="P21">
        <f t="shared" si="1"/>
        <v>0.34699999999999998</v>
      </c>
      <c r="Q21" t="s">
        <v>80</v>
      </c>
      <c r="R21">
        <v>2024</v>
      </c>
      <c r="S21" t="s">
        <v>40</v>
      </c>
    </row>
    <row r="22" spans="1:19" x14ac:dyDescent="0.3">
      <c r="A22" t="s">
        <v>81</v>
      </c>
      <c r="B22">
        <v>45960</v>
      </c>
      <c r="C22" t="s">
        <v>54</v>
      </c>
      <c r="D22" t="s">
        <v>55</v>
      </c>
      <c r="E22" t="s">
        <v>32</v>
      </c>
      <c r="F22" t="s">
        <v>23</v>
      </c>
      <c r="G22">
        <v>118913.3796</v>
      </c>
      <c r="H22">
        <v>108471.64</v>
      </c>
      <c r="I22">
        <v>10441.74</v>
      </c>
      <c r="J22">
        <v>13181.87</v>
      </c>
      <c r="K22">
        <v>63819.519999999997</v>
      </c>
      <c r="L22">
        <v>80226.289999999994</v>
      </c>
      <c r="M22">
        <v>375</v>
      </c>
      <c r="N22">
        <v>-5.3600000000000002E-2</v>
      </c>
      <c r="O22">
        <f t="shared" si="0"/>
        <v>8.7800000000000003E-2</v>
      </c>
      <c r="P22">
        <f t="shared" si="1"/>
        <v>0.79549999999999998</v>
      </c>
      <c r="Q22" t="s">
        <v>66</v>
      </c>
      <c r="R22">
        <v>2025</v>
      </c>
      <c r="S22" t="s">
        <v>82</v>
      </c>
    </row>
    <row r="23" spans="1:19" x14ac:dyDescent="0.3">
      <c r="A23" t="s">
        <v>83</v>
      </c>
      <c r="B23">
        <v>45521</v>
      </c>
      <c r="C23" t="s">
        <v>48</v>
      </c>
      <c r="D23" t="s">
        <v>49</v>
      </c>
      <c r="E23" t="s">
        <v>32</v>
      </c>
      <c r="F23" t="s">
        <v>23</v>
      </c>
      <c r="G23">
        <v>65701.508350000004</v>
      </c>
      <c r="H23">
        <v>48271</v>
      </c>
      <c r="I23">
        <v>17430.509999999998</v>
      </c>
      <c r="J23">
        <v>53525.99</v>
      </c>
      <c r="K23">
        <v>100637.84</v>
      </c>
      <c r="L23">
        <v>145843.15</v>
      </c>
      <c r="M23">
        <v>402</v>
      </c>
      <c r="N23">
        <v>-8.2000000000000007E-3</v>
      </c>
      <c r="O23">
        <f t="shared" si="0"/>
        <v>0.26529999999999998</v>
      </c>
      <c r="P23">
        <f t="shared" si="1"/>
        <v>0.69</v>
      </c>
      <c r="Q23" t="s">
        <v>72</v>
      </c>
      <c r="R23">
        <v>2024</v>
      </c>
      <c r="S23" t="s">
        <v>82</v>
      </c>
    </row>
    <row r="24" spans="1:19" x14ac:dyDescent="0.3">
      <c r="A24" t="s">
        <v>84</v>
      </c>
      <c r="B24">
        <v>45622</v>
      </c>
      <c r="C24" t="s">
        <v>85</v>
      </c>
      <c r="D24" t="s">
        <v>86</v>
      </c>
      <c r="E24" t="s">
        <v>32</v>
      </c>
      <c r="F24" t="s">
        <v>23</v>
      </c>
      <c r="G24">
        <v>77243.543449999997</v>
      </c>
      <c r="H24">
        <v>70111.05</v>
      </c>
      <c r="I24">
        <v>7132.49</v>
      </c>
      <c r="J24">
        <v>63173.69</v>
      </c>
      <c r="K24">
        <v>15645.99</v>
      </c>
      <c r="L24">
        <v>85184.06</v>
      </c>
      <c r="M24">
        <v>734</v>
      </c>
      <c r="N24">
        <v>7.4200000000000002E-2</v>
      </c>
      <c r="O24">
        <f t="shared" si="0"/>
        <v>9.2299999999999993E-2</v>
      </c>
      <c r="P24">
        <f t="shared" si="1"/>
        <v>0.1837</v>
      </c>
      <c r="Q24" t="s">
        <v>52</v>
      </c>
      <c r="R24">
        <v>2024</v>
      </c>
      <c r="S24" t="s">
        <v>25</v>
      </c>
    </row>
    <row r="25" spans="1:19" x14ac:dyDescent="0.3">
      <c r="A25" t="s">
        <v>87</v>
      </c>
      <c r="B25">
        <v>45127</v>
      </c>
      <c r="C25" t="s">
        <v>1282</v>
      </c>
      <c r="D25" t="s">
        <v>69</v>
      </c>
      <c r="E25" t="s">
        <v>32</v>
      </c>
      <c r="F25" t="s">
        <v>23</v>
      </c>
      <c r="G25">
        <v>126115.48685</v>
      </c>
      <c r="H25">
        <v>73898.039999999994</v>
      </c>
      <c r="I25">
        <v>52217.45</v>
      </c>
      <c r="J25">
        <v>129244.45</v>
      </c>
      <c r="K25">
        <v>32272.52</v>
      </c>
      <c r="L25">
        <v>158335.24</v>
      </c>
      <c r="M25">
        <v>1054</v>
      </c>
      <c r="N25">
        <v>5.21E-2</v>
      </c>
      <c r="O25">
        <f t="shared" si="0"/>
        <v>0.41399999999999998</v>
      </c>
      <c r="P25">
        <f t="shared" si="1"/>
        <v>0.20380000000000001</v>
      </c>
      <c r="Q25" t="s">
        <v>56</v>
      </c>
      <c r="R25">
        <v>2023</v>
      </c>
      <c r="S25" t="s">
        <v>25</v>
      </c>
    </row>
    <row r="26" spans="1:19" x14ac:dyDescent="0.3">
      <c r="A26" t="s">
        <v>88</v>
      </c>
      <c r="B26">
        <v>44807</v>
      </c>
      <c r="C26" t="s">
        <v>48</v>
      </c>
      <c r="D26" t="s">
        <v>49</v>
      </c>
      <c r="E26" t="s">
        <v>38</v>
      </c>
      <c r="F26" t="s">
        <v>23</v>
      </c>
      <c r="G26">
        <v>29867.16</v>
      </c>
      <c r="H26">
        <v>25371.07</v>
      </c>
      <c r="I26">
        <v>4496.09</v>
      </c>
      <c r="J26">
        <v>17043.47</v>
      </c>
      <c r="K26">
        <v>34322.6</v>
      </c>
      <c r="L26">
        <v>89656.93</v>
      </c>
      <c r="M26">
        <v>907</v>
      </c>
      <c r="N26">
        <v>7.5399999999999995E-2</v>
      </c>
      <c r="O26">
        <f t="shared" si="0"/>
        <v>0.15049999999999999</v>
      </c>
      <c r="P26">
        <f t="shared" si="1"/>
        <v>0.38279999999999997</v>
      </c>
      <c r="Q26" t="s">
        <v>76</v>
      </c>
      <c r="R26">
        <v>2022</v>
      </c>
      <c r="S26" t="s">
        <v>40</v>
      </c>
    </row>
    <row r="27" spans="1:19" x14ac:dyDescent="0.3">
      <c r="A27" t="s">
        <v>89</v>
      </c>
      <c r="B27">
        <v>44581</v>
      </c>
      <c r="C27" t="s">
        <v>78</v>
      </c>
      <c r="D27" t="s">
        <v>79</v>
      </c>
      <c r="E27" t="s">
        <v>22</v>
      </c>
      <c r="F27" t="s">
        <v>23</v>
      </c>
      <c r="G27">
        <v>173697.9</v>
      </c>
      <c r="H27">
        <v>146678.03</v>
      </c>
      <c r="I27">
        <v>27019.87</v>
      </c>
      <c r="J27">
        <v>65626.960000000006</v>
      </c>
      <c r="K27">
        <v>20905.86</v>
      </c>
      <c r="L27">
        <v>171418.61</v>
      </c>
      <c r="M27">
        <v>634</v>
      </c>
      <c r="N27">
        <v>-7.7999999999999996E-3</v>
      </c>
      <c r="O27">
        <f t="shared" si="0"/>
        <v>0.15559999999999999</v>
      </c>
      <c r="P27">
        <f t="shared" si="1"/>
        <v>0.122</v>
      </c>
      <c r="Q27" t="s">
        <v>90</v>
      </c>
      <c r="R27">
        <v>2022</v>
      </c>
      <c r="S27" t="s">
        <v>25</v>
      </c>
    </row>
    <row r="28" spans="1:19" x14ac:dyDescent="0.3">
      <c r="A28" t="s">
        <v>91</v>
      </c>
      <c r="B28">
        <v>44612</v>
      </c>
      <c r="C28" t="s">
        <v>20</v>
      </c>
      <c r="D28" t="s">
        <v>21</v>
      </c>
      <c r="E28" t="s">
        <v>22</v>
      </c>
      <c r="F28" t="s">
        <v>23</v>
      </c>
      <c r="G28">
        <v>329235.33</v>
      </c>
      <c r="H28">
        <v>215985.05</v>
      </c>
      <c r="I28">
        <v>113250.28</v>
      </c>
      <c r="J28">
        <v>8892.06</v>
      </c>
      <c r="K28">
        <v>19309.93</v>
      </c>
      <c r="L28">
        <v>72478.09</v>
      </c>
      <c r="M28">
        <v>600</v>
      </c>
      <c r="N28">
        <v>-1.5100000000000001E-2</v>
      </c>
      <c r="O28">
        <f t="shared" si="0"/>
        <v>0.34399999999999997</v>
      </c>
      <c r="P28">
        <f t="shared" si="1"/>
        <v>0.26640000000000003</v>
      </c>
      <c r="Q28" t="s">
        <v>90</v>
      </c>
      <c r="R28">
        <v>2022</v>
      </c>
      <c r="S28" t="s">
        <v>25</v>
      </c>
    </row>
    <row r="29" spans="1:19" x14ac:dyDescent="0.3">
      <c r="A29" t="s">
        <v>92</v>
      </c>
      <c r="B29" s="4">
        <v>45565</v>
      </c>
      <c r="C29" t="s">
        <v>48</v>
      </c>
      <c r="D29" t="s">
        <v>49</v>
      </c>
      <c r="E29" t="s">
        <v>22</v>
      </c>
      <c r="F29" t="s">
        <v>23</v>
      </c>
      <c r="G29">
        <v>70900.42</v>
      </c>
      <c r="H29">
        <v>61084.15</v>
      </c>
      <c r="I29">
        <v>9816.27</v>
      </c>
      <c r="J29">
        <v>47244.24</v>
      </c>
      <c r="K29">
        <v>19938</v>
      </c>
      <c r="L29">
        <v>69977.59</v>
      </c>
      <c r="M29">
        <v>636</v>
      </c>
      <c r="N29">
        <v>4.1700000000000001E-2</v>
      </c>
      <c r="O29">
        <f t="shared" si="0"/>
        <v>0.13850000000000001</v>
      </c>
      <c r="P29">
        <f t="shared" si="1"/>
        <v>0.28489999999999999</v>
      </c>
      <c r="Q29" t="s">
        <v>72</v>
      </c>
      <c r="R29">
        <v>2024</v>
      </c>
      <c r="S29" t="s">
        <v>25</v>
      </c>
    </row>
    <row r="30" spans="1:19" x14ac:dyDescent="0.3">
      <c r="A30" t="s">
        <v>93</v>
      </c>
      <c r="B30">
        <v>45218</v>
      </c>
      <c r="C30" t="s">
        <v>1282</v>
      </c>
      <c r="D30" t="s">
        <v>69</v>
      </c>
      <c r="E30" t="s">
        <v>32</v>
      </c>
      <c r="F30" t="s">
        <v>23</v>
      </c>
      <c r="G30">
        <v>35784.146849999997</v>
      </c>
      <c r="H30">
        <v>29532.5</v>
      </c>
      <c r="I30">
        <v>6251.64</v>
      </c>
      <c r="J30">
        <v>9339.2800000000007</v>
      </c>
      <c r="K30">
        <v>17141.38</v>
      </c>
      <c r="L30">
        <v>53770.47</v>
      </c>
      <c r="M30">
        <v>844</v>
      </c>
      <c r="N30">
        <v>-4.9500000000000002E-2</v>
      </c>
      <c r="O30">
        <f t="shared" si="0"/>
        <v>0.17469999999999999</v>
      </c>
      <c r="P30">
        <f t="shared" si="1"/>
        <v>0.31879999999999997</v>
      </c>
      <c r="Q30" t="s">
        <v>44</v>
      </c>
      <c r="R30">
        <v>2023</v>
      </c>
      <c r="S30" t="s">
        <v>40</v>
      </c>
    </row>
    <row r="31" spans="1:19" x14ac:dyDescent="0.3">
      <c r="A31" t="s">
        <v>94</v>
      </c>
      <c r="B31">
        <v>45643</v>
      </c>
      <c r="C31" t="s">
        <v>36</v>
      </c>
      <c r="D31" t="s">
        <v>37</v>
      </c>
      <c r="E31" t="s">
        <v>32</v>
      </c>
      <c r="F31" t="s">
        <v>23</v>
      </c>
      <c r="G31">
        <v>77679.525100000013</v>
      </c>
      <c r="H31">
        <v>49615.56</v>
      </c>
      <c r="I31">
        <v>28063.96</v>
      </c>
      <c r="J31">
        <v>67346.13</v>
      </c>
      <c r="K31">
        <v>35685.120000000003</v>
      </c>
      <c r="L31">
        <v>173095.54</v>
      </c>
      <c r="M31">
        <v>2346</v>
      </c>
      <c r="N31">
        <v>2.7E-2</v>
      </c>
      <c r="O31">
        <f t="shared" si="0"/>
        <v>0.36130000000000001</v>
      </c>
      <c r="P31">
        <f t="shared" si="1"/>
        <v>0.20619999999999999</v>
      </c>
      <c r="Q31" t="s">
        <v>52</v>
      </c>
      <c r="R31">
        <v>2024</v>
      </c>
      <c r="S31" t="s">
        <v>25</v>
      </c>
    </row>
    <row r="32" spans="1:19" x14ac:dyDescent="0.3">
      <c r="A32" t="s">
        <v>95</v>
      </c>
      <c r="B32">
        <v>44808</v>
      </c>
      <c r="C32" t="s">
        <v>27</v>
      </c>
      <c r="D32" t="s">
        <v>28</v>
      </c>
      <c r="E32" t="s">
        <v>22</v>
      </c>
      <c r="F32" t="s">
        <v>23</v>
      </c>
      <c r="G32">
        <v>77363.3</v>
      </c>
      <c r="H32">
        <v>47090.98</v>
      </c>
      <c r="I32">
        <v>30272.32</v>
      </c>
      <c r="J32">
        <v>21698.15</v>
      </c>
      <c r="K32">
        <v>20506.37</v>
      </c>
      <c r="L32">
        <v>54183.57</v>
      </c>
      <c r="M32">
        <v>1229</v>
      </c>
      <c r="N32">
        <v>5.5E-2</v>
      </c>
      <c r="O32">
        <f t="shared" si="0"/>
        <v>0.39129999999999998</v>
      </c>
      <c r="P32">
        <f t="shared" si="1"/>
        <v>0.3785</v>
      </c>
      <c r="Q32" t="s">
        <v>76</v>
      </c>
      <c r="R32">
        <v>2022</v>
      </c>
      <c r="S32" t="s">
        <v>40</v>
      </c>
    </row>
    <row r="33" spans="1:19" x14ac:dyDescent="0.3">
      <c r="A33" t="s">
        <v>96</v>
      </c>
      <c r="B33">
        <v>44918</v>
      </c>
      <c r="C33" t="s">
        <v>42</v>
      </c>
      <c r="D33" t="s">
        <v>43</v>
      </c>
      <c r="E33" t="s">
        <v>38</v>
      </c>
      <c r="F33" t="s">
        <v>23</v>
      </c>
      <c r="G33">
        <v>211307</v>
      </c>
      <c r="H33">
        <v>165872.75</v>
      </c>
      <c r="I33">
        <v>45434.25</v>
      </c>
      <c r="J33">
        <v>0</v>
      </c>
      <c r="K33">
        <v>24276.65</v>
      </c>
      <c r="L33">
        <v>54299.41</v>
      </c>
      <c r="M33">
        <v>921</v>
      </c>
      <c r="N33">
        <v>0.18609999999999999</v>
      </c>
      <c r="O33">
        <f t="shared" si="0"/>
        <v>0.215</v>
      </c>
      <c r="P33">
        <f t="shared" si="1"/>
        <v>0.4471</v>
      </c>
      <c r="Q33" t="s">
        <v>46</v>
      </c>
      <c r="R33">
        <v>2022</v>
      </c>
      <c r="S33" t="s">
        <v>40</v>
      </c>
    </row>
    <row r="34" spans="1:19" x14ac:dyDescent="0.3">
      <c r="A34" t="s">
        <v>97</v>
      </c>
      <c r="B34">
        <v>45077</v>
      </c>
      <c r="C34" t="s">
        <v>48</v>
      </c>
      <c r="D34" t="s">
        <v>49</v>
      </c>
      <c r="E34" t="s">
        <v>32</v>
      </c>
      <c r="F34" t="s">
        <v>23</v>
      </c>
      <c r="G34">
        <v>121109.94760000001</v>
      </c>
      <c r="H34">
        <v>108923.03</v>
      </c>
      <c r="I34">
        <v>12186.92</v>
      </c>
      <c r="J34">
        <v>41736.519999999997</v>
      </c>
      <c r="K34">
        <v>40564.93</v>
      </c>
      <c r="L34">
        <v>179057.87</v>
      </c>
      <c r="M34">
        <v>1180</v>
      </c>
      <c r="N34">
        <v>8.7400000000000005E-2</v>
      </c>
      <c r="O34">
        <f t="shared" si="0"/>
        <v>0.10059999999999999</v>
      </c>
      <c r="P34">
        <f t="shared" si="1"/>
        <v>0.22650000000000001</v>
      </c>
      <c r="Q34" t="s">
        <v>39</v>
      </c>
      <c r="R34">
        <v>2023</v>
      </c>
      <c r="S34" t="s">
        <v>25</v>
      </c>
    </row>
    <row r="35" spans="1:19" x14ac:dyDescent="0.3">
      <c r="A35" t="s">
        <v>98</v>
      </c>
      <c r="B35">
        <v>45518</v>
      </c>
      <c r="C35" t="s">
        <v>30</v>
      </c>
      <c r="D35" t="s">
        <v>31</v>
      </c>
      <c r="E35" t="s">
        <v>22</v>
      </c>
      <c r="F35" t="s">
        <v>23</v>
      </c>
      <c r="G35">
        <v>114285.11</v>
      </c>
      <c r="H35">
        <v>79183.350000000006</v>
      </c>
      <c r="I35">
        <v>35101.760000000002</v>
      </c>
      <c r="J35">
        <v>34533.35</v>
      </c>
      <c r="K35">
        <v>33684.51</v>
      </c>
      <c r="L35">
        <v>72066.33</v>
      </c>
      <c r="M35">
        <v>817</v>
      </c>
      <c r="N35">
        <v>-2.7E-2</v>
      </c>
      <c r="O35">
        <f t="shared" si="0"/>
        <v>0.30709999999999998</v>
      </c>
      <c r="P35">
        <f t="shared" si="1"/>
        <v>0.46739999999999998</v>
      </c>
      <c r="Q35" t="s">
        <v>72</v>
      </c>
      <c r="R35">
        <v>2024</v>
      </c>
      <c r="S35" t="s">
        <v>40</v>
      </c>
    </row>
    <row r="36" spans="1:19" x14ac:dyDescent="0.3">
      <c r="A36" t="s">
        <v>99</v>
      </c>
      <c r="B36">
        <v>45583</v>
      </c>
      <c r="C36" t="s">
        <v>61</v>
      </c>
      <c r="D36" t="s">
        <v>74</v>
      </c>
      <c r="E36" t="s">
        <v>22</v>
      </c>
      <c r="F36" t="s">
        <v>23</v>
      </c>
      <c r="G36" t="s">
        <v>1281</v>
      </c>
      <c r="H36">
        <v>29601.11</v>
      </c>
      <c r="I36" t="s">
        <v>1281</v>
      </c>
      <c r="J36">
        <v>59558.93</v>
      </c>
      <c r="K36">
        <v>57619.07</v>
      </c>
      <c r="L36">
        <v>237536.47</v>
      </c>
      <c r="M36">
        <v>1056</v>
      </c>
      <c r="N36">
        <v>5.3600000000000002E-2</v>
      </c>
      <c r="O36" t="s">
        <v>1281</v>
      </c>
      <c r="P36">
        <f t="shared" si="1"/>
        <v>0.24260000000000001</v>
      </c>
      <c r="Q36" t="s">
        <v>52</v>
      </c>
      <c r="R36">
        <v>2024</v>
      </c>
      <c r="S36" t="s">
        <v>25</v>
      </c>
    </row>
    <row r="37" spans="1:19" x14ac:dyDescent="0.3">
      <c r="A37" t="s">
        <v>100</v>
      </c>
      <c r="B37">
        <v>45237</v>
      </c>
      <c r="C37" t="s">
        <v>27</v>
      </c>
      <c r="D37" t="s">
        <v>28</v>
      </c>
      <c r="E37" t="s">
        <v>51</v>
      </c>
      <c r="F37" t="s">
        <v>23</v>
      </c>
      <c r="G37">
        <v>104676.41</v>
      </c>
      <c r="H37">
        <v>88820.95</v>
      </c>
      <c r="I37">
        <v>15855.46</v>
      </c>
      <c r="J37">
        <v>19988.46</v>
      </c>
      <c r="K37">
        <v>26457.07</v>
      </c>
      <c r="L37">
        <v>85370.02</v>
      </c>
      <c r="M37">
        <v>1595</v>
      </c>
      <c r="N37">
        <v>-3.44E-2</v>
      </c>
      <c r="O37">
        <f t="shared" si="0"/>
        <v>0.1515</v>
      </c>
      <c r="P37">
        <f t="shared" si="1"/>
        <v>0.30990000000000001</v>
      </c>
      <c r="Q37" t="s">
        <v>44</v>
      </c>
      <c r="R37">
        <v>2023</v>
      </c>
      <c r="S37" t="s">
        <v>40</v>
      </c>
    </row>
    <row r="38" spans="1:19" x14ac:dyDescent="0.3">
      <c r="A38" t="s">
        <v>101</v>
      </c>
      <c r="B38">
        <v>44598</v>
      </c>
      <c r="C38" t="s">
        <v>102</v>
      </c>
      <c r="D38" t="s">
        <v>103</v>
      </c>
      <c r="E38" t="s">
        <v>22</v>
      </c>
      <c r="F38" t="s">
        <v>23</v>
      </c>
      <c r="G38">
        <v>120199.83</v>
      </c>
      <c r="H38">
        <v>99016.56</v>
      </c>
      <c r="I38">
        <v>21183.27</v>
      </c>
      <c r="J38">
        <v>15096</v>
      </c>
      <c r="K38">
        <v>16293.37</v>
      </c>
      <c r="L38">
        <v>36979.64</v>
      </c>
      <c r="M38" t="s">
        <v>1281</v>
      </c>
      <c r="N38">
        <v>0.254</v>
      </c>
      <c r="O38">
        <f t="shared" si="0"/>
        <v>0.1762</v>
      </c>
      <c r="P38">
        <f t="shared" si="1"/>
        <v>0.44059999999999999</v>
      </c>
      <c r="Q38" t="s">
        <v>90</v>
      </c>
      <c r="R38">
        <v>2022</v>
      </c>
      <c r="S38" t="s">
        <v>40</v>
      </c>
    </row>
    <row r="39" spans="1:19" x14ac:dyDescent="0.3">
      <c r="A39" t="s">
        <v>104</v>
      </c>
      <c r="B39">
        <v>45260</v>
      </c>
      <c r="C39" t="s">
        <v>78</v>
      </c>
      <c r="D39" t="s">
        <v>79</v>
      </c>
      <c r="E39" t="s">
        <v>38</v>
      </c>
      <c r="F39" t="s">
        <v>23</v>
      </c>
      <c r="G39">
        <v>94355.73</v>
      </c>
      <c r="H39" t="s">
        <v>1281</v>
      </c>
      <c r="I39" t="s">
        <v>1281</v>
      </c>
      <c r="J39">
        <v>30116.62</v>
      </c>
      <c r="K39">
        <v>9192.56</v>
      </c>
      <c r="L39">
        <v>34919.29</v>
      </c>
      <c r="M39">
        <v>1488</v>
      </c>
      <c r="N39">
        <v>0.17069999999999999</v>
      </c>
      <c r="O39" t="s">
        <v>1281</v>
      </c>
      <c r="P39">
        <f t="shared" si="1"/>
        <v>0.26329999999999998</v>
      </c>
      <c r="Q39" t="s">
        <v>44</v>
      </c>
      <c r="R39">
        <v>2023</v>
      </c>
      <c r="S39" t="s">
        <v>25</v>
      </c>
    </row>
    <row r="40" spans="1:19" x14ac:dyDescent="0.3">
      <c r="A40" t="s">
        <v>105</v>
      </c>
      <c r="B40">
        <v>45736</v>
      </c>
      <c r="C40" t="s">
        <v>27</v>
      </c>
      <c r="D40" t="s">
        <v>28</v>
      </c>
      <c r="E40" t="s">
        <v>22</v>
      </c>
      <c r="F40" t="s">
        <v>23</v>
      </c>
      <c r="G40">
        <v>58531.32</v>
      </c>
      <c r="H40">
        <v>52352.97</v>
      </c>
      <c r="I40">
        <v>6178.35</v>
      </c>
      <c r="J40">
        <v>39125.129999999997</v>
      </c>
      <c r="K40">
        <v>114798.45</v>
      </c>
      <c r="L40">
        <v>120225.04</v>
      </c>
      <c r="M40">
        <v>934</v>
      </c>
      <c r="N40">
        <v>1.6199999999999999E-2</v>
      </c>
      <c r="O40">
        <f t="shared" si="0"/>
        <v>0.1056</v>
      </c>
      <c r="P40">
        <f t="shared" si="1"/>
        <v>0.95489999999999997</v>
      </c>
      <c r="Q40" t="s">
        <v>106</v>
      </c>
      <c r="R40">
        <v>2025</v>
      </c>
      <c r="S40" t="s">
        <v>82</v>
      </c>
    </row>
    <row r="41" spans="1:19" x14ac:dyDescent="0.3">
      <c r="A41" t="s">
        <v>107</v>
      </c>
      <c r="B41">
        <v>45753</v>
      </c>
      <c r="C41" t="s">
        <v>85</v>
      </c>
      <c r="D41" t="s">
        <v>86</v>
      </c>
      <c r="E41" t="s">
        <v>38</v>
      </c>
      <c r="F41" t="s">
        <v>23</v>
      </c>
      <c r="G41">
        <v>53842.86</v>
      </c>
      <c r="H41">
        <v>31303.7</v>
      </c>
      <c r="I41">
        <v>22539.16</v>
      </c>
      <c r="J41">
        <v>38655.14</v>
      </c>
      <c r="K41">
        <v>67743.48</v>
      </c>
      <c r="L41">
        <v>80510.02</v>
      </c>
      <c r="M41">
        <v>665</v>
      </c>
      <c r="N41">
        <v>0.112</v>
      </c>
      <c r="O41">
        <f t="shared" si="0"/>
        <v>0.41860000000000003</v>
      </c>
      <c r="P41">
        <f t="shared" si="1"/>
        <v>0.84140000000000004</v>
      </c>
      <c r="Q41" t="s">
        <v>34</v>
      </c>
      <c r="R41">
        <v>2025</v>
      </c>
      <c r="S41" t="s">
        <v>82</v>
      </c>
    </row>
    <row r="42" spans="1:19" x14ac:dyDescent="0.3">
      <c r="A42" t="s">
        <v>108</v>
      </c>
      <c r="B42">
        <v>45767</v>
      </c>
      <c r="C42" t="s">
        <v>30</v>
      </c>
      <c r="D42" t="s">
        <v>31</v>
      </c>
      <c r="E42" t="s">
        <v>51</v>
      </c>
      <c r="F42" t="s">
        <v>23</v>
      </c>
      <c r="G42">
        <v>37700.480000000003</v>
      </c>
      <c r="H42">
        <v>25342.01</v>
      </c>
      <c r="I42">
        <v>12358.47</v>
      </c>
      <c r="J42">
        <v>58827.85</v>
      </c>
      <c r="K42">
        <v>7561.53</v>
      </c>
      <c r="L42">
        <v>102452.05</v>
      </c>
      <c r="M42">
        <v>1719</v>
      </c>
      <c r="N42">
        <v>-0.1336</v>
      </c>
      <c r="O42">
        <f t="shared" si="0"/>
        <v>0.32779999999999998</v>
      </c>
      <c r="P42">
        <f t="shared" si="1"/>
        <v>7.3800000000000004E-2</v>
      </c>
      <c r="Q42" t="s">
        <v>34</v>
      </c>
      <c r="R42">
        <v>2025</v>
      </c>
      <c r="S42" t="s">
        <v>25</v>
      </c>
    </row>
    <row r="43" spans="1:19" x14ac:dyDescent="0.3">
      <c r="A43" t="s">
        <v>110</v>
      </c>
      <c r="B43">
        <v>45390</v>
      </c>
      <c r="C43" t="s">
        <v>42</v>
      </c>
      <c r="D43" t="s">
        <v>43</v>
      </c>
      <c r="E43" t="s">
        <v>38</v>
      </c>
      <c r="F43" t="s">
        <v>23</v>
      </c>
      <c r="G43">
        <v>104877.71</v>
      </c>
      <c r="H43">
        <v>84110.31</v>
      </c>
      <c r="I43">
        <v>20767.400000000001</v>
      </c>
      <c r="J43">
        <v>54897.4</v>
      </c>
      <c r="K43">
        <v>17469.36</v>
      </c>
      <c r="L43">
        <v>75538.28</v>
      </c>
      <c r="M43">
        <v>613</v>
      </c>
      <c r="N43">
        <v>6.6E-3</v>
      </c>
      <c r="O43">
        <f t="shared" si="0"/>
        <v>0.19800000000000001</v>
      </c>
      <c r="P43">
        <f t="shared" si="1"/>
        <v>0.23130000000000001</v>
      </c>
      <c r="Q43" t="s">
        <v>111</v>
      </c>
      <c r="R43">
        <v>2024</v>
      </c>
      <c r="S43" t="s">
        <v>25</v>
      </c>
    </row>
    <row r="44" spans="1:19" x14ac:dyDescent="0.3">
      <c r="A44" t="s">
        <v>112</v>
      </c>
      <c r="B44">
        <v>44695</v>
      </c>
      <c r="C44" t="s">
        <v>48</v>
      </c>
      <c r="D44" t="s">
        <v>49</v>
      </c>
      <c r="E44" t="s">
        <v>38</v>
      </c>
      <c r="F44" t="s">
        <v>23</v>
      </c>
      <c r="G44">
        <v>21313.89</v>
      </c>
      <c r="H44">
        <v>12064.9</v>
      </c>
      <c r="I44">
        <v>9248.99</v>
      </c>
      <c r="J44">
        <v>49979.360000000001</v>
      </c>
      <c r="K44">
        <v>52831.31</v>
      </c>
      <c r="L44">
        <v>76889.509999999995</v>
      </c>
      <c r="M44">
        <v>654</v>
      </c>
      <c r="N44">
        <v>-6.25E-2</v>
      </c>
      <c r="O44">
        <f t="shared" si="0"/>
        <v>0.43390000000000001</v>
      </c>
      <c r="P44">
        <f t="shared" si="1"/>
        <v>0.68710000000000004</v>
      </c>
      <c r="Q44" t="s">
        <v>58</v>
      </c>
      <c r="R44">
        <v>2022</v>
      </c>
      <c r="S44" t="s">
        <v>82</v>
      </c>
    </row>
    <row r="45" spans="1:19" x14ac:dyDescent="0.3">
      <c r="A45" t="s">
        <v>113</v>
      </c>
      <c r="B45" s="4">
        <v>45844</v>
      </c>
      <c r="C45" t="s">
        <v>48</v>
      </c>
      <c r="D45" t="s">
        <v>49</v>
      </c>
      <c r="E45" t="s">
        <v>22</v>
      </c>
      <c r="F45" t="s">
        <v>23</v>
      </c>
      <c r="G45">
        <v>68042.94</v>
      </c>
      <c r="H45">
        <v>53036</v>
      </c>
      <c r="I45">
        <v>15006.94</v>
      </c>
      <c r="J45">
        <v>65082.85</v>
      </c>
      <c r="K45">
        <v>13742.14</v>
      </c>
      <c r="L45">
        <v>103277.69</v>
      </c>
      <c r="M45">
        <v>345</v>
      </c>
      <c r="N45">
        <v>-2.9399999999999999E-2</v>
      </c>
      <c r="O45">
        <f t="shared" si="0"/>
        <v>0.22059999999999999</v>
      </c>
      <c r="P45">
        <f t="shared" si="1"/>
        <v>0.1331</v>
      </c>
      <c r="Q45" t="s">
        <v>24</v>
      </c>
      <c r="R45">
        <v>2025</v>
      </c>
      <c r="S45" t="s">
        <v>25</v>
      </c>
    </row>
    <row r="46" spans="1:19" x14ac:dyDescent="0.3">
      <c r="A46" t="s">
        <v>114</v>
      </c>
      <c r="B46">
        <v>45430</v>
      </c>
      <c r="C46" t="s">
        <v>1282</v>
      </c>
      <c r="D46" t="s">
        <v>69</v>
      </c>
      <c r="E46" t="s">
        <v>38</v>
      </c>
      <c r="F46" t="s">
        <v>23</v>
      </c>
      <c r="G46">
        <v>91321.49</v>
      </c>
      <c r="H46">
        <v>60685.43</v>
      </c>
      <c r="I46">
        <v>30636.06</v>
      </c>
      <c r="J46">
        <v>122188.42</v>
      </c>
      <c r="K46">
        <v>42492.29</v>
      </c>
      <c r="L46">
        <v>246170.57</v>
      </c>
      <c r="M46">
        <v>1253</v>
      </c>
      <c r="N46">
        <v>0.1207</v>
      </c>
      <c r="O46">
        <f t="shared" si="0"/>
        <v>0.33550000000000002</v>
      </c>
      <c r="P46">
        <f t="shared" si="1"/>
        <v>0.1726</v>
      </c>
      <c r="Q46" t="s">
        <v>111</v>
      </c>
      <c r="R46">
        <v>2024</v>
      </c>
      <c r="S46" t="s">
        <v>25</v>
      </c>
    </row>
    <row r="47" spans="1:19" x14ac:dyDescent="0.3">
      <c r="A47" t="s">
        <v>115</v>
      </c>
      <c r="B47">
        <v>45359</v>
      </c>
      <c r="C47" t="s">
        <v>1282</v>
      </c>
      <c r="D47" t="s">
        <v>69</v>
      </c>
      <c r="E47" t="s">
        <v>38</v>
      </c>
      <c r="F47" t="s">
        <v>23</v>
      </c>
      <c r="G47">
        <v>69713.740000000005</v>
      </c>
      <c r="H47">
        <v>59250.04</v>
      </c>
      <c r="I47">
        <v>10463.700000000001</v>
      </c>
      <c r="J47">
        <v>26969.05</v>
      </c>
      <c r="K47">
        <v>6832.82</v>
      </c>
      <c r="L47">
        <v>192250.37</v>
      </c>
      <c r="M47">
        <v>852</v>
      </c>
      <c r="N47">
        <v>0.1028</v>
      </c>
      <c r="O47">
        <f t="shared" si="0"/>
        <v>0.15010000000000001</v>
      </c>
      <c r="P47">
        <f t="shared" si="1"/>
        <v>3.5499999999999997E-2</v>
      </c>
      <c r="Q47" t="s">
        <v>80</v>
      </c>
      <c r="R47">
        <v>2024</v>
      </c>
      <c r="S47" t="s">
        <v>25</v>
      </c>
    </row>
    <row r="48" spans="1:19" x14ac:dyDescent="0.3">
      <c r="A48" t="s">
        <v>117</v>
      </c>
      <c r="B48">
        <v>44966</v>
      </c>
      <c r="C48" t="s">
        <v>30</v>
      </c>
      <c r="D48" t="s">
        <v>31</v>
      </c>
      <c r="E48" t="s">
        <v>38</v>
      </c>
      <c r="F48" t="s">
        <v>23</v>
      </c>
      <c r="G48">
        <v>73380.13</v>
      </c>
      <c r="H48">
        <v>61237.57</v>
      </c>
      <c r="I48">
        <v>12142.56</v>
      </c>
      <c r="J48">
        <v>33958.230000000003</v>
      </c>
      <c r="K48">
        <v>20943.45</v>
      </c>
      <c r="L48">
        <v>52003.83</v>
      </c>
      <c r="M48">
        <v>484</v>
      </c>
      <c r="N48">
        <v>5.0200000000000002E-2</v>
      </c>
      <c r="O48">
        <f t="shared" si="0"/>
        <v>0.16550000000000001</v>
      </c>
      <c r="P48">
        <f t="shared" si="1"/>
        <v>0.4027</v>
      </c>
      <c r="Q48" t="s">
        <v>118</v>
      </c>
      <c r="R48">
        <v>2023</v>
      </c>
      <c r="S48" t="s">
        <v>40</v>
      </c>
    </row>
    <row r="49" spans="1:19" x14ac:dyDescent="0.3">
      <c r="A49" t="s">
        <v>119</v>
      </c>
      <c r="B49" s="4">
        <v>44595</v>
      </c>
      <c r="C49" t="s">
        <v>48</v>
      </c>
      <c r="D49" t="s">
        <v>49</v>
      </c>
      <c r="E49" t="s">
        <v>22</v>
      </c>
      <c r="F49" t="s">
        <v>23</v>
      </c>
      <c r="G49">
        <v>42696.38</v>
      </c>
      <c r="H49">
        <v>34092.300000000003</v>
      </c>
      <c r="I49">
        <v>8604.08</v>
      </c>
      <c r="J49">
        <v>26563.54</v>
      </c>
      <c r="K49">
        <v>93052.73</v>
      </c>
      <c r="L49">
        <v>91864.11</v>
      </c>
      <c r="M49">
        <v>1526</v>
      </c>
      <c r="N49">
        <v>1.5100000000000001E-2</v>
      </c>
      <c r="O49">
        <f t="shared" si="0"/>
        <v>0.20150000000000001</v>
      </c>
      <c r="P49">
        <f t="shared" si="1"/>
        <v>1.0128999999999999</v>
      </c>
      <c r="Q49" t="s">
        <v>90</v>
      </c>
      <c r="R49">
        <v>2022</v>
      </c>
      <c r="S49" t="s">
        <v>82</v>
      </c>
    </row>
    <row r="50" spans="1:19" x14ac:dyDescent="0.3">
      <c r="A50" t="s">
        <v>120</v>
      </c>
      <c r="B50">
        <v>45551</v>
      </c>
      <c r="C50" t="s">
        <v>85</v>
      </c>
      <c r="D50" t="s">
        <v>86</v>
      </c>
      <c r="E50" t="s">
        <v>51</v>
      </c>
      <c r="F50" t="s">
        <v>23</v>
      </c>
      <c r="G50">
        <v>62203.92</v>
      </c>
      <c r="H50">
        <v>37296.58</v>
      </c>
      <c r="I50">
        <v>24907.34</v>
      </c>
      <c r="J50">
        <v>64867.35</v>
      </c>
      <c r="K50">
        <v>88542.34</v>
      </c>
      <c r="L50">
        <v>180522.58</v>
      </c>
      <c r="M50">
        <v>738</v>
      </c>
      <c r="N50">
        <v>-1.5699999999999999E-2</v>
      </c>
      <c r="O50">
        <f t="shared" si="0"/>
        <v>0.40039999999999998</v>
      </c>
      <c r="P50">
        <f t="shared" si="1"/>
        <v>0.49049999999999999</v>
      </c>
      <c r="Q50" t="s">
        <v>72</v>
      </c>
      <c r="R50">
        <v>2024</v>
      </c>
      <c r="S50" t="s">
        <v>40</v>
      </c>
    </row>
    <row r="51" spans="1:19" x14ac:dyDescent="0.3">
      <c r="A51" t="s">
        <v>121</v>
      </c>
      <c r="B51">
        <v>45891</v>
      </c>
      <c r="C51" t="s">
        <v>36</v>
      </c>
      <c r="D51" t="s">
        <v>37</v>
      </c>
      <c r="E51" t="s">
        <v>51</v>
      </c>
      <c r="F51" t="s">
        <v>23</v>
      </c>
      <c r="G51">
        <v>23740.38</v>
      </c>
      <c r="H51">
        <v>16899.96</v>
      </c>
      <c r="I51">
        <v>6840.42</v>
      </c>
      <c r="J51">
        <v>90313.04</v>
      </c>
      <c r="K51">
        <v>21687.14</v>
      </c>
      <c r="L51">
        <v>192868.26</v>
      </c>
      <c r="M51">
        <v>1765</v>
      </c>
      <c r="N51">
        <v>1.5599999999999999E-2</v>
      </c>
      <c r="O51">
        <f t="shared" si="0"/>
        <v>0.28810000000000002</v>
      </c>
      <c r="P51">
        <f t="shared" si="1"/>
        <v>0.1124</v>
      </c>
      <c r="Q51" t="s">
        <v>24</v>
      </c>
      <c r="R51">
        <v>2025</v>
      </c>
      <c r="S51" t="s">
        <v>25</v>
      </c>
    </row>
    <row r="52" spans="1:19" x14ac:dyDescent="0.3">
      <c r="A52" t="s">
        <v>122</v>
      </c>
      <c r="B52">
        <v>45691</v>
      </c>
      <c r="C52" t="s">
        <v>36</v>
      </c>
      <c r="D52" t="s">
        <v>37</v>
      </c>
      <c r="E52" t="s">
        <v>38</v>
      </c>
      <c r="F52" t="s">
        <v>23</v>
      </c>
      <c r="G52">
        <v>24168.400000000001</v>
      </c>
      <c r="H52">
        <v>17398.36</v>
      </c>
      <c r="I52">
        <v>6770.04</v>
      </c>
      <c r="J52">
        <v>31606.45</v>
      </c>
      <c r="K52">
        <v>26770.1</v>
      </c>
      <c r="L52">
        <v>112617.39</v>
      </c>
      <c r="M52">
        <v>1488</v>
      </c>
      <c r="N52">
        <v>-9.8100000000000007E-2</v>
      </c>
      <c r="O52">
        <f t="shared" si="0"/>
        <v>0.28010000000000002</v>
      </c>
      <c r="P52">
        <f t="shared" si="1"/>
        <v>0.23769999999999999</v>
      </c>
      <c r="Q52" t="s">
        <v>106</v>
      </c>
      <c r="R52">
        <v>2025</v>
      </c>
      <c r="S52" t="s">
        <v>25</v>
      </c>
    </row>
    <row r="53" spans="1:19" x14ac:dyDescent="0.3">
      <c r="A53" t="s">
        <v>123</v>
      </c>
      <c r="B53">
        <v>45322</v>
      </c>
      <c r="C53" t="s">
        <v>54</v>
      </c>
      <c r="D53" t="s">
        <v>55</v>
      </c>
      <c r="E53" t="s">
        <v>38</v>
      </c>
      <c r="F53" t="s">
        <v>23</v>
      </c>
      <c r="G53">
        <v>335133.38</v>
      </c>
      <c r="H53">
        <v>233960.36</v>
      </c>
      <c r="I53">
        <v>101173.02</v>
      </c>
      <c r="J53">
        <v>15194.7</v>
      </c>
      <c r="K53">
        <v>13011.08</v>
      </c>
      <c r="L53">
        <v>106391.47</v>
      </c>
      <c r="M53">
        <v>639</v>
      </c>
      <c r="N53">
        <v>0.13550000000000001</v>
      </c>
      <c r="O53">
        <f t="shared" si="0"/>
        <v>0.3019</v>
      </c>
      <c r="P53">
        <f t="shared" si="1"/>
        <v>0.12230000000000001</v>
      </c>
      <c r="Q53" t="s">
        <v>80</v>
      </c>
      <c r="R53">
        <v>2024</v>
      </c>
      <c r="S53" t="s">
        <v>25</v>
      </c>
    </row>
    <row r="54" spans="1:19" x14ac:dyDescent="0.3">
      <c r="A54" t="s">
        <v>124</v>
      </c>
      <c r="B54">
        <v>45233</v>
      </c>
      <c r="C54" t="s">
        <v>30</v>
      </c>
      <c r="D54" t="s">
        <v>31</v>
      </c>
      <c r="E54" t="s">
        <v>32</v>
      </c>
      <c r="F54" t="s">
        <v>23</v>
      </c>
      <c r="G54">
        <v>62633.801450000006</v>
      </c>
      <c r="H54">
        <v>35395.71</v>
      </c>
      <c r="I54">
        <v>27238.1</v>
      </c>
      <c r="J54">
        <v>26968.77</v>
      </c>
      <c r="K54">
        <v>20154.82</v>
      </c>
      <c r="L54">
        <v>64794.69</v>
      </c>
      <c r="M54" t="s">
        <v>1281</v>
      </c>
      <c r="N54">
        <v>-6.7599999999999993E-2</v>
      </c>
      <c r="O54">
        <f t="shared" si="0"/>
        <v>0.43490000000000001</v>
      </c>
      <c r="P54">
        <f t="shared" si="1"/>
        <v>0.31109999999999999</v>
      </c>
      <c r="Q54" t="s">
        <v>44</v>
      </c>
      <c r="R54">
        <v>2023</v>
      </c>
      <c r="S54" t="s">
        <v>40</v>
      </c>
    </row>
    <row r="55" spans="1:19" x14ac:dyDescent="0.3">
      <c r="A55" t="s">
        <v>125</v>
      </c>
      <c r="B55">
        <v>45663</v>
      </c>
      <c r="C55" t="s">
        <v>61</v>
      </c>
      <c r="D55" t="s">
        <v>74</v>
      </c>
      <c r="E55" t="s">
        <v>22</v>
      </c>
      <c r="F55" t="s">
        <v>23</v>
      </c>
      <c r="G55">
        <v>33122.949999999997</v>
      </c>
      <c r="H55">
        <v>19348.689999999999</v>
      </c>
      <c r="I55">
        <v>13774.26</v>
      </c>
      <c r="J55">
        <v>14585.34</v>
      </c>
      <c r="K55">
        <v>129495.62</v>
      </c>
      <c r="L55">
        <v>66226.990000000005</v>
      </c>
      <c r="M55">
        <v>517</v>
      </c>
      <c r="N55">
        <v>1.3100000000000001E-2</v>
      </c>
      <c r="O55">
        <f t="shared" si="0"/>
        <v>0.41589999999999999</v>
      </c>
      <c r="P55">
        <f t="shared" si="1"/>
        <v>1.9553</v>
      </c>
      <c r="Q55" t="s">
        <v>106</v>
      </c>
      <c r="R55">
        <v>2025</v>
      </c>
      <c r="S55" t="s">
        <v>82</v>
      </c>
    </row>
    <row r="56" spans="1:19" x14ac:dyDescent="0.3">
      <c r="A56" t="s">
        <v>126</v>
      </c>
      <c r="B56">
        <v>45842</v>
      </c>
      <c r="C56" t="s">
        <v>48</v>
      </c>
      <c r="D56" t="s">
        <v>49</v>
      </c>
      <c r="E56" t="s">
        <v>38</v>
      </c>
      <c r="F56" t="s">
        <v>23</v>
      </c>
      <c r="G56">
        <v>82287.92</v>
      </c>
      <c r="H56">
        <v>75286.460000000006</v>
      </c>
      <c r="I56">
        <v>7001.46</v>
      </c>
      <c r="J56">
        <v>19097.98</v>
      </c>
      <c r="K56">
        <v>51008.78</v>
      </c>
      <c r="L56">
        <v>82152.44</v>
      </c>
      <c r="M56">
        <v>1268</v>
      </c>
      <c r="N56">
        <v>-4.8500000000000001E-2</v>
      </c>
      <c r="O56">
        <f t="shared" si="0"/>
        <v>8.5099999999999995E-2</v>
      </c>
      <c r="P56">
        <f t="shared" si="1"/>
        <v>0.62090000000000001</v>
      </c>
      <c r="Q56" t="s">
        <v>24</v>
      </c>
      <c r="R56">
        <v>2025</v>
      </c>
      <c r="S56" t="s">
        <v>82</v>
      </c>
    </row>
    <row r="57" spans="1:19" x14ac:dyDescent="0.3">
      <c r="A57" t="s">
        <v>127</v>
      </c>
      <c r="B57">
        <v>45227</v>
      </c>
      <c r="C57" t="s">
        <v>102</v>
      </c>
      <c r="D57" t="s">
        <v>103</v>
      </c>
      <c r="E57" t="s">
        <v>22</v>
      </c>
      <c r="F57" t="s">
        <v>23</v>
      </c>
      <c r="G57">
        <v>106378.85</v>
      </c>
      <c r="H57">
        <v>78648.08</v>
      </c>
      <c r="I57">
        <v>27730.77</v>
      </c>
      <c r="J57">
        <v>40858.699999999997</v>
      </c>
      <c r="K57">
        <v>12359.56</v>
      </c>
      <c r="L57">
        <v>104410.58</v>
      </c>
      <c r="M57">
        <v>1782</v>
      </c>
      <c r="N57">
        <v>-0.17430000000000001</v>
      </c>
      <c r="O57">
        <f t="shared" si="0"/>
        <v>0.26069999999999999</v>
      </c>
      <c r="P57">
        <f t="shared" si="1"/>
        <v>0.11840000000000001</v>
      </c>
      <c r="Q57" t="s">
        <v>44</v>
      </c>
      <c r="R57">
        <v>2023</v>
      </c>
      <c r="S57" t="s">
        <v>25</v>
      </c>
    </row>
    <row r="58" spans="1:19" x14ac:dyDescent="0.3">
      <c r="A58" t="s">
        <v>128</v>
      </c>
      <c r="B58">
        <v>44589</v>
      </c>
      <c r="C58" t="s">
        <v>78</v>
      </c>
      <c r="D58" t="s">
        <v>79</v>
      </c>
      <c r="E58" t="s">
        <v>22</v>
      </c>
      <c r="F58" t="s">
        <v>23</v>
      </c>
      <c r="G58">
        <v>48037.04</v>
      </c>
      <c r="H58">
        <v>28548.99</v>
      </c>
      <c r="I58">
        <v>19488.05</v>
      </c>
      <c r="J58">
        <v>15412.23</v>
      </c>
      <c r="K58">
        <v>32034.799999999999</v>
      </c>
      <c r="L58">
        <v>133942.43</v>
      </c>
      <c r="M58">
        <v>1443</v>
      </c>
      <c r="N58">
        <v>5.8999999999999997E-2</v>
      </c>
      <c r="O58">
        <f t="shared" si="0"/>
        <v>0.40570000000000001</v>
      </c>
      <c r="P58">
        <f t="shared" si="1"/>
        <v>0.2392</v>
      </c>
      <c r="Q58" t="s">
        <v>90</v>
      </c>
      <c r="R58">
        <v>2022</v>
      </c>
      <c r="S58" t="s">
        <v>25</v>
      </c>
    </row>
    <row r="59" spans="1:19" x14ac:dyDescent="0.3">
      <c r="A59" t="s">
        <v>129</v>
      </c>
      <c r="B59">
        <v>44672</v>
      </c>
      <c r="C59" t="s">
        <v>1282</v>
      </c>
      <c r="D59" t="s">
        <v>69</v>
      </c>
      <c r="E59" t="s">
        <v>38</v>
      </c>
      <c r="F59" t="s">
        <v>23</v>
      </c>
      <c r="G59">
        <v>94941.33</v>
      </c>
      <c r="H59">
        <v>72821.72</v>
      </c>
      <c r="I59">
        <v>22119.61</v>
      </c>
      <c r="J59">
        <v>104074.71</v>
      </c>
      <c r="K59">
        <v>5398.87</v>
      </c>
      <c r="L59">
        <v>237405.99</v>
      </c>
      <c r="M59">
        <v>1236</v>
      </c>
      <c r="N59">
        <v>-1.17E-2</v>
      </c>
      <c r="O59">
        <f t="shared" si="0"/>
        <v>0.23300000000000001</v>
      </c>
      <c r="P59">
        <f t="shared" si="1"/>
        <v>2.2700000000000001E-2</v>
      </c>
      <c r="Q59" t="s">
        <v>58</v>
      </c>
      <c r="R59">
        <v>2022</v>
      </c>
      <c r="S59" t="s">
        <v>25</v>
      </c>
    </row>
    <row r="60" spans="1:19" x14ac:dyDescent="0.3">
      <c r="A60" t="s">
        <v>130</v>
      </c>
      <c r="B60">
        <v>44876</v>
      </c>
      <c r="C60" t="s">
        <v>1282</v>
      </c>
      <c r="D60" t="s">
        <v>69</v>
      </c>
      <c r="E60" t="s">
        <v>38</v>
      </c>
      <c r="F60" t="s">
        <v>23</v>
      </c>
      <c r="G60">
        <v>74458.64</v>
      </c>
      <c r="H60">
        <v>47487.78</v>
      </c>
      <c r="I60">
        <v>26970.86</v>
      </c>
      <c r="J60">
        <v>35923.82</v>
      </c>
      <c r="K60">
        <v>15986.28</v>
      </c>
      <c r="L60">
        <v>77473.95</v>
      </c>
      <c r="M60">
        <v>687</v>
      </c>
      <c r="N60">
        <v>-5.4800000000000001E-2</v>
      </c>
      <c r="O60">
        <f t="shared" si="0"/>
        <v>0.36220000000000002</v>
      </c>
      <c r="P60">
        <f t="shared" si="1"/>
        <v>0.20630000000000001</v>
      </c>
      <c r="Q60" t="s">
        <v>46</v>
      </c>
      <c r="R60">
        <v>2022</v>
      </c>
      <c r="S60" t="s">
        <v>25</v>
      </c>
    </row>
    <row r="61" spans="1:19" x14ac:dyDescent="0.3">
      <c r="A61" t="s">
        <v>131</v>
      </c>
      <c r="B61">
        <v>45320</v>
      </c>
      <c r="C61" t="s">
        <v>102</v>
      </c>
      <c r="D61" t="s">
        <v>103</v>
      </c>
      <c r="E61" t="s">
        <v>22</v>
      </c>
      <c r="F61" t="s">
        <v>23</v>
      </c>
      <c r="G61">
        <v>81885.570000000007</v>
      </c>
      <c r="H61">
        <v>72832.009999999995</v>
      </c>
      <c r="I61">
        <v>9053.56</v>
      </c>
      <c r="J61">
        <v>62038.5</v>
      </c>
      <c r="K61">
        <v>113111.76</v>
      </c>
      <c r="L61">
        <v>118658.59</v>
      </c>
      <c r="M61">
        <v>1158</v>
      </c>
      <c r="N61">
        <v>7.2400000000000006E-2</v>
      </c>
      <c r="O61">
        <f t="shared" si="0"/>
        <v>0.1106</v>
      </c>
      <c r="P61">
        <f t="shared" si="1"/>
        <v>0.95330000000000004</v>
      </c>
      <c r="Q61" t="s">
        <v>80</v>
      </c>
      <c r="R61">
        <v>2024</v>
      </c>
      <c r="S61" t="s">
        <v>82</v>
      </c>
    </row>
    <row r="62" spans="1:19" x14ac:dyDescent="0.3">
      <c r="A62" t="s">
        <v>132</v>
      </c>
      <c r="B62">
        <v>46020</v>
      </c>
      <c r="C62" t="s">
        <v>54</v>
      </c>
      <c r="D62" t="s">
        <v>55</v>
      </c>
      <c r="E62" t="s">
        <v>32</v>
      </c>
      <c r="F62" t="s">
        <v>23</v>
      </c>
      <c r="G62">
        <v>63284.11565</v>
      </c>
      <c r="H62">
        <v>57471.96</v>
      </c>
      <c r="I62">
        <v>5812.16</v>
      </c>
      <c r="J62">
        <v>53188.7</v>
      </c>
      <c r="K62">
        <v>14878.16</v>
      </c>
      <c r="L62">
        <v>163865.82</v>
      </c>
      <c r="M62">
        <v>989</v>
      </c>
      <c r="N62">
        <v>0.13819999999999999</v>
      </c>
      <c r="O62">
        <f t="shared" si="0"/>
        <v>9.1800000000000007E-2</v>
      </c>
      <c r="P62">
        <f t="shared" si="1"/>
        <v>9.0800000000000006E-2</v>
      </c>
      <c r="Q62" t="s">
        <v>66</v>
      </c>
      <c r="R62">
        <v>2025</v>
      </c>
      <c r="S62" t="s">
        <v>25</v>
      </c>
    </row>
    <row r="63" spans="1:19" x14ac:dyDescent="0.3">
      <c r="A63" t="s">
        <v>133</v>
      </c>
      <c r="B63" s="4">
        <v>44881</v>
      </c>
      <c r="C63" t="s">
        <v>48</v>
      </c>
      <c r="D63" t="s">
        <v>49</v>
      </c>
      <c r="E63" t="s">
        <v>22</v>
      </c>
      <c r="F63" t="s">
        <v>23</v>
      </c>
      <c r="G63">
        <v>73748.69</v>
      </c>
      <c r="H63">
        <v>65993.67</v>
      </c>
      <c r="I63">
        <v>7755.02</v>
      </c>
      <c r="J63">
        <v>17801.02</v>
      </c>
      <c r="K63">
        <v>54477.55</v>
      </c>
      <c r="L63">
        <v>34722.61</v>
      </c>
      <c r="M63">
        <v>641</v>
      </c>
      <c r="N63">
        <v>-0.15040000000000001</v>
      </c>
      <c r="O63">
        <f t="shared" si="0"/>
        <v>0.1052</v>
      </c>
      <c r="P63">
        <f t="shared" si="1"/>
        <v>1.5689</v>
      </c>
      <c r="Q63" t="s">
        <v>46</v>
      </c>
      <c r="R63">
        <v>2022</v>
      </c>
      <c r="S63" t="s">
        <v>82</v>
      </c>
    </row>
    <row r="64" spans="1:19" x14ac:dyDescent="0.3">
      <c r="A64" t="s">
        <v>134</v>
      </c>
      <c r="B64">
        <v>44733</v>
      </c>
      <c r="C64" t="s">
        <v>27</v>
      </c>
      <c r="D64" t="s">
        <v>28</v>
      </c>
      <c r="E64" t="s">
        <v>38</v>
      </c>
      <c r="F64" t="s">
        <v>23</v>
      </c>
      <c r="G64">
        <v>109897.18</v>
      </c>
      <c r="H64">
        <v>64016.34</v>
      </c>
      <c r="I64">
        <v>45880.84</v>
      </c>
      <c r="J64">
        <v>16174.11</v>
      </c>
      <c r="K64">
        <v>25403.97</v>
      </c>
      <c r="L64">
        <v>43955.91</v>
      </c>
      <c r="M64">
        <v>1603</v>
      </c>
      <c r="N64">
        <v>4.48E-2</v>
      </c>
      <c r="O64">
        <f t="shared" si="0"/>
        <v>0.41749999999999998</v>
      </c>
      <c r="P64">
        <f t="shared" si="1"/>
        <v>0.57789999999999997</v>
      </c>
      <c r="Q64" t="s">
        <v>58</v>
      </c>
      <c r="R64">
        <v>2022</v>
      </c>
      <c r="S64" t="s">
        <v>40</v>
      </c>
    </row>
    <row r="65" spans="1:19" x14ac:dyDescent="0.3">
      <c r="A65" t="s">
        <v>135</v>
      </c>
      <c r="B65" s="4">
        <v>44797</v>
      </c>
      <c r="C65" t="s">
        <v>48</v>
      </c>
      <c r="D65" t="s">
        <v>49</v>
      </c>
      <c r="E65" t="s">
        <v>22</v>
      </c>
      <c r="F65" t="s">
        <v>23</v>
      </c>
      <c r="G65">
        <v>114070.85</v>
      </c>
      <c r="H65">
        <v>104562.35</v>
      </c>
      <c r="I65">
        <v>9508.5</v>
      </c>
      <c r="J65">
        <v>29697.95</v>
      </c>
      <c r="K65">
        <v>17912.88</v>
      </c>
      <c r="L65">
        <v>53288.92</v>
      </c>
      <c r="M65">
        <v>975</v>
      </c>
      <c r="N65">
        <v>3.6499999999999998E-2</v>
      </c>
      <c r="O65">
        <f t="shared" si="0"/>
        <v>8.3400000000000002E-2</v>
      </c>
      <c r="P65">
        <f t="shared" si="1"/>
        <v>0.33610000000000001</v>
      </c>
      <c r="Q65" t="s">
        <v>76</v>
      </c>
      <c r="R65">
        <v>2022</v>
      </c>
      <c r="S65" t="s">
        <v>40</v>
      </c>
    </row>
    <row r="66" spans="1:19" x14ac:dyDescent="0.3">
      <c r="A66" t="s">
        <v>136</v>
      </c>
      <c r="B66">
        <v>45434</v>
      </c>
      <c r="C66" t="s">
        <v>36</v>
      </c>
      <c r="D66" t="s">
        <v>37</v>
      </c>
      <c r="E66" t="s">
        <v>22</v>
      </c>
      <c r="F66" t="s">
        <v>23</v>
      </c>
      <c r="G66">
        <v>120072.47</v>
      </c>
      <c r="H66">
        <v>102697.87</v>
      </c>
      <c r="I66">
        <v>17374.599999999999</v>
      </c>
      <c r="J66">
        <v>51358.04</v>
      </c>
      <c r="K66">
        <v>17000.48</v>
      </c>
      <c r="L66">
        <v>87292.13</v>
      </c>
      <c r="M66">
        <v>1253</v>
      </c>
      <c r="N66">
        <v>2.8299999999999999E-2</v>
      </c>
      <c r="O66">
        <f t="shared" si="0"/>
        <v>0.1447</v>
      </c>
      <c r="P66">
        <f t="shared" si="1"/>
        <v>0.1948</v>
      </c>
      <c r="Q66" t="s">
        <v>111</v>
      </c>
      <c r="R66">
        <v>2024</v>
      </c>
      <c r="S66" t="s">
        <v>25</v>
      </c>
    </row>
    <row r="67" spans="1:19" x14ac:dyDescent="0.3">
      <c r="A67" t="s">
        <v>137</v>
      </c>
      <c r="B67">
        <v>44650</v>
      </c>
      <c r="C67" t="s">
        <v>78</v>
      </c>
      <c r="D67" t="s">
        <v>79</v>
      </c>
      <c r="E67" t="s">
        <v>22</v>
      </c>
      <c r="F67" t="s">
        <v>23</v>
      </c>
      <c r="G67">
        <v>633740.88</v>
      </c>
      <c r="H67">
        <v>42994.01</v>
      </c>
      <c r="I67">
        <v>590746.87</v>
      </c>
      <c r="J67">
        <v>124855.61</v>
      </c>
      <c r="K67">
        <v>262917.03999999998</v>
      </c>
      <c r="L67">
        <v>234423.7</v>
      </c>
      <c r="M67">
        <v>315</v>
      </c>
      <c r="N67">
        <v>0.12330000000000001</v>
      </c>
      <c r="O67">
        <f t="shared" ref="O67:O130" si="2">(ROUND(I67/G67,4))</f>
        <v>0.93220000000000003</v>
      </c>
      <c r="P67">
        <f t="shared" ref="P67:P130" si="3">ROUND(K67/L67,4)</f>
        <v>1.1214999999999999</v>
      </c>
      <c r="Q67" t="s">
        <v>90</v>
      </c>
      <c r="R67">
        <v>2022</v>
      </c>
      <c r="S67" t="s">
        <v>82</v>
      </c>
    </row>
    <row r="68" spans="1:19" x14ac:dyDescent="0.3">
      <c r="A68" t="s">
        <v>138</v>
      </c>
      <c r="B68">
        <v>45810</v>
      </c>
      <c r="C68" t="s">
        <v>48</v>
      </c>
      <c r="D68" t="s">
        <v>49</v>
      </c>
      <c r="E68" t="s">
        <v>38</v>
      </c>
      <c r="F68" t="s">
        <v>23</v>
      </c>
      <c r="G68">
        <v>114283.86</v>
      </c>
      <c r="H68">
        <v>65673.119999999995</v>
      </c>
      <c r="I68">
        <v>48610.74</v>
      </c>
      <c r="J68">
        <v>6388.69</v>
      </c>
      <c r="K68">
        <v>32650.39</v>
      </c>
      <c r="L68">
        <v>25387.68</v>
      </c>
      <c r="M68">
        <v>387</v>
      </c>
      <c r="N68">
        <v>-4.7399999999999998E-2</v>
      </c>
      <c r="O68">
        <f t="shared" si="2"/>
        <v>0.4254</v>
      </c>
      <c r="P68">
        <f t="shared" si="3"/>
        <v>1.2861</v>
      </c>
      <c r="Q68" t="s">
        <v>34</v>
      </c>
      <c r="R68">
        <v>2025</v>
      </c>
      <c r="S68" t="s">
        <v>82</v>
      </c>
    </row>
    <row r="69" spans="1:19" x14ac:dyDescent="0.3">
      <c r="A69" t="s">
        <v>139</v>
      </c>
      <c r="B69">
        <v>45600</v>
      </c>
      <c r="C69" t="s">
        <v>30</v>
      </c>
      <c r="D69" t="s">
        <v>31</v>
      </c>
      <c r="E69" t="s">
        <v>38</v>
      </c>
      <c r="F69" t="s">
        <v>23</v>
      </c>
      <c r="G69">
        <v>72527.149999999994</v>
      </c>
      <c r="H69">
        <v>59787.07</v>
      </c>
      <c r="I69">
        <v>12740.08</v>
      </c>
      <c r="J69">
        <v>68739.320000000007</v>
      </c>
      <c r="K69">
        <v>52183.56</v>
      </c>
      <c r="L69">
        <v>196437.04</v>
      </c>
      <c r="M69">
        <v>717</v>
      </c>
      <c r="N69">
        <v>3.9100000000000003E-2</v>
      </c>
      <c r="O69">
        <f t="shared" si="2"/>
        <v>0.1757</v>
      </c>
      <c r="P69">
        <f t="shared" si="3"/>
        <v>0.26569999999999999</v>
      </c>
      <c r="Q69" t="s">
        <v>52</v>
      </c>
      <c r="R69">
        <v>2024</v>
      </c>
      <c r="S69" t="s">
        <v>25</v>
      </c>
    </row>
    <row r="70" spans="1:19" x14ac:dyDescent="0.3">
      <c r="A70" t="s">
        <v>140</v>
      </c>
      <c r="B70">
        <v>45078</v>
      </c>
      <c r="C70" t="s">
        <v>42</v>
      </c>
      <c r="D70" t="s">
        <v>43</v>
      </c>
      <c r="E70" t="s">
        <v>32</v>
      </c>
      <c r="F70" t="s">
        <v>23</v>
      </c>
      <c r="G70">
        <v>66803.605200000005</v>
      </c>
      <c r="H70">
        <v>57041.27</v>
      </c>
      <c r="I70">
        <v>9762.34</v>
      </c>
      <c r="J70">
        <v>67225.08</v>
      </c>
      <c r="K70">
        <v>24822.48</v>
      </c>
      <c r="L70">
        <v>100128.5</v>
      </c>
      <c r="M70">
        <v>735</v>
      </c>
      <c r="N70">
        <v>3.8300000000000001E-2</v>
      </c>
      <c r="O70">
        <f t="shared" si="2"/>
        <v>0.14610000000000001</v>
      </c>
      <c r="P70">
        <f t="shared" si="3"/>
        <v>0.24790000000000001</v>
      </c>
      <c r="Q70" t="s">
        <v>39</v>
      </c>
      <c r="R70">
        <v>2023</v>
      </c>
      <c r="S70" t="s">
        <v>25</v>
      </c>
    </row>
    <row r="71" spans="1:19" x14ac:dyDescent="0.3">
      <c r="A71" t="s">
        <v>141</v>
      </c>
      <c r="B71">
        <v>44691</v>
      </c>
      <c r="C71" t="s">
        <v>42</v>
      </c>
      <c r="D71" t="s">
        <v>43</v>
      </c>
      <c r="E71" t="s">
        <v>22</v>
      </c>
      <c r="F71" t="s">
        <v>23</v>
      </c>
      <c r="G71">
        <v>74438.02</v>
      </c>
      <c r="H71">
        <v>56516.18</v>
      </c>
      <c r="I71">
        <v>17921.84</v>
      </c>
      <c r="J71">
        <v>29894.5</v>
      </c>
      <c r="K71">
        <v>47785.56</v>
      </c>
      <c r="L71">
        <v>223910.48</v>
      </c>
      <c r="M71">
        <v>528</v>
      </c>
      <c r="N71">
        <v>-4.1000000000000002E-2</v>
      </c>
      <c r="O71">
        <f t="shared" si="2"/>
        <v>0.24079999999999999</v>
      </c>
      <c r="P71">
        <f t="shared" si="3"/>
        <v>0.21340000000000001</v>
      </c>
      <c r="Q71" t="s">
        <v>58</v>
      </c>
      <c r="R71">
        <v>2022</v>
      </c>
      <c r="S71" t="s">
        <v>25</v>
      </c>
    </row>
    <row r="72" spans="1:19" x14ac:dyDescent="0.3">
      <c r="A72" t="s">
        <v>142</v>
      </c>
      <c r="B72">
        <v>44863</v>
      </c>
      <c r="C72" t="s">
        <v>20</v>
      </c>
      <c r="D72" t="s">
        <v>21</v>
      </c>
      <c r="E72" t="s">
        <v>32</v>
      </c>
      <c r="F72" t="s">
        <v>23</v>
      </c>
      <c r="G72">
        <v>137400.04579999999</v>
      </c>
      <c r="H72">
        <v>82642.41</v>
      </c>
      <c r="I72">
        <v>54757.63</v>
      </c>
      <c r="J72">
        <v>43663.32</v>
      </c>
      <c r="K72">
        <v>24843.15</v>
      </c>
      <c r="L72">
        <v>92954.8</v>
      </c>
      <c r="M72">
        <v>1199</v>
      </c>
      <c r="N72">
        <v>0.12740000000000001</v>
      </c>
      <c r="O72">
        <f t="shared" si="2"/>
        <v>0.39850000000000002</v>
      </c>
      <c r="P72">
        <f t="shared" si="3"/>
        <v>0.26729999999999998</v>
      </c>
      <c r="Q72" t="s">
        <v>46</v>
      </c>
      <c r="R72">
        <v>2022</v>
      </c>
      <c r="S72" t="s">
        <v>25</v>
      </c>
    </row>
    <row r="73" spans="1:19" x14ac:dyDescent="0.3">
      <c r="A73" t="s">
        <v>143</v>
      </c>
      <c r="B73">
        <v>45909</v>
      </c>
      <c r="C73" t="s">
        <v>36</v>
      </c>
      <c r="D73" t="s">
        <v>37</v>
      </c>
      <c r="E73" t="s">
        <v>22</v>
      </c>
      <c r="F73" t="s">
        <v>23</v>
      </c>
      <c r="G73">
        <v>183255.30349999998</v>
      </c>
      <c r="H73">
        <v>126178.81</v>
      </c>
      <c r="I73">
        <v>57076.5</v>
      </c>
      <c r="J73">
        <v>60240.61</v>
      </c>
      <c r="K73">
        <v>18647.54</v>
      </c>
      <c r="L73">
        <v>107521.57</v>
      </c>
      <c r="M73">
        <v>1084</v>
      </c>
      <c r="N73">
        <v>-1.9199999999999998E-2</v>
      </c>
      <c r="O73">
        <f t="shared" si="2"/>
        <v>0.3115</v>
      </c>
      <c r="P73">
        <f t="shared" si="3"/>
        <v>0.1734</v>
      </c>
      <c r="Q73" t="s">
        <v>24</v>
      </c>
      <c r="R73">
        <v>2025</v>
      </c>
      <c r="S73" t="s">
        <v>25</v>
      </c>
    </row>
    <row r="74" spans="1:19" x14ac:dyDescent="0.3">
      <c r="A74" t="s">
        <v>145</v>
      </c>
      <c r="B74" s="4">
        <v>45128</v>
      </c>
      <c r="C74" t="s">
        <v>48</v>
      </c>
      <c r="D74" t="s">
        <v>49</v>
      </c>
      <c r="E74" t="s">
        <v>22</v>
      </c>
      <c r="F74" t="s">
        <v>23</v>
      </c>
      <c r="G74">
        <v>103730.13</v>
      </c>
      <c r="H74">
        <v>71609.38</v>
      </c>
      <c r="I74">
        <v>32120.75</v>
      </c>
      <c r="J74">
        <v>12694.22</v>
      </c>
      <c r="K74">
        <v>14225.59</v>
      </c>
      <c r="L74">
        <v>110974.77</v>
      </c>
      <c r="M74">
        <v>1111</v>
      </c>
      <c r="N74">
        <v>0.1089</v>
      </c>
      <c r="O74">
        <f t="shared" si="2"/>
        <v>0.30969999999999998</v>
      </c>
      <c r="P74">
        <f t="shared" si="3"/>
        <v>0.12820000000000001</v>
      </c>
      <c r="Q74" t="s">
        <v>56</v>
      </c>
      <c r="R74">
        <v>2023</v>
      </c>
      <c r="S74" t="s">
        <v>25</v>
      </c>
    </row>
    <row r="75" spans="1:19" x14ac:dyDescent="0.3">
      <c r="A75" t="s">
        <v>146</v>
      </c>
      <c r="B75">
        <v>45098</v>
      </c>
      <c r="C75" t="s">
        <v>30</v>
      </c>
      <c r="D75" t="s">
        <v>31</v>
      </c>
      <c r="E75" t="s">
        <v>51</v>
      </c>
      <c r="F75" t="s">
        <v>23</v>
      </c>
      <c r="G75">
        <v>30459.919750000001</v>
      </c>
      <c r="H75">
        <v>27104.1</v>
      </c>
      <c r="I75">
        <v>3355.82</v>
      </c>
      <c r="J75">
        <v>5357</v>
      </c>
      <c r="K75">
        <v>21603.72</v>
      </c>
      <c r="L75">
        <v>78297.3</v>
      </c>
      <c r="M75" t="s">
        <v>1281</v>
      </c>
      <c r="N75">
        <v>3.3500000000000002E-2</v>
      </c>
      <c r="O75">
        <f t="shared" si="2"/>
        <v>0.11020000000000001</v>
      </c>
      <c r="P75">
        <f t="shared" si="3"/>
        <v>0.27589999999999998</v>
      </c>
      <c r="Q75" t="s">
        <v>39</v>
      </c>
      <c r="R75">
        <v>2023</v>
      </c>
      <c r="S75" t="s">
        <v>25</v>
      </c>
    </row>
    <row r="76" spans="1:19" x14ac:dyDescent="0.3">
      <c r="A76" t="s">
        <v>147</v>
      </c>
      <c r="B76">
        <v>45271</v>
      </c>
      <c r="C76" t="s">
        <v>78</v>
      </c>
      <c r="D76" t="s">
        <v>79</v>
      </c>
      <c r="E76" t="s">
        <v>32</v>
      </c>
      <c r="F76" t="s">
        <v>23</v>
      </c>
      <c r="G76">
        <v>52496.795850000002</v>
      </c>
      <c r="H76">
        <v>33148.370000000003</v>
      </c>
      <c r="I76">
        <v>19348.43</v>
      </c>
      <c r="J76">
        <v>70935.48</v>
      </c>
      <c r="K76">
        <v>32798.300000000003</v>
      </c>
      <c r="L76">
        <v>93449.16</v>
      </c>
      <c r="M76">
        <v>883</v>
      </c>
      <c r="N76">
        <v>4.2200000000000001E-2</v>
      </c>
      <c r="O76">
        <f t="shared" si="2"/>
        <v>0.36859999999999998</v>
      </c>
      <c r="P76">
        <f t="shared" si="3"/>
        <v>0.35099999999999998</v>
      </c>
      <c r="Q76" t="s">
        <v>44</v>
      </c>
      <c r="R76">
        <v>2023</v>
      </c>
      <c r="S76" t="s">
        <v>40</v>
      </c>
    </row>
    <row r="77" spans="1:19" x14ac:dyDescent="0.3">
      <c r="A77" t="s">
        <v>148</v>
      </c>
      <c r="B77">
        <v>45037</v>
      </c>
      <c r="C77" t="s">
        <v>42</v>
      </c>
      <c r="D77" t="s">
        <v>43</v>
      </c>
      <c r="E77" t="s">
        <v>32</v>
      </c>
      <c r="F77" t="s">
        <v>23</v>
      </c>
      <c r="G77">
        <v>35054.037600000003</v>
      </c>
      <c r="H77">
        <v>23165.48</v>
      </c>
      <c r="I77">
        <v>11888.56</v>
      </c>
      <c r="J77">
        <v>41757.22</v>
      </c>
      <c r="K77">
        <v>15347.58</v>
      </c>
      <c r="L77">
        <v>62221.45</v>
      </c>
      <c r="M77">
        <v>1648</v>
      </c>
      <c r="N77">
        <v>-1.47E-2</v>
      </c>
      <c r="O77">
        <f t="shared" si="2"/>
        <v>0.33910000000000001</v>
      </c>
      <c r="P77">
        <f t="shared" si="3"/>
        <v>0.2467</v>
      </c>
      <c r="Q77" t="s">
        <v>39</v>
      </c>
      <c r="R77">
        <v>2023</v>
      </c>
      <c r="S77" t="s">
        <v>25</v>
      </c>
    </row>
    <row r="78" spans="1:19" x14ac:dyDescent="0.3">
      <c r="A78" t="s">
        <v>149</v>
      </c>
      <c r="B78">
        <v>44847</v>
      </c>
      <c r="C78" t="s">
        <v>48</v>
      </c>
      <c r="D78" t="s">
        <v>49</v>
      </c>
      <c r="E78" t="s">
        <v>38</v>
      </c>
      <c r="F78" t="s">
        <v>23</v>
      </c>
      <c r="G78">
        <v>89055.82</v>
      </c>
      <c r="H78">
        <v>58669.67</v>
      </c>
      <c r="I78">
        <v>30386.15</v>
      </c>
      <c r="J78">
        <v>74350.86</v>
      </c>
      <c r="K78">
        <v>32462.84</v>
      </c>
      <c r="L78">
        <v>308453.45</v>
      </c>
      <c r="M78">
        <v>450</v>
      </c>
      <c r="N78">
        <v>0.21970000000000001</v>
      </c>
      <c r="O78">
        <f t="shared" si="2"/>
        <v>0.3412</v>
      </c>
      <c r="P78">
        <f t="shared" si="3"/>
        <v>0.1052</v>
      </c>
      <c r="Q78" t="s">
        <v>46</v>
      </c>
      <c r="R78">
        <v>2022</v>
      </c>
      <c r="S78" t="s">
        <v>25</v>
      </c>
    </row>
    <row r="79" spans="1:19" x14ac:dyDescent="0.3">
      <c r="A79" t="s">
        <v>150</v>
      </c>
      <c r="B79">
        <v>45849</v>
      </c>
      <c r="C79" t="s">
        <v>85</v>
      </c>
      <c r="D79" t="s">
        <v>86</v>
      </c>
      <c r="E79" t="s">
        <v>22</v>
      </c>
      <c r="F79" t="s">
        <v>23</v>
      </c>
      <c r="G79">
        <v>29293.4</v>
      </c>
      <c r="H79">
        <v>23091.39</v>
      </c>
      <c r="I79">
        <v>6202.01</v>
      </c>
      <c r="J79">
        <v>19063.45</v>
      </c>
      <c r="K79">
        <v>20140.48</v>
      </c>
      <c r="L79">
        <v>75892.77</v>
      </c>
      <c r="M79">
        <v>1116</v>
      </c>
      <c r="N79">
        <v>-4.8000000000000001E-2</v>
      </c>
      <c r="O79">
        <f t="shared" si="2"/>
        <v>0.2117</v>
      </c>
      <c r="P79">
        <f t="shared" si="3"/>
        <v>0.26540000000000002</v>
      </c>
      <c r="Q79" t="s">
        <v>24</v>
      </c>
      <c r="R79">
        <v>2025</v>
      </c>
      <c r="S79" t="s">
        <v>25</v>
      </c>
    </row>
    <row r="80" spans="1:19" x14ac:dyDescent="0.3">
      <c r="A80" t="s">
        <v>151</v>
      </c>
      <c r="B80">
        <v>45320</v>
      </c>
      <c r="C80" t="s">
        <v>102</v>
      </c>
      <c r="D80" t="s">
        <v>103</v>
      </c>
      <c r="E80" t="s">
        <v>38</v>
      </c>
      <c r="F80" t="s">
        <v>23</v>
      </c>
      <c r="G80">
        <v>44318.64</v>
      </c>
      <c r="H80">
        <v>32664.52</v>
      </c>
      <c r="I80">
        <v>11654.12</v>
      </c>
      <c r="J80">
        <v>21230.19</v>
      </c>
      <c r="K80">
        <v>6858.18</v>
      </c>
      <c r="L80">
        <v>148971.01999999999</v>
      </c>
      <c r="M80">
        <v>1384</v>
      </c>
      <c r="N80">
        <v>2.29E-2</v>
      </c>
      <c r="O80">
        <f t="shared" si="2"/>
        <v>0.26300000000000001</v>
      </c>
      <c r="P80">
        <f t="shared" si="3"/>
        <v>4.5999999999999999E-2</v>
      </c>
      <c r="Q80" t="s">
        <v>80</v>
      </c>
      <c r="R80">
        <v>2024</v>
      </c>
      <c r="S80" t="s">
        <v>25</v>
      </c>
    </row>
    <row r="81" spans="1:19" x14ac:dyDescent="0.3">
      <c r="A81" t="s">
        <v>152</v>
      </c>
      <c r="B81">
        <v>46003</v>
      </c>
      <c r="C81" t="s">
        <v>36</v>
      </c>
      <c r="D81" t="s">
        <v>37</v>
      </c>
      <c r="E81" t="s">
        <v>38</v>
      </c>
      <c r="F81" t="s">
        <v>23</v>
      </c>
      <c r="G81">
        <v>164781.14000000001</v>
      </c>
      <c r="H81">
        <v>149321.42000000001</v>
      </c>
      <c r="I81">
        <v>15459.72</v>
      </c>
      <c r="J81">
        <v>44100.54</v>
      </c>
      <c r="K81">
        <v>6942.29</v>
      </c>
      <c r="L81">
        <v>74573.66</v>
      </c>
      <c r="M81">
        <v>996</v>
      </c>
      <c r="N81">
        <v>-4.3700000000000003E-2</v>
      </c>
      <c r="O81">
        <f t="shared" si="2"/>
        <v>9.3799999999999994E-2</v>
      </c>
      <c r="P81">
        <f t="shared" si="3"/>
        <v>9.3100000000000002E-2</v>
      </c>
      <c r="Q81" t="s">
        <v>66</v>
      </c>
      <c r="R81">
        <v>2025</v>
      </c>
      <c r="S81" t="s">
        <v>25</v>
      </c>
    </row>
    <row r="82" spans="1:19" x14ac:dyDescent="0.3">
      <c r="A82" t="s">
        <v>153</v>
      </c>
      <c r="B82">
        <v>44708</v>
      </c>
      <c r="C82" t="s">
        <v>48</v>
      </c>
      <c r="D82" t="s">
        <v>49</v>
      </c>
      <c r="E82" t="s">
        <v>38</v>
      </c>
      <c r="F82" t="s">
        <v>23</v>
      </c>
      <c r="G82">
        <v>177866.88</v>
      </c>
      <c r="H82">
        <v>157755.63</v>
      </c>
      <c r="I82">
        <v>20111.25</v>
      </c>
      <c r="J82">
        <v>64265.47</v>
      </c>
      <c r="K82">
        <v>8111.78</v>
      </c>
      <c r="L82">
        <v>204963.06</v>
      </c>
      <c r="M82">
        <v>730</v>
      </c>
      <c r="N82">
        <v>9.1600000000000001E-2</v>
      </c>
      <c r="O82">
        <f t="shared" si="2"/>
        <v>0.11310000000000001</v>
      </c>
      <c r="P82">
        <f t="shared" si="3"/>
        <v>3.9600000000000003E-2</v>
      </c>
      <c r="Q82" t="s">
        <v>58</v>
      </c>
      <c r="R82">
        <v>2022</v>
      </c>
      <c r="S82" t="s">
        <v>25</v>
      </c>
    </row>
    <row r="83" spans="1:19" x14ac:dyDescent="0.3">
      <c r="A83" t="s">
        <v>154</v>
      </c>
      <c r="B83">
        <v>44822</v>
      </c>
      <c r="C83" t="s">
        <v>20</v>
      </c>
      <c r="D83" t="s">
        <v>21</v>
      </c>
      <c r="E83" t="s">
        <v>38</v>
      </c>
      <c r="F83" t="s">
        <v>23</v>
      </c>
      <c r="G83">
        <v>158005.75</v>
      </c>
      <c r="H83">
        <v>108110.76</v>
      </c>
      <c r="I83">
        <v>49894.99</v>
      </c>
      <c r="J83">
        <v>20557.32</v>
      </c>
      <c r="K83">
        <v>20058.759999999998</v>
      </c>
      <c r="L83">
        <v>105888.7</v>
      </c>
      <c r="M83">
        <v>967</v>
      </c>
      <c r="N83">
        <v>-6.3200000000000006E-2</v>
      </c>
      <c r="O83">
        <f t="shared" si="2"/>
        <v>0.31580000000000003</v>
      </c>
      <c r="P83">
        <f t="shared" si="3"/>
        <v>0.18940000000000001</v>
      </c>
      <c r="Q83" t="s">
        <v>76</v>
      </c>
      <c r="R83">
        <v>2022</v>
      </c>
      <c r="S83" t="s">
        <v>25</v>
      </c>
    </row>
    <row r="84" spans="1:19" x14ac:dyDescent="0.3">
      <c r="A84" t="s">
        <v>155</v>
      </c>
      <c r="B84">
        <v>44689</v>
      </c>
      <c r="C84" t="s">
        <v>54</v>
      </c>
      <c r="D84" t="s">
        <v>55</v>
      </c>
      <c r="E84" t="s">
        <v>22</v>
      </c>
      <c r="F84" t="s">
        <v>23</v>
      </c>
      <c r="G84">
        <v>70137.279999999999</v>
      </c>
      <c r="H84">
        <v>51874.19</v>
      </c>
      <c r="I84">
        <v>18263.09</v>
      </c>
      <c r="J84">
        <v>12837.24</v>
      </c>
      <c r="K84">
        <v>53948.89</v>
      </c>
      <c r="L84">
        <v>145139.4</v>
      </c>
      <c r="M84">
        <v>487</v>
      </c>
      <c r="N84">
        <v>-2.52E-2</v>
      </c>
      <c r="O84">
        <f t="shared" si="2"/>
        <v>0.26040000000000002</v>
      </c>
      <c r="P84">
        <f t="shared" si="3"/>
        <v>0.37169999999999997</v>
      </c>
      <c r="Q84" t="s">
        <v>58</v>
      </c>
      <c r="R84">
        <v>2022</v>
      </c>
      <c r="S84" t="s">
        <v>40</v>
      </c>
    </row>
    <row r="85" spans="1:19" x14ac:dyDescent="0.3">
      <c r="A85" t="s">
        <v>156</v>
      </c>
      <c r="B85">
        <v>44565</v>
      </c>
      <c r="C85" t="s">
        <v>85</v>
      </c>
      <c r="D85" t="s">
        <v>86</v>
      </c>
      <c r="E85" t="s">
        <v>22</v>
      </c>
      <c r="F85" t="s">
        <v>23</v>
      </c>
      <c r="G85">
        <v>149786.53</v>
      </c>
      <c r="H85">
        <v>127971.03</v>
      </c>
      <c r="I85">
        <v>21815.5</v>
      </c>
      <c r="J85">
        <v>73570.38</v>
      </c>
      <c r="K85">
        <v>79015.3</v>
      </c>
      <c r="L85">
        <v>139417.76</v>
      </c>
      <c r="M85">
        <v>637</v>
      </c>
      <c r="N85">
        <v>9.7000000000000003E-3</v>
      </c>
      <c r="O85">
        <f t="shared" si="2"/>
        <v>0.14560000000000001</v>
      </c>
      <c r="P85">
        <f t="shared" si="3"/>
        <v>0.56679999999999997</v>
      </c>
      <c r="Q85" t="s">
        <v>90</v>
      </c>
      <c r="R85">
        <v>2022</v>
      </c>
      <c r="S85" t="s">
        <v>40</v>
      </c>
    </row>
    <row r="86" spans="1:19" x14ac:dyDescent="0.3">
      <c r="A86" t="s">
        <v>157</v>
      </c>
      <c r="B86">
        <v>45963</v>
      </c>
      <c r="C86" t="s">
        <v>27</v>
      </c>
      <c r="D86" t="s">
        <v>28</v>
      </c>
      <c r="E86" t="s">
        <v>22</v>
      </c>
      <c r="F86" t="s">
        <v>23</v>
      </c>
      <c r="G86">
        <v>50772.57</v>
      </c>
      <c r="H86">
        <v>30555.279999999999</v>
      </c>
      <c r="I86">
        <v>20217.29</v>
      </c>
      <c r="J86">
        <v>40943.269999999997</v>
      </c>
      <c r="K86">
        <v>13107.76</v>
      </c>
      <c r="L86">
        <v>71209.09</v>
      </c>
      <c r="M86">
        <v>597</v>
      </c>
      <c r="N86">
        <v>7.3300000000000004E-2</v>
      </c>
      <c r="O86">
        <f t="shared" si="2"/>
        <v>0.3982</v>
      </c>
      <c r="P86">
        <f t="shared" si="3"/>
        <v>0.18410000000000001</v>
      </c>
      <c r="Q86" t="s">
        <v>66</v>
      </c>
      <c r="R86">
        <v>2025</v>
      </c>
      <c r="S86" t="s">
        <v>25</v>
      </c>
    </row>
    <row r="87" spans="1:19" x14ac:dyDescent="0.3">
      <c r="A87" t="s">
        <v>158</v>
      </c>
      <c r="B87">
        <v>45467</v>
      </c>
      <c r="C87" t="s">
        <v>78</v>
      </c>
      <c r="D87" t="s">
        <v>79</v>
      </c>
      <c r="E87" t="s">
        <v>32</v>
      </c>
      <c r="F87" t="s">
        <v>23</v>
      </c>
      <c r="G87">
        <v>75556.706550000003</v>
      </c>
      <c r="H87">
        <v>52267.199999999997</v>
      </c>
      <c r="I87">
        <v>23289.51</v>
      </c>
      <c r="J87">
        <v>66172.479999999996</v>
      </c>
      <c r="K87">
        <v>18686.38</v>
      </c>
      <c r="L87">
        <v>136083.1</v>
      </c>
      <c r="M87">
        <v>1133</v>
      </c>
      <c r="N87">
        <v>-4.4400000000000002E-2</v>
      </c>
      <c r="O87">
        <f t="shared" si="2"/>
        <v>0.30819999999999997</v>
      </c>
      <c r="P87">
        <f t="shared" si="3"/>
        <v>0.13730000000000001</v>
      </c>
      <c r="Q87" t="s">
        <v>111</v>
      </c>
      <c r="R87">
        <v>2024</v>
      </c>
      <c r="S87" t="s">
        <v>25</v>
      </c>
    </row>
    <row r="88" spans="1:19" x14ac:dyDescent="0.3">
      <c r="A88" t="s">
        <v>159</v>
      </c>
      <c r="B88">
        <v>45956</v>
      </c>
      <c r="C88" t="s">
        <v>30</v>
      </c>
      <c r="D88" t="s">
        <v>31</v>
      </c>
      <c r="E88" t="s">
        <v>38</v>
      </c>
      <c r="F88" t="s">
        <v>23</v>
      </c>
      <c r="G88">
        <v>49144.17</v>
      </c>
      <c r="H88">
        <v>32278.71</v>
      </c>
      <c r="I88">
        <v>16865.46</v>
      </c>
      <c r="J88">
        <v>12275.21</v>
      </c>
      <c r="K88">
        <v>78672.55</v>
      </c>
      <c r="L88">
        <v>43133.69</v>
      </c>
      <c r="M88">
        <v>1162</v>
      </c>
      <c r="N88">
        <v>-0.1215</v>
      </c>
      <c r="O88">
        <f t="shared" si="2"/>
        <v>0.34320000000000001</v>
      </c>
      <c r="P88">
        <f t="shared" si="3"/>
        <v>1.8239000000000001</v>
      </c>
      <c r="Q88" t="s">
        <v>66</v>
      </c>
      <c r="R88">
        <v>2025</v>
      </c>
      <c r="S88" t="s">
        <v>82</v>
      </c>
    </row>
    <row r="89" spans="1:19" x14ac:dyDescent="0.3">
      <c r="A89" t="s">
        <v>160</v>
      </c>
      <c r="B89">
        <v>45225</v>
      </c>
      <c r="C89" t="s">
        <v>1282</v>
      </c>
      <c r="D89" t="s">
        <v>69</v>
      </c>
      <c r="E89" t="s">
        <v>32</v>
      </c>
      <c r="F89" t="s">
        <v>23</v>
      </c>
      <c r="G89">
        <v>89086.507450000005</v>
      </c>
      <c r="H89">
        <v>56082.44</v>
      </c>
      <c r="I89">
        <v>33004.06</v>
      </c>
      <c r="J89">
        <v>42647.78</v>
      </c>
      <c r="K89">
        <v>19436.240000000002</v>
      </c>
      <c r="L89">
        <v>117773.03</v>
      </c>
      <c r="M89">
        <v>2841</v>
      </c>
      <c r="N89">
        <v>2.8E-3</v>
      </c>
      <c r="O89">
        <f t="shared" si="2"/>
        <v>0.3705</v>
      </c>
      <c r="P89">
        <f t="shared" si="3"/>
        <v>0.16500000000000001</v>
      </c>
      <c r="Q89" t="s">
        <v>44</v>
      </c>
      <c r="R89">
        <v>2023</v>
      </c>
      <c r="S89" t="s">
        <v>25</v>
      </c>
    </row>
    <row r="90" spans="1:19" x14ac:dyDescent="0.3">
      <c r="A90" t="s">
        <v>161</v>
      </c>
      <c r="B90">
        <v>44634</v>
      </c>
      <c r="C90" t="s">
        <v>1282</v>
      </c>
      <c r="D90" t="s">
        <v>69</v>
      </c>
      <c r="E90" t="s">
        <v>22</v>
      </c>
      <c r="F90" t="s">
        <v>23</v>
      </c>
      <c r="G90">
        <v>82199.09</v>
      </c>
      <c r="H90">
        <v>60279.21</v>
      </c>
      <c r="I90">
        <v>21919.88</v>
      </c>
      <c r="J90">
        <v>25993.54</v>
      </c>
      <c r="K90">
        <v>16291.95</v>
      </c>
      <c r="L90">
        <v>259120.02</v>
      </c>
      <c r="M90">
        <v>1234</v>
      </c>
      <c r="N90">
        <v>-3.2199999999999999E-2</v>
      </c>
      <c r="O90">
        <f t="shared" si="2"/>
        <v>0.26669999999999999</v>
      </c>
      <c r="P90">
        <f t="shared" si="3"/>
        <v>6.2899999999999998E-2</v>
      </c>
      <c r="Q90" t="s">
        <v>90</v>
      </c>
      <c r="R90">
        <v>2022</v>
      </c>
      <c r="S90" t="s">
        <v>25</v>
      </c>
    </row>
    <row r="91" spans="1:19" x14ac:dyDescent="0.3">
      <c r="A91" t="s">
        <v>162</v>
      </c>
      <c r="B91">
        <v>46020</v>
      </c>
      <c r="C91" t="s">
        <v>27</v>
      </c>
      <c r="D91" t="s">
        <v>28</v>
      </c>
      <c r="E91" t="s">
        <v>38</v>
      </c>
      <c r="F91" t="s">
        <v>23</v>
      </c>
      <c r="G91">
        <v>109554.4</v>
      </c>
      <c r="H91">
        <v>74887.039999999994</v>
      </c>
      <c r="I91">
        <v>34667.360000000001</v>
      </c>
      <c r="J91">
        <v>10947.24</v>
      </c>
      <c r="K91">
        <v>9363.01</v>
      </c>
      <c r="L91">
        <v>61476.92</v>
      </c>
      <c r="M91">
        <v>1449</v>
      </c>
      <c r="N91">
        <v>1.9E-2</v>
      </c>
      <c r="O91">
        <f t="shared" si="2"/>
        <v>0.31640000000000001</v>
      </c>
      <c r="P91">
        <f t="shared" si="3"/>
        <v>0.15229999999999999</v>
      </c>
      <c r="Q91" t="s">
        <v>66</v>
      </c>
      <c r="R91">
        <v>2025</v>
      </c>
      <c r="S91" t="s">
        <v>25</v>
      </c>
    </row>
    <row r="92" spans="1:19" x14ac:dyDescent="0.3">
      <c r="A92" t="s">
        <v>163</v>
      </c>
      <c r="B92">
        <v>45666</v>
      </c>
      <c r="C92" t="s">
        <v>102</v>
      </c>
      <c r="D92" t="s">
        <v>103</v>
      </c>
      <c r="E92" t="s">
        <v>22</v>
      </c>
      <c r="F92" t="s">
        <v>23</v>
      </c>
      <c r="G92">
        <v>168733.29</v>
      </c>
      <c r="H92">
        <v>145819.72</v>
      </c>
      <c r="I92">
        <v>22913.57</v>
      </c>
      <c r="J92">
        <v>69116.37</v>
      </c>
      <c r="K92">
        <v>25434.639999999999</v>
      </c>
      <c r="L92">
        <v>86344.16</v>
      </c>
      <c r="M92">
        <v>1089</v>
      </c>
      <c r="N92">
        <v>2.5600000000000001E-2</v>
      </c>
      <c r="O92">
        <f t="shared" si="2"/>
        <v>0.1358</v>
      </c>
      <c r="P92">
        <f t="shared" si="3"/>
        <v>0.29459999999999997</v>
      </c>
      <c r="Q92" t="s">
        <v>106</v>
      </c>
      <c r="R92">
        <v>2025</v>
      </c>
      <c r="S92" t="s">
        <v>25</v>
      </c>
    </row>
    <row r="93" spans="1:19" x14ac:dyDescent="0.3">
      <c r="A93" t="s">
        <v>164</v>
      </c>
      <c r="B93">
        <v>45671</v>
      </c>
      <c r="C93" t="s">
        <v>20</v>
      </c>
      <c r="D93" t="s">
        <v>21</v>
      </c>
      <c r="E93" t="s">
        <v>32</v>
      </c>
      <c r="F93" t="s">
        <v>23</v>
      </c>
      <c r="G93">
        <v>41469.678699999997</v>
      </c>
      <c r="H93">
        <v>36992.06</v>
      </c>
      <c r="I93">
        <v>4477.6099999999997</v>
      </c>
      <c r="J93">
        <v>78638.11</v>
      </c>
      <c r="K93">
        <v>76013.03</v>
      </c>
      <c r="L93">
        <v>143181.48000000001</v>
      </c>
      <c r="M93">
        <v>728</v>
      </c>
      <c r="N93">
        <v>7.6499999999999999E-2</v>
      </c>
      <c r="O93">
        <f t="shared" si="2"/>
        <v>0.108</v>
      </c>
      <c r="P93">
        <f t="shared" si="3"/>
        <v>0.53090000000000004</v>
      </c>
      <c r="Q93" t="s">
        <v>106</v>
      </c>
      <c r="R93">
        <v>2025</v>
      </c>
      <c r="S93" t="s">
        <v>40</v>
      </c>
    </row>
    <row r="94" spans="1:19" x14ac:dyDescent="0.3">
      <c r="A94" t="s">
        <v>165</v>
      </c>
      <c r="B94">
        <v>45744</v>
      </c>
      <c r="C94" t="s">
        <v>61</v>
      </c>
      <c r="D94" t="s">
        <v>74</v>
      </c>
      <c r="E94" t="s">
        <v>22</v>
      </c>
      <c r="F94" t="s">
        <v>23</v>
      </c>
      <c r="G94">
        <v>131461</v>
      </c>
      <c r="H94">
        <v>95702.68</v>
      </c>
      <c r="I94">
        <v>35758.32</v>
      </c>
      <c r="J94">
        <v>8035.76</v>
      </c>
      <c r="K94">
        <v>28673.43</v>
      </c>
      <c r="L94">
        <v>136061.56</v>
      </c>
      <c r="M94">
        <v>352</v>
      </c>
      <c r="N94">
        <v>-8.6300000000000002E-2</v>
      </c>
      <c r="O94">
        <f t="shared" si="2"/>
        <v>0.27200000000000002</v>
      </c>
      <c r="P94">
        <f t="shared" si="3"/>
        <v>0.2107</v>
      </c>
      <c r="Q94" t="s">
        <v>106</v>
      </c>
      <c r="R94">
        <v>2025</v>
      </c>
      <c r="S94" t="s">
        <v>25</v>
      </c>
    </row>
    <row r="95" spans="1:19" x14ac:dyDescent="0.3">
      <c r="A95" t="s">
        <v>166</v>
      </c>
      <c r="B95">
        <v>45058</v>
      </c>
      <c r="C95" t="s">
        <v>20</v>
      </c>
      <c r="D95" t="s">
        <v>21</v>
      </c>
      <c r="E95" t="s">
        <v>38</v>
      </c>
      <c r="F95" t="s">
        <v>23</v>
      </c>
      <c r="G95">
        <v>275834.87</v>
      </c>
      <c r="H95">
        <v>227013.93</v>
      </c>
      <c r="I95">
        <v>48820.94</v>
      </c>
      <c r="J95">
        <v>46148.63</v>
      </c>
      <c r="K95">
        <v>3236.34</v>
      </c>
      <c r="L95">
        <v>149631.06</v>
      </c>
      <c r="M95">
        <v>813</v>
      </c>
      <c r="N95">
        <v>8.4699999999999998E-2</v>
      </c>
      <c r="O95">
        <f t="shared" si="2"/>
        <v>0.17699999999999999</v>
      </c>
      <c r="P95">
        <f t="shared" si="3"/>
        <v>2.1600000000000001E-2</v>
      </c>
      <c r="Q95" t="s">
        <v>39</v>
      </c>
      <c r="R95">
        <v>2023</v>
      </c>
      <c r="S95" t="s">
        <v>25</v>
      </c>
    </row>
    <row r="96" spans="1:19" x14ac:dyDescent="0.3">
      <c r="A96" t="s">
        <v>167</v>
      </c>
      <c r="B96">
        <v>44975</v>
      </c>
      <c r="C96" t="s">
        <v>30</v>
      </c>
      <c r="D96" t="s">
        <v>31</v>
      </c>
      <c r="E96" t="s">
        <v>22</v>
      </c>
      <c r="F96" t="s">
        <v>23</v>
      </c>
      <c r="G96">
        <v>110922.55</v>
      </c>
      <c r="H96">
        <v>63881.52</v>
      </c>
      <c r="I96">
        <v>47041.03</v>
      </c>
      <c r="J96">
        <v>29133.98</v>
      </c>
      <c r="K96">
        <v>214950.64</v>
      </c>
      <c r="L96">
        <v>65896.05</v>
      </c>
      <c r="M96">
        <v>661</v>
      </c>
      <c r="N96">
        <v>-0.1041</v>
      </c>
      <c r="O96">
        <f t="shared" si="2"/>
        <v>0.42409999999999998</v>
      </c>
      <c r="P96">
        <f t="shared" si="3"/>
        <v>3.262</v>
      </c>
      <c r="Q96" t="s">
        <v>118</v>
      </c>
      <c r="R96">
        <v>2023</v>
      </c>
      <c r="S96" t="s">
        <v>82</v>
      </c>
    </row>
    <row r="97" spans="1:19" x14ac:dyDescent="0.3">
      <c r="A97" t="s">
        <v>168</v>
      </c>
      <c r="B97">
        <v>44901</v>
      </c>
      <c r="C97" t="s">
        <v>78</v>
      </c>
      <c r="D97" t="s">
        <v>79</v>
      </c>
      <c r="E97" t="s">
        <v>38</v>
      </c>
      <c r="F97" t="s">
        <v>23</v>
      </c>
      <c r="G97">
        <v>41472.68</v>
      </c>
      <c r="H97">
        <v>24505.19</v>
      </c>
      <c r="I97">
        <v>16967.490000000002</v>
      </c>
      <c r="J97">
        <v>57271.62</v>
      </c>
      <c r="K97">
        <v>9176.85</v>
      </c>
      <c r="L97">
        <v>87333.440000000002</v>
      </c>
      <c r="M97">
        <v>571</v>
      </c>
      <c r="N97">
        <v>-4.7600000000000003E-2</v>
      </c>
      <c r="O97">
        <f t="shared" si="2"/>
        <v>0.40910000000000002</v>
      </c>
      <c r="P97">
        <f t="shared" si="3"/>
        <v>0.1051</v>
      </c>
      <c r="Q97" t="s">
        <v>46</v>
      </c>
      <c r="R97">
        <v>2022</v>
      </c>
      <c r="S97" t="s">
        <v>25</v>
      </c>
    </row>
    <row r="98" spans="1:19" x14ac:dyDescent="0.3">
      <c r="A98" t="s">
        <v>169</v>
      </c>
      <c r="B98">
        <v>45510</v>
      </c>
      <c r="C98" t="s">
        <v>78</v>
      </c>
      <c r="D98" t="s">
        <v>79</v>
      </c>
      <c r="E98" t="s">
        <v>38</v>
      </c>
      <c r="F98" t="s">
        <v>23</v>
      </c>
      <c r="G98">
        <v>71500.149999999994</v>
      </c>
      <c r="H98">
        <v>49492.47</v>
      </c>
      <c r="I98">
        <v>22007.68</v>
      </c>
      <c r="J98">
        <v>38713.760000000002</v>
      </c>
      <c r="K98">
        <v>11424.75</v>
      </c>
      <c r="L98">
        <v>138618</v>
      </c>
      <c r="M98">
        <v>833</v>
      </c>
      <c r="N98">
        <v>-5.1900000000000002E-2</v>
      </c>
      <c r="O98">
        <f t="shared" si="2"/>
        <v>0.30780000000000002</v>
      </c>
      <c r="P98">
        <f t="shared" si="3"/>
        <v>8.2400000000000001E-2</v>
      </c>
      <c r="Q98" t="s">
        <v>72</v>
      </c>
      <c r="R98">
        <v>2024</v>
      </c>
      <c r="S98" t="s">
        <v>25</v>
      </c>
    </row>
    <row r="99" spans="1:19" x14ac:dyDescent="0.3">
      <c r="A99" t="s">
        <v>170</v>
      </c>
      <c r="B99">
        <v>45929</v>
      </c>
      <c r="C99" t="s">
        <v>102</v>
      </c>
      <c r="D99" t="s">
        <v>103</v>
      </c>
      <c r="E99" t="s">
        <v>22</v>
      </c>
      <c r="F99" t="s">
        <v>23</v>
      </c>
      <c r="G99">
        <v>328180.75</v>
      </c>
      <c r="H99">
        <v>200781.82</v>
      </c>
      <c r="I99">
        <v>127398.93</v>
      </c>
      <c r="J99">
        <v>20645.900000000001</v>
      </c>
      <c r="K99">
        <v>30735.14</v>
      </c>
      <c r="L99">
        <v>107270.44</v>
      </c>
      <c r="M99">
        <v>1022</v>
      </c>
      <c r="N99">
        <v>0.19409999999999999</v>
      </c>
      <c r="O99">
        <f t="shared" si="2"/>
        <v>0.38819999999999999</v>
      </c>
      <c r="P99">
        <f t="shared" si="3"/>
        <v>0.28649999999999998</v>
      </c>
      <c r="Q99" t="s">
        <v>24</v>
      </c>
      <c r="R99">
        <v>2025</v>
      </c>
      <c r="S99" t="s">
        <v>25</v>
      </c>
    </row>
    <row r="100" spans="1:19" x14ac:dyDescent="0.3">
      <c r="A100" t="s">
        <v>171</v>
      </c>
      <c r="B100">
        <v>45386</v>
      </c>
      <c r="C100" t="s">
        <v>61</v>
      </c>
      <c r="D100" t="s">
        <v>74</v>
      </c>
      <c r="E100" t="s">
        <v>38</v>
      </c>
      <c r="F100" t="s">
        <v>23</v>
      </c>
      <c r="G100">
        <v>48774.29</v>
      </c>
      <c r="H100">
        <v>40894.620000000003</v>
      </c>
      <c r="I100">
        <v>7879.67</v>
      </c>
      <c r="J100">
        <v>22273.79</v>
      </c>
      <c r="K100">
        <v>18091.990000000002</v>
      </c>
      <c r="L100">
        <v>75055.179999999993</v>
      </c>
      <c r="M100">
        <v>758</v>
      </c>
      <c r="N100">
        <v>-7.8E-2</v>
      </c>
      <c r="O100">
        <f t="shared" si="2"/>
        <v>0.16159999999999999</v>
      </c>
      <c r="P100">
        <f t="shared" si="3"/>
        <v>0.24099999999999999</v>
      </c>
      <c r="Q100" t="s">
        <v>111</v>
      </c>
      <c r="R100">
        <v>2024</v>
      </c>
      <c r="S100" t="s">
        <v>25</v>
      </c>
    </row>
    <row r="101" spans="1:19" x14ac:dyDescent="0.3">
      <c r="A101" t="s">
        <v>172</v>
      </c>
      <c r="B101">
        <v>45730</v>
      </c>
      <c r="C101" t="s">
        <v>1282</v>
      </c>
      <c r="D101" t="s">
        <v>69</v>
      </c>
      <c r="E101" t="s">
        <v>32</v>
      </c>
      <c r="F101" t="s">
        <v>23</v>
      </c>
      <c r="G101">
        <v>104689.77739999999</v>
      </c>
      <c r="H101">
        <v>66273.13</v>
      </c>
      <c r="I101">
        <v>38416.65</v>
      </c>
      <c r="J101">
        <v>28906.38</v>
      </c>
      <c r="K101">
        <v>36233.629999999997</v>
      </c>
      <c r="L101">
        <v>50901.96</v>
      </c>
      <c r="M101">
        <v>1801</v>
      </c>
      <c r="N101">
        <v>0.1447</v>
      </c>
      <c r="O101">
        <f t="shared" si="2"/>
        <v>0.36699999999999999</v>
      </c>
      <c r="P101">
        <f t="shared" si="3"/>
        <v>0.71179999999999999</v>
      </c>
      <c r="Q101" t="s">
        <v>106</v>
      </c>
      <c r="R101">
        <v>2025</v>
      </c>
      <c r="S101" t="s">
        <v>82</v>
      </c>
    </row>
    <row r="102" spans="1:19" x14ac:dyDescent="0.3">
      <c r="A102" t="s">
        <v>173</v>
      </c>
      <c r="B102">
        <v>45513</v>
      </c>
      <c r="C102" t="s">
        <v>1282</v>
      </c>
      <c r="D102" t="s">
        <v>69</v>
      </c>
      <c r="E102" t="s">
        <v>32</v>
      </c>
      <c r="F102" t="s">
        <v>23</v>
      </c>
      <c r="G102">
        <v>56223.610549999998</v>
      </c>
      <c r="H102">
        <v>49411.38</v>
      </c>
      <c r="I102">
        <v>6812.23</v>
      </c>
      <c r="J102">
        <v>28681.67</v>
      </c>
      <c r="K102">
        <v>47581.72</v>
      </c>
      <c r="L102">
        <v>183206.78</v>
      </c>
      <c r="M102">
        <v>612</v>
      </c>
      <c r="N102">
        <v>1.7899999999999999E-2</v>
      </c>
      <c r="O102">
        <f t="shared" si="2"/>
        <v>0.1212</v>
      </c>
      <c r="P102">
        <f t="shared" si="3"/>
        <v>0.25969999999999999</v>
      </c>
      <c r="Q102" t="s">
        <v>72</v>
      </c>
      <c r="R102">
        <v>2024</v>
      </c>
      <c r="S102" t="s">
        <v>25</v>
      </c>
    </row>
    <row r="103" spans="1:19" x14ac:dyDescent="0.3">
      <c r="A103" t="s">
        <v>174</v>
      </c>
      <c r="B103">
        <v>44599</v>
      </c>
      <c r="C103" t="s">
        <v>102</v>
      </c>
      <c r="D103" t="s">
        <v>103</v>
      </c>
      <c r="E103" t="s">
        <v>38</v>
      </c>
      <c r="F103" t="s">
        <v>23</v>
      </c>
      <c r="G103">
        <v>129918.88</v>
      </c>
      <c r="H103">
        <v>95292.12</v>
      </c>
      <c r="I103">
        <v>34626.76</v>
      </c>
      <c r="J103">
        <v>16890.75</v>
      </c>
      <c r="K103">
        <v>17781.45</v>
      </c>
      <c r="L103">
        <v>87706.8</v>
      </c>
      <c r="M103">
        <v>891</v>
      </c>
      <c r="N103">
        <v>9.9099999999999994E-2</v>
      </c>
      <c r="O103">
        <f t="shared" si="2"/>
        <v>0.26650000000000001</v>
      </c>
      <c r="P103">
        <f t="shared" si="3"/>
        <v>0.20269999999999999</v>
      </c>
      <c r="Q103" t="s">
        <v>90</v>
      </c>
      <c r="R103">
        <v>2022</v>
      </c>
      <c r="S103" t="s">
        <v>25</v>
      </c>
    </row>
    <row r="104" spans="1:19" x14ac:dyDescent="0.3">
      <c r="A104" t="s">
        <v>175</v>
      </c>
      <c r="B104">
        <v>45625</v>
      </c>
      <c r="C104" t="s">
        <v>30</v>
      </c>
      <c r="D104" t="s">
        <v>31</v>
      </c>
      <c r="E104" t="s">
        <v>22</v>
      </c>
      <c r="F104" t="s">
        <v>23</v>
      </c>
      <c r="G104">
        <v>113917.46</v>
      </c>
      <c r="H104">
        <v>73909.7</v>
      </c>
      <c r="I104">
        <v>40007.760000000002</v>
      </c>
      <c r="J104">
        <v>119694.16</v>
      </c>
      <c r="K104">
        <v>32598.39</v>
      </c>
      <c r="L104">
        <v>194988.92</v>
      </c>
      <c r="M104">
        <v>1366</v>
      </c>
      <c r="N104">
        <v>4.1599999999999998E-2</v>
      </c>
      <c r="O104">
        <f t="shared" si="2"/>
        <v>0.35120000000000001</v>
      </c>
      <c r="P104">
        <f t="shared" si="3"/>
        <v>0.16719999999999999</v>
      </c>
      <c r="Q104" t="s">
        <v>52</v>
      </c>
      <c r="R104">
        <v>2024</v>
      </c>
      <c r="S104" t="s">
        <v>25</v>
      </c>
    </row>
    <row r="105" spans="1:19" x14ac:dyDescent="0.3">
      <c r="A105" t="s">
        <v>176</v>
      </c>
      <c r="B105">
        <v>45342</v>
      </c>
      <c r="C105" t="s">
        <v>54</v>
      </c>
      <c r="D105" t="s">
        <v>55</v>
      </c>
      <c r="E105" t="s">
        <v>38</v>
      </c>
      <c r="F105" t="s">
        <v>23</v>
      </c>
      <c r="G105">
        <v>101373.89</v>
      </c>
      <c r="H105">
        <v>81266.59</v>
      </c>
      <c r="I105">
        <v>20107.3</v>
      </c>
      <c r="J105">
        <v>59886.85</v>
      </c>
      <c r="K105">
        <v>81285.850000000006</v>
      </c>
      <c r="L105">
        <v>157282.07</v>
      </c>
      <c r="M105">
        <v>832</v>
      </c>
      <c r="N105">
        <v>2.1000000000000001E-2</v>
      </c>
      <c r="O105">
        <f t="shared" si="2"/>
        <v>0.1983</v>
      </c>
      <c r="P105">
        <f t="shared" si="3"/>
        <v>0.51680000000000004</v>
      </c>
      <c r="Q105" t="s">
        <v>80</v>
      </c>
      <c r="R105">
        <v>2024</v>
      </c>
      <c r="S105" t="s">
        <v>40</v>
      </c>
    </row>
    <row r="106" spans="1:19" x14ac:dyDescent="0.3">
      <c r="A106" t="s">
        <v>177</v>
      </c>
      <c r="B106">
        <v>44643</v>
      </c>
      <c r="C106" t="s">
        <v>54</v>
      </c>
      <c r="D106" t="s">
        <v>55</v>
      </c>
      <c r="E106" t="s">
        <v>38</v>
      </c>
      <c r="F106" t="s">
        <v>23</v>
      </c>
      <c r="G106">
        <v>95977.03</v>
      </c>
      <c r="H106">
        <v>70808.31</v>
      </c>
      <c r="I106">
        <v>25168.720000000001</v>
      </c>
      <c r="J106">
        <v>43490.09</v>
      </c>
      <c r="K106">
        <v>31347.17</v>
      </c>
      <c r="L106">
        <v>105486.23</v>
      </c>
      <c r="M106">
        <v>486</v>
      </c>
      <c r="N106">
        <v>6.6000000000000003E-2</v>
      </c>
      <c r="O106">
        <f t="shared" si="2"/>
        <v>0.26219999999999999</v>
      </c>
      <c r="P106">
        <f t="shared" si="3"/>
        <v>0.29720000000000002</v>
      </c>
      <c r="Q106" t="s">
        <v>90</v>
      </c>
      <c r="R106">
        <v>2022</v>
      </c>
      <c r="S106" t="s">
        <v>25</v>
      </c>
    </row>
    <row r="107" spans="1:19" x14ac:dyDescent="0.3">
      <c r="A107" t="s">
        <v>178</v>
      </c>
      <c r="B107">
        <v>44926</v>
      </c>
      <c r="C107" t="s">
        <v>36</v>
      </c>
      <c r="D107" t="s">
        <v>37</v>
      </c>
      <c r="E107" t="s">
        <v>38</v>
      </c>
      <c r="F107" t="s">
        <v>23</v>
      </c>
      <c r="G107">
        <v>59870.8</v>
      </c>
      <c r="H107">
        <v>49787.38</v>
      </c>
      <c r="I107">
        <v>10083.42</v>
      </c>
      <c r="J107">
        <v>38307.660000000003</v>
      </c>
      <c r="K107">
        <v>41374.410000000003</v>
      </c>
      <c r="L107">
        <v>100374.39999999999</v>
      </c>
      <c r="M107">
        <v>1546</v>
      </c>
      <c r="N107">
        <v>-9.8100000000000007E-2</v>
      </c>
      <c r="O107">
        <f t="shared" si="2"/>
        <v>0.16839999999999999</v>
      </c>
      <c r="P107">
        <f t="shared" si="3"/>
        <v>0.41220000000000001</v>
      </c>
      <c r="Q107" t="s">
        <v>46</v>
      </c>
      <c r="R107">
        <v>2022</v>
      </c>
      <c r="S107" t="s">
        <v>40</v>
      </c>
    </row>
    <row r="108" spans="1:19" x14ac:dyDescent="0.3">
      <c r="A108" t="s">
        <v>179</v>
      </c>
      <c r="B108">
        <v>45781</v>
      </c>
      <c r="C108" t="s">
        <v>27</v>
      </c>
      <c r="D108" t="s">
        <v>28</v>
      </c>
      <c r="E108" t="s">
        <v>38</v>
      </c>
      <c r="F108" t="s">
        <v>23</v>
      </c>
      <c r="G108">
        <v>102448.53</v>
      </c>
      <c r="H108">
        <v>92254.92</v>
      </c>
      <c r="I108">
        <v>10193.61</v>
      </c>
      <c r="J108">
        <v>21220.12</v>
      </c>
      <c r="K108">
        <v>39828.410000000003</v>
      </c>
      <c r="L108">
        <v>59289.48</v>
      </c>
      <c r="M108">
        <v>808</v>
      </c>
      <c r="N108">
        <v>0.14849999999999999</v>
      </c>
      <c r="O108">
        <f t="shared" si="2"/>
        <v>9.9500000000000005E-2</v>
      </c>
      <c r="P108">
        <f t="shared" si="3"/>
        <v>0.67179999999999995</v>
      </c>
      <c r="Q108" t="s">
        <v>34</v>
      </c>
      <c r="R108">
        <v>2025</v>
      </c>
      <c r="S108" t="s">
        <v>82</v>
      </c>
    </row>
    <row r="109" spans="1:19" x14ac:dyDescent="0.3">
      <c r="A109" t="s">
        <v>180</v>
      </c>
      <c r="B109">
        <v>44771</v>
      </c>
      <c r="C109" t="s">
        <v>85</v>
      </c>
      <c r="D109" t="s">
        <v>86</v>
      </c>
      <c r="E109" t="s">
        <v>22</v>
      </c>
      <c r="F109" t="s">
        <v>23</v>
      </c>
      <c r="G109">
        <v>92838.48</v>
      </c>
      <c r="H109">
        <v>51905.73</v>
      </c>
      <c r="I109">
        <v>40932.75</v>
      </c>
      <c r="J109">
        <v>22741.26</v>
      </c>
      <c r="K109">
        <v>94128.79</v>
      </c>
      <c r="L109">
        <v>79734.460000000006</v>
      </c>
      <c r="M109">
        <v>699</v>
      </c>
      <c r="N109">
        <v>0.15110000000000001</v>
      </c>
      <c r="O109">
        <f t="shared" si="2"/>
        <v>0.44090000000000001</v>
      </c>
      <c r="P109">
        <f t="shared" si="3"/>
        <v>1.1805000000000001</v>
      </c>
      <c r="Q109" t="s">
        <v>76</v>
      </c>
      <c r="R109">
        <v>2022</v>
      </c>
      <c r="S109" t="s">
        <v>82</v>
      </c>
    </row>
    <row r="110" spans="1:19" x14ac:dyDescent="0.3">
      <c r="A110" t="s">
        <v>181</v>
      </c>
      <c r="B110">
        <v>45684</v>
      </c>
      <c r="C110" t="s">
        <v>1282</v>
      </c>
      <c r="D110" t="s">
        <v>69</v>
      </c>
      <c r="E110" t="s">
        <v>51</v>
      </c>
      <c r="F110" t="s">
        <v>23</v>
      </c>
      <c r="G110">
        <v>32878.85</v>
      </c>
      <c r="H110">
        <v>27752.37</v>
      </c>
      <c r="I110">
        <v>5126.4799999999996</v>
      </c>
      <c r="J110">
        <v>29015.39</v>
      </c>
      <c r="K110">
        <v>11884.78</v>
      </c>
      <c r="L110">
        <v>130866.5</v>
      </c>
      <c r="M110">
        <v>1001</v>
      </c>
      <c r="N110">
        <v>-3.2300000000000002E-2</v>
      </c>
      <c r="O110">
        <f t="shared" si="2"/>
        <v>0.15590000000000001</v>
      </c>
      <c r="P110">
        <f t="shared" si="3"/>
        <v>9.0800000000000006E-2</v>
      </c>
      <c r="Q110" t="s">
        <v>106</v>
      </c>
      <c r="R110">
        <v>2025</v>
      </c>
      <c r="S110" t="s">
        <v>25</v>
      </c>
    </row>
    <row r="111" spans="1:19" x14ac:dyDescent="0.3">
      <c r="A111" t="s">
        <v>182</v>
      </c>
      <c r="B111">
        <v>45410</v>
      </c>
      <c r="C111" t="s">
        <v>85</v>
      </c>
      <c r="D111" t="s">
        <v>86</v>
      </c>
      <c r="E111" t="s">
        <v>38</v>
      </c>
      <c r="F111" t="s">
        <v>23</v>
      </c>
      <c r="G111">
        <v>96765.53</v>
      </c>
      <c r="H111">
        <v>83917.32</v>
      </c>
      <c r="I111">
        <v>12848.21</v>
      </c>
      <c r="J111">
        <v>38960.959999999999</v>
      </c>
      <c r="K111">
        <v>6140.01</v>
      </c>
      <c r="L111">
        <v>78104.78</v>
      </c>
      <c r="M111">
        <v>1515</v>
      </c>
      <c r="N111">
        <v>-5.9700000000000003E-2</v>
      </c>
      <c r="O111">
        <f t="shared" si="2"/>
        <v>0.1328</v>
      </c>
      <c r="P111">
        <f t="shared" si="3"/>
        <v>7.8600000000000003E-2</v>
      </c>
      <c r="Q111" t="s">
        <v>111</v>
      </c>
      <c r="R111">
        <v>2024</v>
      </c>
      <c r="S111" t="s">
        <v>25</v>
      </c>
    </row>
    <row r="112" spans="1:19" x14ac:dyDescent="0.3">
      <c r="A112" t="s">
        <v>183</v>
      </c>
      <c r="B112">
        <v>45570</v>
      </c>
      <c r="C112" t="s">
        <v>1282</v>
      </c>
      <c r="D112" t="s">
        <v>69</v>
      </c>
      <c r="E112" t="s">
        <v>38</v>
      </c>
      <c r="F112" t="s">
        <v>23</v>
      </c>
      <c r="G112">
        <v>32418.98</v>
      </c>
      <c r="H112">
        <v>28198.44</v>
      </c>
      <c r="I112">
        <v>4220.54</v>
      </c>
      <c r="J112">
        <v>90276.75</v>
      </c>
      <c r="K112">
        <v>40311.879999999997</v>
      </c>
      <c r="L112">
        <v>148865.99</v>
      </c>
      <c r="M112">
        <v>1013</v>
      </c>
      <c r="N112">
        <v>-7.3000000000000001E-3</v>
      </c>
      <c r="O112">
        <f t="shared" si="2"/>
        <v>0.13020000000000001</v>
      </c>
      <c r="P112">
        <f t="shared" si="3"/>
        <v>0.27079999999999999</v>
      </c>
      <c r="Q112" t="s">
        <v>52</v>
      </c>
      <c r="R112">
        <v>2024</v>
      </c>
      <c r="S112" t="s">
        <v>25</v>
      </c>
    </row>
    <row r="113" spans="1:19" x14ac:dyDescent="0.3">
      <c r="A113" t="s">
        <v>184</v>
      </c>
      <c r="B113">
        <v>45612</v>
      </c>
      <c r="C113" t="s">
        <v>27</v>
      </c>
      <c r="D113" t="s">
        <v>28</v>
      </c>
      <c r="E113" t="s">
        <v>38</v>
      </c>
      <c r="F113" t="s">
        <v>23</v>
      </c>
      <c r="G113">
        <v>98612.56</v>
      </c>
      <c r="H113">
        <v>77085.58</v>
      </c>
      <c r="I113">
        <v>21526.98</v>
      </c>
      <c r="J113">
        <v>50274.84</v>
      </c>
      <c r="K113">
        <v>31483.439999999999</v>
      </c>
      <c r="L113">
        <v>152175.41</v>
      </c>
      <c r="M113">
        <v>862</v>
      </c>
      <c r="N113">
        <v>0.11799999999999999</v>
      </c>
      <c r="O113">
        <f t="shared" si="2"/>
        <v>0.21829999999999999</v>
      </c>
      <c r="P113">
        <f t="shared" si="3"/>
        <v>0.2069</v>
      </c>
      <c r="Q113" t="s">
        <v>52</v>
      </c>
      <c r="R113">
        <v>2024</v>
      </c>
      <c r="S113" t="s">
        <v>25</v>
      </c>
    </row>
    <row r="114" spans="1:19" x14ac:dyDescent="0.3">
      <c r="A114" t="s">
        <v>185</v>
      </c>
      <c r="B114">
        <v>45821</v>
      </c>
      <c r="C114" t="s">
        <v>20</v>
      </c>
      <c r="D114" t="s">
        <v>21</v>
      </c>
      <c r="E114" t="s">
        <v>38</v>
      </c>
      <c r="F114" t="s">
        <v>23</v>
      </c>
      <c r="G114">
        <v>92742.25</v>
      </c>
      <c r="H114">
        <v>58747.56</v>
      </c>
      <c r="I114">
        <v>33994.69</v>
      </c>
      <c r="J114">
        <v>10874.7</v>
      </c>
      <c r="K114">
        <v>38396.6</v>
      </c>
      <c r="L114">
        <v>39255.93</v>
      </c>
      <c r="M114">
        <v>1340</v>
      </c>
      <c r="N114">
        <v>-0.1188</v>
      </c>
      <c r="O114">
        <f t="shared" si="2"/>
        <v>0.36659999999999998</v>
      </c>
      <c r="P114">
        <f t="shared" si="3"/>
        <v>0.97809999999999997</v>
      </c>
      <c r="Q114" t="s">
        <v>34</v>
      </c>
      <c r="R114">
        <v>2025</v>
      </c>
      <c r="S114" t="s">
        <v>82</v>
      </c>
    </row>
    <row r="115" spans="1:19" x14ac:dyDescent="0.3">
      <c r="A115" t="s">
        <v>186</v>
      </c>
      <c r="B115">
        <v>45282</v>
      </c>
      <c r="C115" t="s">
        <v>102</v>
      </c>
      <c r="D115" t="s">
        <v>103</v>
      </c>
      <c r="E115" t="s">
        <v>38</v>
      </c>
      <c r="F115" t="s">
        <v>23</v>
      </c>
      <c r="G115">
        <v>54502.45</v>
      </c>
      <c r="H115">
        <v>42076.3</v>
      </c>
      <c r="I115">
        <v>12426.15</v>
      </c>
      <c r="J115">
        <v>6022.66</v>
      </c>
      <c r="K115">
        <v>61011.47</v>
      </c>
      <c r="L115">
        <v>32387.279999999999</v>
      </c>
      <c r="M115">
        <v>1061</v>
      </c>
      <c r="N115">
        <v>4.5900000000000003E-2</v>
      </c>
      <c r="O115">
        <f t="shared" si="2"/>
        <v>0.22800000000000001</v>
      </c>
      <c r="P115">
        <f t="shared" si="3"/>
        <v>1.8837999999999999</v>
      </c>
      <c r="Q115" t="s">
        <v>44</v>
      </c>
      <c r="R115">
        <v>2023</v>
      </c>
      <c r="S115" t="s">
        <v>82</v>
      </c>
    </row>
    <row r="116" spans="1:19" x14ac:dyDescent="0.3">
      <c r="A116" t="s">
        <v>187</v>
      </c>
      <c r="B116">
        <v>45673</v>
      </c>
      <c r="C116" t="s">
        <v>102</v>
      </c>
      <c r="D116" t="s">
        <v>103</v>
      </c>
      <c r="E116" t="s">
        <v>22</v>
      </c>
      <c r="F116" t="s">
        <v>23</v>
      </c>
      <c r="G116">
        <v>59267.62</v>
      </c>
      <c r="H116">
        <v>43174.8</v>
      </c>
      <c r="I116">
        <v>16092.82</v>
      </c>
      <c r="J116">
        <v>33973.040000000001</v>
      </c>
      <c r="K116">
        <v>16521.259999999998</v>
      </c>
      <c r="L116">
        <v>59312.84</v>
      </c>
      <c r="M116">
        <v>923</v>
      </c>
      <c r="N116">
        <v>-4.8500000000000001E-2</v>
      </c>
      <c r="O116">
        <f t="shared" si="2"/>
        <v>0.27150000000000002</v>
      </c>
      <c r="P116">
        <f t="shared" si="3"/>
        <v>0.27850000000000003</v>
      </c>
      <c r="Q116" t="s">
        <v>106</v>
      </c>
      <c r="R116">
        <v>2025</v>
      </c>
      <c r="S116" t="s">
        <v>25</v>
      </c>
    </row>
    <row r="117" spans="1:19" x14ac:dyDescent="0.3">
      <c r="A117" t="s">
        <v>188</v>
      </c>
      <c r="B117">
        <v>45150</v>
      </c>
      <c r="C117" t="s">
        <v>78</v>
      </c>
      <c r="D117" t="s">
        <v>79</v>
      </c>
      <c r="E117" t="s">
        <v>32</v>
      </c>
      <c r="F117" t="s">
        <v>23</v>
      </c>
      <c r="G117">
        <v>74536.69475000001</v>
      </c>
      <c r="H117">
        <v>44655.3</v>
      </c>
      <c r="I117">
        <v>29881.4</v>
      </c>
      <c r="J117">
        <v>22540.99</v>
      </c>
      <c r="K117">
        <v>129774.53</v>
      </c>
      <c r="L117">
        <v>133402.47</v>
      </c>
      <c r="M117">
        <v>694</v>
      </c>
      <c r="N117">
        <v>5.2900000000000003E-2</v>
      </c>
      <c r="O117">
        <f t="shared" si="2"/>
        <v>0.40089999999999998</v>
      </c>
      <c r="P117">
        <f t="shared" si="3"/>
        <v>0.9728</v>
      </c>
      <c r="Q117" t="s">
        <v>56</v>
      </c>
      <c r="R117">
        <v>2023</v>
      </c>
      <c r="S117" t="s">
        <v>82</v>
      </c>
    </row>
    <row r="118" spans="1:19" x14ac:dyDescent="0.3">
      <c r="A118" t="s">
        <v>189</v>
      </c>
      <c r="B118">
        <v>44878</v>
      </c>
      <c r="C118" t="s">
        <v>20</v>
      </c>
      <c r="D118" t="s">
        <v>21</v>
      </c>
      <c r="E118" t="s">
        <v>22</v>
      </c>
      <c r="F118" t="s">
        <v>23</v>
      </c>
      <c r="G118">
        <v>237467.74</v>
      </c>
      <c r="H118">
        <v>207133.28</v>
      </c>
      <c r="I118">
        <v>30334.46</v>
      </c>
      <c r="J118">
        <v>42215.72</v>
      </c>
      <c r="K118">
        <v>55058.67</v>
      </c>
      <c r="L118">
        <v>138627.04</v>
      </c>
      <c r="M118">
        <v>1439</v>
      </c>
      <c r="N118">
        <v>-3.0099999999999998E-2</v>
      </c>
      <c r="O118">
        <f t="shared" si="2"/>
        <v>0.12770000000000001</v>
      </c>
      <c r="P118">
        <f t="shared" si="3"/>
        <v>0.3972</v>
      </c>
      <c r="Q118" t="s">
        <v>46</v>
      </c>
      <c r="R118">
        <v>2022</v>
      </c>
      <c r="S118" t="s">
        <v>40</v>
      </c>
    </row>
    <row r="119" spans="1:19" x14ac:dyDescent="0.3">
      <c r="A119" t="s">
        <v>190</v>
      </c>
      <c r="B119">
        <v>44769</v>
      </c>
      <c r="C119" t="s">
        <v>20</v>
      </c>
      <c r="D119" t="s">
        <v>21</v>
      </c>
      <c r="E119" t="s">
        <v>22</v>
      </c>
      <c r="F119" t="s">
        <v>23</v>
      </c>
      <c r="G119">
        <v>172181.79</v>
      </c>
      <c r="H119">
        <v>123515.95</v>
      </c>
      <c r="I119">
        <v>48665.84</v>
      </c>
      <c r="J119">
        <v>37734.11</v>
      </c>
      <c r="K119">
        <v>37088.97</v>
      </c>
      <c r="L119">
        <v>345434.02</v>
      </c>
      <c r="M119">
        <v>760</v>
      </c>
      <c r="N119">
        <v>2.53E-2</v>
      </c>
      <c r="O119">
        <f t="shared" si="2"/>
        <v>0.28260000000000002</v>
      </c>
      <c r="P119">
        <f t="shared" si="3"/>
        <v>0.1074</v>
      </c>
      <c r="Q119" t="s">
        <v>76</v>
      </c>
      <c r="R119">
        <v>2022</v>
      </c>
      <c r="S119" t="s">
        <v>25</v>
      </c>
    </row>
    <row r="120" spans="1:19" x14ac:dyDescent="0.3">
      <c r="A120" t="s">
        <v>191</v>
      </c>
      <c r="B120">
        <v>45470</v>
      </c>
      <c r="C120" t="s">
        <v>85</v>
      </c>
      <c r="D120" t="s">
        <v>86</v>
      </c>
      <c r="E120" t="s">
        <v>32</v>
      </c>
      <c r="F120" t="s">
        <v>23</v>
      </c>
      <c r="G120">
        <v>390415.98569999996</v>
      </c>
      <c r="H120">
        <v>262256.65000000002</v>
      </c>
      <c r="I120">
        <v>128159.33</v>
      </c>
      <c r="J120">
        <v>27961.32</v>
      </c>
      <c r="K120">
        <v>117315.34</v>
      </c>
      <c r="L120">
        <v>86789.82</v>
      </c>
      <c r="M120">
        <v>825</v>
      </c>
      <c r="N120">
        <v>8.8200000000000001E-2</v>
      </c>
      <c r="O120">
        <f t="shared" si="2"/>
        <v>0.32829999999999998</v>
      </c>
      <c r="P120">
        <f t="shared" si="3"/>
        <v>1.3516999999999999</v>
      </c>
      <c r="Q120" t="s">
        <v>111</v>
      </c>
      <c r="R120">
        <v>2024</v>
      </c>
      <c r="S120" t="s">
        <v>82</v>
      </c>
    </row>
    <row r="121" spans="1:19" x14ac:dyDescent="0.3">
      <c r="A121" t="s">
        <v>192</v>
      </c>
      <c r="B121">
        <v>45475</v>
      </c>
      <c r="C121" t="s">
        <v>30</v>
      </c>
      <c r="D121" t="s">
        <v>31</v>
      </c>
      <c r="E121" t="s">
        <v>38</v>
      </c>
      <c r="F121" t="s">
        <v>23</v>
      </c>
      <c r="G121">
        <v>31185.43</v>
      </c>
      <c r="H121">
        <v>23411.439999999999</v>
      </c>
      <c r="I121">
        <v>7773.99</v>
      </c>
      <c r="J121">
        <v>76032.14</v>
      </c>
      <c r="K121">
        <v>13702.06</v>
      </c>
      <c r="L121">
        <v>135300.92000000001</v>
      </c>
      <c r="M121">
        <v>484</v>
      </c>
      <c r="N121">
        <v>-2.5600000000000001E-2</v>
      </c>
      <c r="O121">
        <f t="shared" si="2"/>
        <v>0.24929999999999999</v>
      </c>
      <c r="P121">
        <f t="shared" si="3"/>
        <v>0.1013</v>
      </c>
      <c r="Q121" t="s">
        <v>72</v>
      </c>
      <c r="R121">
        <v>2024</v>
      </c>
      <c r="S121" t="s">
        <v>25</v>
      </c>
    </row>
    <row r="122" spans="1:19" x14ac:dyDescent="0.3">
      <c r="A122" t="s">
        <v>193</v>
      </c>
      <c r="B122">
        <v>44914</v>
      </c>
      <c r="C122" t="s">
        <v>85</v>
      </c>
      <c r="D122" t="s">
        <v>86</v>
      </c>
      <c r="E122" t="s">
        <v>38</v>
      </c>
      <c r="F122" t="s">
        <v>23</v>
      </c>
      <c r="G122">
        <v>58758.74</v>
      </c>
      <c r="H122">
        <v>53205.38</v>
      </c>
      <c r="I122">
        <v>5553.36</v>
      </c>
      <c r="J122">
        <v>42033.760000000002</v>
      </c>
      <c r="K122">
        <v>66502.990000000005</v>
      </c>
      <c r="L122">
        <v>90758.36</v>
      </c>
      <c r="M122">
        <v>1674</v>
      </c>
      <c r="N122">
        <v>6.6799999999999998E-2</v>
      </c>
      <c r="O122">
        <f t="shared" si="2"/>
        <v>9.4500000000000001E-2</v>
      </c>
      <c r="P122">
        <f t="shared" si="3"/>
        <v>0.73270000000000002</v>
      </c>
      <c r="Q122" t="s">
        <v>46</v>
      </c>
      <c r="R122">
        <v>2022</v>
      </c>
      <c r="S122" t="s">
        <v>82</v>
      </c>
    </row>
    <row r="123" spans="1:19" x14ac:dyDescent="0.3">
      <c r="A123" t="s">
        <v>194</v>
      </c>
      <c r="B123">
        <v>45508</v>
      </c>
      <c r="C123" t="s">
        <v>42</v>
      </c>
      <c r="D123" t="s">
        <v>43</v>
      </c>
      <c r="E123" t="s">
        <v>32</v>
      </c>
      <c r="F123" t="s">
        <v>23</v>
      </c>
      <c r="G123">
        <v>30340.244350000001</v>
      </c>
      <c r="H123">
        <v>24828.799999999999</v>
      </c>
      <c r="I123">
        <v>5511.45</v>
      </c>
      <c r="J123">
        <v>152759.57999999999</v>
      </c>
      <c r="K123">
        <v>73009.83</v>
      </c>
      <c r="L123">
        <v>219363.81</v>
      </c>
      <c r="M123">
        <v>830</v>
      </c>
      <c r="N123">
        <v>7.6300000000000007E-2</v>
      </c>
      <c r="O123">
        <f t="shared" si="2"/>
        <v>0.1817</v>
      </c>
      <c r="P123">
        <f t="shared" si="3"/>
        <v>0.33279999999999998</v>
      </c>
      <c r="Q123" t="s">
        <v>72</v>
      </c>
      <c r="R123">
        <v>2024</v>
      </c>
      <c r="S123" t="s">
        <v>40</v>
      </c>
    </row>
    <row r="124" spans="1:19" x14ac:dyDescent="0.3">
      <c r="A124" t="s">
        <v>195</v>
      </c>
      <c r="B124">
        <v>44747</v>
      </c>
      <c r="C124" t="s">
        <v>61</v>
      </c>
      <c r="D124" t="s">
        <v>74</v>
      </c>
      <c r="E124" t="s">
        <v>51</v>
      </c>
      <c r="F124" t="s">
        <v>23</v>
      </c>
      <c r="G124">
        <v>190947.01</v>
      </c>
      <c r="H124">
        <v>156815.57999999999</v>
      </c>
      <c r="I124">
        <v>34131.43</v>
      </c>
      <c r="J124">
        <v>86341.35</v>
      </c>
      <c r="K124">
        <v>37097.33</v>
      </c>
      <c r="L124">
        <v>122144.54</v>
      </c>
      <c r="M124">
        <v>1038</v>
      </c>
      <c r="N124">
        <v>-1.1900000000000001E-2</v>
      </c>
      <c r="O124">
        <f t="shared" si="2"/>
        <v>0.1787</v>
      </c>
      <c r="P124">
        <f t="shared" si="3"/>
        <v>0.30370000000000003</v>
      </c>
      <c r="Q124" t="s">
        <v>76</v>
      </c>
      <c r="R124">
        <v>2022</v>
      </c>
      <c r="S124" t="s">
        <v>40</v>
      </c>
    </row>
    <row r="125" spans="1:19" x14ac:dyDescent="0.3">
      <c r="A125" t="s">
        <v>196</v>
      </c>
      <c r="B125">
        <v>44942</v>
      </c>
      <c r="C125" t="s">
        <v>78</v>
      </c>
      <c r="D125" t="s">
        <v>79</v>
      </c>
      <c r="E125" t="s">
        <v>38</v>
      </c>
      <c r="F125" t="s">
        <v>23</v>
      </c>
      <c r="G125">
        <v>120765.29</v>
      </c>
      <c r="H125">
        <v>82472.59</v>
      </c>
      <c r="I125">
        <v>38292.699999999997</v>
      </c>
      <c r="J125">
        <v>4473.92</v>
      </c>
      <c r="K125">
        <v>10673.78</v>
      </c>
      <c r="L125">
        <v>80544.55</v>
      </c>
      <c r="M125">
        <v>1062</v>
      </c>
      <c r="N125">
        <v>3.5000000000000001E-3</v>
      </c>
      <c r="O125">
        <f t="shared" si="2"/>
        <v>0.31709999999999999</v>
      </c>
      <c r="P125">
        <f t="shared" si="3"/>
        <v>0.13250000000000001</v>
      </c>
      <c r="Q125" t="s">
        <v>118</v>
      </c>
      <c r="R125">
        <v>2023</v>
      </c>
      <c r="S125" t="s">
        <v>25</v>
      </c>
    </row>
    <row r="126" spans="1:19" x14ac:dyDescent="0.3">
      <c r="A126" t="s">
        <v>197</v>
      </c>
      <c r="B126">
        <v>44822</v>
      </c>
      <c r="C126" t="s">
        <v>1282</v>
      </c>
      <c r="D126" t="s">
        <v>69</v>
      </c>
      <c r="E126" t="s">
        <v>22</v>
      </c>
      <c r="F126" t="s">
        <v>23</v>
      </c>
      <c r="G126">
        <v>150244.35999999999</v>
      </c>
      <c r="H126">
        <v>89909.72</v>
      </c>
      <c r="I126">
        <v>60334.64</v>
      </c>
      <c r="J126">
        <v>20017.150000000001</v>
      </c>
      <c r="K126">
        <v>25912.05</v>
      </c>
      <c r="L126">
        <v>105646.27</v>
      </c>
      <c r="M126">
        <v>929</v>
      </c>
      <c r="N126">
        <v>-8.6199999999999999E-2</v>
      </c>
      <c r="O126">
        <f t="shared" si="2"/>
        <v>0.40160000000000001</v>
      </c>
      <c r="P126">
        <f t="shared" si="3"/>
        <v>0.24529999999999999</v>
      </c>
      <c r="Q126" t="s">
        <v>76</v>
      </c>
      <c r="R126">
        <v>2022</v>
      </c>
      <c r="S126" t="s">
        <v>25</v>
      </c>
    </row>
    <row r="127" spans="1:19" x14ac:dyDescent="0.3">
      <c r="A127" t="s">
        <v>198</v>
      </c>
      <c r="B127">
        <v>45946</v>
      </c>
      <c r="C127" t="s">
        <v>61</v>
      </c>
      <c r="D127" t="s">
        <v>74</v>
      </c>
      <c r="E127" t="s">
        <v>22</v>
      </c>
      <c r="F127" t="s">
        <v>23</v>
      </c>
      <c r="G127">
        <v>26588.17</v>
      </c>
      <c r="H127">
        <v>20694.740000000002</v>
      </c>
      <c r="I127">
        <v>5893.43</v>
      </c>
      <c r="J127">
        <v>24350.79</v>
      </c>
      <c r="K127">
        <v>13756.82</v>
      </c>
      <c r="L127">
        <v>112827.82</v>
      </c>
      <c r="M127">
        <v>1314</v>
      </c>
      <c r="N127">
        <v>0.1017</v>
      </c>
      <c r="O127">
        <f t="shared" si="2"/>
        <v>0.22170000000000001</v>
      </c>
      <c r="P127">
        <f t="shared" si="3"/>
        <v>0.12189999999999999</v>
      </c>
      <c r="Q127" t="s">
        <v>66</v>
      </c>
      <c r="R127">
        <v>2025</v>
      </c>
      <c r="S127" t="s">
        <v>25</v>
      </c>
    </row>
    <row r="128" spans="1:19" x14ac:dyDescent="0.3">
      <c r="A128" t="s">
        <v>199</v>
      </c>
      <c r="B128">
        <v>44717</v>
      </c>
      <c r="C128" t="s">
        <v>27</v>
      </c>
      <c r="D128" t="s">
        <v>28</v>
      </c>
      <c r="E128" t="s">
        <v>22</v>
      </c>
      <c r="F128" t="s">
        <v>23</v>
      </c>
      <c r="G128">
        <v>81882.47</v>
      </c>
      <c r="H128">
        <v>61392.62</v>
      </c>
      <c r="I128">
        <v>20489.849999999999</v>
      </c>
      <c r="J128">
        <v>70446.28</v>
      </c>
      <c r="K128">
        <v>20799.86</v>
      </c>
      <c r="L128">
        <v>113137.4</v>
      </c>
      <c r="M128">
        <v>960</v>
      </c>
      <c r="N128">
        <v>-2.58E-2</v>
      </c>
      <c r="O128">
        <f t="shared" si="2"/>
        <v>0.25019999999999998</v>
      </c>
      <c r="P128">
        <f t="shared" si="3"/>
        <v>0.18379999999999999</v>
      </c>
      <c r="Q128" t="s">
        <v>58</v>
      </c>
      <c r="R128">
        <v>2022</v>
      </c>
      <c r="S128" t="s">
        <v>25</v>
      </c>
    </row>
    <row r="129" spans="1:19" x14ac:dyDescent="0.3">
      <c r="A129" t="s">
        <v>200</v>
      </c>
      <c r="B129">
        <v>45644</v>
      </c>
      <c r="C129" t="s">
        <v>30</v>
      </c>
      <c r="D129" t="s">
        <v>31</v>
      </c>
      <c r="E129" t="s">
        <v>32</v>
      </c>
      <c r="F129" t="s">
        <v>23</v>
      </c>
      <c r="G129">
        <v>88125.531849999999</v>
      </c>
      <c r="H129">
        <v>49824.58</v>
      </c>
      <c r="I129">
        <v>38300.949999999997</v>
      </c>
      <c r="J129">
        <v>1.1499999999999999</v>
      </c>
      <c r="K129">
        <v>34436.720000000001</v>
      </c>
      <c r="L129">
        <v>105549.5</v>
      </c>
      <c r="M129">
        <v>845</v>
      </c>
      <c r="N129">
        <v>9.1399999999999995E-2</v>
      </c>
      <c r="O129">
        <f t="shared" si="2"/>
        <v>0.43459999999999999</v>
      </c>
      <c r="P129">
        <f t="shared" si="3"/>
        <v>0.32629999999999998</v>
      </c>
      <c r="Q129" t="s">
        <v>52</v>
      </c>
      <c r="R129">
        <v>2024</v>
      </c>
      <c r="S129" t="s">
        <v>40</v>
      </c>
    </row>
    <row r="130" spans="1:19" x14ac:dyDescent="0.3">
      <c r="A130" t="s">
        <v>201</v>
      </c>
      <c r="B130">
        <v>46013</v>
      </c>
      <c r="C130" t="s">
        <v>54</v>
      </c>
      <c r="D130" t="s">
        <v>55</v>
      </c>
      <c r="E130" t="s">
        <v>32</v>
      </c>
      <c r="F130" t="s">
        <v>23</v>
      </c>
      <c r="G130">
        <v>41889.40135</v>
      </c>
      <c r="H130">
        <v>1.1499999999999999</v>
      </c>
      <c r="I130">
        <v>1.1499999999999999</v>
      </c>
      <c r="J130">
        <v>40121.54</v>
      </c>
      <c r="K130">
        <v>17141.5</v>
      </c>
      <c r="L130">
        <v>140276.62</v>
      </c>
      <c r="M130">
        <v>1176</v>
      </c>
      <c r="N130">
        <v>-5.0799999999999998E-2</v>
      </c>
      <c r="O130">
        <f t="shared" si="2"/>
        <v>0</v>
      </c>
      <c r="P130">
        <f t="shared" si="3"/>
        <v>0.1222</v>
      </c>
      <c r="Q130" t="s">
        <v>66</v>
      </c>
      <c r="R130">
        <v>2025</v>
      </c>
      <c r="S130" t="s">
        <v>25</v>
      </c>
    </row>
    <row r="131" spans="1:19" x14ac:dyDescent="0.3">
      <c r="A131" t="s">
        <v>202</v>
      </c>
      <c r="B131">
        <v>44647</v>
      </c>
      <c r="C131" t="s">
        <v>85</v>
      </c>
      <c r="D131" t="s">
        <v>86</v>
      </c>
      <c r="E131" t="s">
        <v>22</v>
      </c>
      <c r="F131" t="s">
        <v>23</v>
      </c>
      <c r="G131">
        <v>123423.31</v>
      </c>
      <c r="H131">
        <v>112573.6</v>
      </c>
      <c r="I131">
        <v>10849.71</v>
      </c>
      <c r="J131">
        <v>13998.69</v>
      </c>
      <c r="K131">
        <v>24778.33</v>
      </c>
      <c r="L131">
        <v>72681.63</v>
      </c>
      <c r="M131">
        <v>1212</v>
      </c>
      <c r="N131">
        <v>-2.8799999999999999E-2</v>
      </c>
      <c r="O131">
        <f t="shared" ref="O131:O194" si="4">(ROUND(I131/G131,4))</f>
        <v>8.7900000000000006E-2</v>
      </c>
      <c r="P131">
        <f t="shared" ref="P131:P194" si="5">ROUND(K131/L131,4)</f>
        <v>0.34089999999999998</v>
      </c>
      <c r="Q131" t="s">
        <v>90</v>
      </c>
      <c r="R131">
        <v>2022</v>
      </c>
      <c r="S131" t="s">
        <v>40</v>
      </c>
    </row>
    <row r="132" spans="1:19" x14ac:dyDescent="0.3">
      <c r="A132" t="s">
        <v>203</v>
      </c>
      <c r="B132">
        <v>45548</v>
      </c>
      <c r="C132" t="s">
        <v>102</v>
      </c>
      <c r="D132" t="s">
        <v>103</v>
      </c>
      <c r="E132" t="s">
        <v>22</v>
      </c>
      <c r="F132" t="s">
        <v>23</v>
      </c>
      <c r="G132">
        <v>83151.360000000001</v>
      </c>
      <c r="H132">
        <v>66546.86</v>
      </c>
      <c r="I132">
        <v>16604.5</v>
      </c>
      <c r="J132">
        <v>45001.9</v>
      </c>
      <c r="K132">
        <v>44845.75</v>
      </c>
      <c r="L132">
        <v>70408.039999999994</v>
      </c>
      <c r="M132">
        <v>1872</v>
      </c>
      <c r="N132">
        <v>-7.5999999999999998E-2</v>
      </c>
      <c r="O132">
        <f t="shared" si="4"/>
        <v>0.19969999999999999</v>
      </c>
      <c r="P132">
        <f t="shared" si="5"/>
        <v>0.63690000000000002</v>
      </c>
      <c r="Q132" t="s">
        <v>72</v>
      </c>
      <c r="R132">
        <v>2024</v>
      </c>
      <c r="S132" t="s">
        <v>82</v>
      </c>
    </row>
    <row r="133" spans="1:19" x14ac:dyDescent="0.3">
      <c r="A133" t="s">
        <v>204</v>
      </c>
      <c r="B133">
        <v>45571</v>
      </c>
      <c r="C133" t="s">
        <v>61</v>
      </c>
      <c r="D133" t="s">
        <v>74</v>
      </c>
      <c r="E133" t="s">
        <v>38</v>
      </c>
      <c r="F133" t="s">
        <v>23</v>
      </c>
      <c r="G133">
        <v>25622.99</v>
      </c>
      <c r="H133">
        <v>22306.92</v>
      </c>
      <c r="I133">
        <v>3316.07</v>
      </c>
      <c r="J133">
        <v>63051.47</v>
      </c>
      <c r="K133">
        <v>21816.61</v>
      </c>
      <c r="L133">
        <v>103965.98</v>
      </c>
      <c r="M133">
        <v>1028</v>
      </c>
      <c r="N133">
        <v>-4.8899999999999999E-2</v>
      </c>
      <c r="O133">
        <f t="shared" si="4"/>
        <v>0.12939999999999999</v>
      </c>
      <c r="P133">
        <f t="shared" si="5"/>
        <v>0.20979999999999999</v>
      </c>
      <c r="Q133" t="s">
        <v>52</v>
      </c>
      <c r="R133">
        <v>2024</v>
      </c>
      <c r="S133" t="s">
        <v>25</v>
      </c>
    </row>
    <row r="134" spans="1:19" x14ac:dyDescent="0.3">
      <c r="A134" t="s">
        <v>205</v>
      </c>
      <c r="B134">
        <v>44580</v>
      </c>
      <c r="C134" t="s">
        <v>85</v>
      </c>
      <c r="D134" t="s">
        <v>86</v>
      </c>
      <c r="E134" t="s">
        <v>38</v>
      </c>
      <c r="F134" t="s">
        <v>23</v>
      </c>
      <c r="G134">
        <v>107829.88</v>
      </c>
      <c r="H134">
        <v>91136.85</v>
      </c>
      <c r="I134">
        <v>16693.03</v>
      </c>
      <c r="J134">
        <v>53681.35</v>
      </c>
      <c r="K134">
        <v>75493.759999999995</v>
      </c>
      <c r="L134">
        <v>102896.17</v>
      </c>
      <c r="M134">
        <v>947</v>
      </c>
      <c r="N134">
        <v>-6.7199999999999996E-2</v>
      </c>
      <c r="O134">
        <f t="shared" si="4"/>
        <v>0.15479999999999999</v>
      </c>
      <c r="P134">
        <f t="shared" si="5"/>
        <v>0.73370000000000002</v>
      </c>
      <c r="Q134" t="s">
        <v>90</v>
      </c>
      <c r="R134">
        <v>2022</v>
      </c>
      <c r="S134" t="s">
        <v>82</v>
      </c>
    </row>
    <row r="135" spans="1:19" x14ac:dyDescent="0.3">
      <c r="A135" t="s">
        <v>206</v>
      </c>
      <c r="B135">
        <v>45650</v>
      </c>
      <c r="C135" t="s">
        <v>78</v>
      </c>
      <c r="D135" t="s">
        <v>79</v>
      </c>
      <c r="E135" t="s">
        <v>38</v>
      </c>
      <c r="F135" t="s">
        <v>23</v>
      </c>
      <c r="G135">
        <v>31865.7</v>
      </c>
      <c r="H135">
        <v>25725.9</v>
      </c>
      <c r="I135">
        <v>6139.8</v>
      </c>
      <c r="J135">
        <v>10398.129999999999</v>
      </c>
      <c r="K135">
        <v>12171.91</v>
      </c>
      <c r="L135">
        <v>22306.03</v>
      </c>
      <c r="M135">
        <v>673</v>
      </c>
      <c r="N135">
        <v>-8.9200000000000002E-2</v>
      </c>
      <c r="O135">
        <f t="shared" si="4"/>
        <v>0.19270000000000001</v>
      </c>
      <c r="P135">
        <f t="shared" si="5"/>
        <v>0.54569999999999996</v>
      </c>
      <c r="Q135" t="s">
        <v>52</v>
      </c>
      <c r="R135">
        <v>2024</v>
      </c>
      <c r="S135" t="s">
        <v>40</v>
      </c>
    </row>
    <row r="136" spans="1:19" x14ac:dyDescent="0.3">
      <c r="A136" t="s">
        <v>207</v>
      </c>
      <c r="B136">
        <v>45852</v>
      </c>
      <c r="C136" t="s">
        <v>36</v>
      </c>
      <c r="D136" t="s">
        <v>37</v>
      </c>
      <c r="E136" t="s">
        <v>38</v>
      </c>
      <c r="F136" t="s">
        <v>23</v>
      </c>
      <c r="G136">
        <v>212630.21</v>
      </c>
      <c r="H136">
        <v>165683.89000000001</v>
      </c>
      <c r="I136">
        <v>46946.32</v>
      </c>
      <c r="J136">
        <v>66627.45</v>
      </c>
      <c r="K136">
        <v>4450.28</v>
      </c>
      <c r="L136">
        <v>102501.01</v>
      </c>
      <c r="M136">
        <v>922</v>
      </c>
      <c r="N136">
        <v>9.4500000000000001E-2</v>
      </c>
      <c r="O136">
        <f t="shared" si="4"/>
        <v>0.2208</v>
      </c>
      <c r="P136">
        <f t="shared" si="5"/>
        <v>4.3400000000000001E-2</v>
      </c>
      <c r="Q136" t="s">
        <v>24</v>
      </c>
      <c r="R136">
        <v>2025</v>
      </c>
      <c r="S136" t="s">
        <v>25</v>
      </c>
    </row>
    <row r="137" spans="1:19" x14ac:dyDescent="0.3">
      <c r="A137" t="s">
        <v>208</v>
      </c>
      <c r="B137">
        <v>45806</v>
      </c>
      <c r="C137" t="s">
        <v>85</v>
      </c>
      <c r="D137" t="s">
        <v>86</v>
      </c>
      <c r="E137" t="s">
        <v>51</v>
      </c>
      <c r="F137" t="s">
        <v>23</v>
      </c>
      <c r="G137">
        <v>34479.360000000001</v>
      </c>
      <c r="H137">
        <v>24051.58</v>
      </c>
      <c r="I137">
        <v>10427.780000000001</v>
      </c>
      <c r="J137">
        <v>11237.85</v>
      </c>
      <c r="K137">
        <v>60965.07</v>
      </c>
      <c r="L137">
        <v>384417.16</v>
      </c>
      <c r="M137">
        <v>1673</v>
      </c>
      <c r="N137">
        <v>5.2299999999999999E-2</v>
      </c>
      <c r="O137">
        <f t="shared" si="4"/>
        <v>0.3024</v>
      </c>
      <c r="P137">
        <f t="shared" si="5"/>
        <v>0.15859999999999999</v>
      </c>
      <c r="Q137" t="s">
        <v>34</v>
      </c>
      <c r="R137">
        <v>2025</v>
      </c>
      <c r="S137" t="s">
        <v>25</v>
      </c>
    </row>
    <row r="138" spans="1:19" x14ac:dyDescent="0.3">
      <c r="A138" t="s">
        <v>209</v>
      </c>
      <c r="B138">
        <v>44925</v>
      </c>
      <c r="C138" t="s">
        <v>85</v>
      </c>
      <c r="D138" t="s">
        <v>86</v>
      </c>
      <c r="E138" t="s">
        <v>22</v>
      </c>
      <c r="F138" t="s">
        <v>23</v>
      </c>
      <c r="G138">
        <v>119767.01</v>
      </c>
      <c r="H138">
        <v>76661.48</v>
      </c>
      <c r="I138">
        <v>43105.53</v>
      </c>
      <c r="J138">
        <v>40007.97</v>
      </c>
      <c r="K138">
        <v>23129.93</v>
      </c>
      <c r="L138">
        <v>130661.94</v>
      </c>
      <c r="M138" t="s">
        <v>1281</v>
      </c>
      <c r="N138">
        <v>-6.13E-2</v>
      </c>
      <c r="O138">
        <f t="shared" si="4"/>
        <v>0.3599</v>
      </c>
      <c r="P138">
        <f t="shared" si="5"/>
        <v>0.17699999999999999</v>
      </c>
      <c r="Q138" t="s">
        <v>46</v>
      </c>
      <c r="R138">
        <v>2022</v>
      </c>
      <c r="S138" t="s">
        <v>25</v>
      </c>
    </row>
    <row r="139" spans="1:19" x14ac:dyDescent="0.3">
      <c r="A139" t="s">
        <v>210</v>
      </c>
      <c r="B139">
        <v>45312</v>
      </c>
      <c r="C139" t="s">
        <v>27</v>
      </c>
      <c r="D139" t="s">
        <v>28</v>
      </c>
      <c r="E139" t="s">
        <v>38</v>
      </c>
      <c r="F139" t="s">
        <v>23</v>
      </c>
      <c r="G139">
        <v>360863.31</v>
      </c>
      <c r="H139">
        <v>210441.68</v>
      </c>
      <c r="I139">
        <v>150421.63</v>
      </c>
      <c r="J139">
        <v>65200.7</v>
      </c>
      <c r="K139">
        <v>15161.39</v>
      </c>
      <c r="L139">
        <v>257923.84</v>
      </c>
      <c r="M139">
        <v>557</v>
      </c>
      <c r="N139">
        <v>1.47E-2</v>
      </c>
      <c r="O139">
        <f t="shared" si="4"/>
        <v>0.4168</v>
      </c>
      <c r="P139">
        <f t="shared" si="5"/>
        <v>5.8799999999999998E-2</v>
      </c>
      <c r="Q139" t="s">
        <v>80</v>
      </c>
      <c r="R139">
        <v>2024</v>
      </c>
      <c r="S139" t="s">
        <v>25</v>
      </c>
    </row>
    <row r="140" spans="1:19" x14ac:dyDescent="0.3">
      <c r="A140" t="s">
        <v>211</v>
      </c>
      <c r="B140">
        <v>45470</v>
      </c>
      <c r="C140" t="s">
        <v>36</v>
      </c>
      <c r="D140" t="s">
        <v>37</v>
      </c>
      <c r="E140" t="s">
        <v>38</v>
      </c>
      <c r="F140" t="s">
        <v>23</v>
      </c>
      <c r="G140">
        <v>50121.09</v>
      </c>
      <c r="H140">
        <v>42280.18</v>
      </c>
      <c r="I140">
        <v>7840.91</v>
      </c>
      <c r="J140">
        <v>17555.87</v>
      </c>
      <c r="K140">
        <v>13931.43</v>
      </c>
      <c r="L140">
        <v>71045.52</v>
      </c>
      <c r="M140">
        <v>729</v>
      </c>
      <c r="N140">
        <v>9.64E-2</v>
      </c>
      <c r="O140">
        <f t="shared" si="4"/>
        <v>0.15640000000000001</v>
      </c>
      <c r="P140">
        <f t="shared" si="5"/>
        <v>0.1961</v>
      </c>
      <c r="Q140" t="s">
        <v>111</v>
      </c>
      <c r="R140">
        <v>2024</v>
      </c>
      <c r="S140" t="s">
        <v>25</v>
      </c>
    </row>
    <row r="141" spans="1:19" x14ac:dyDescent="0.3">
      <c r="A141" t="s">
        <v>212</v>
      </c>
      <c r="B141">
        <v>44702</v>
      </c>
      <c r="C141" t="s">
        <v>61</v>
      </c>
      <c r="D141" t="s">
        <v>74</v>
      </c>
      <c r="E141" t="s">
        <v>38</v>
      </c>
      <c r="F141" t="s">
        <v>23</v>
      </c>
      <c r="G141">
        <v>160171.39000000001</v>
      </c>
      <c r="H141">
        <v>140495.35999999999</v>
      </c>
      <c r="I141">
        <v>19676.03</v>
      </c>
      <c r="J141">
        <v>42992.46</v>
      </c>
      <c r="K141">
        <v>15342.88</v>
      </c>
      <c r="L141">
        <v>79410.679999999993</v>
      </c>
      <c r="M141">
        <v>477</v>
      </c>
      <c r="N141">
        <v>0.14119999999999999</v>
      </c>
      <c r="O141">
        <f t="shared" si="4"/>
        <v>0.12280000000000001</v>
      </c>
      <c r="P141">
        <f t="shared" si="5"/>
        <v>0.19320000000000001</v>
      </c>
      <c r="Q141" t="s">
        <v>58</v>
      </c>
      <c r="R141">
        <v>2022</v>
      </c>
      <c r="S141" t="s">
        <v>25</v>
      </c>
    </row>
    <row r="142" spans="1:19" x14ac:dyDescent="0.3">
      <c r="A142" t="s">
        <v>213</v>
      </c>
      <c r="B142">
        <v>45281</v>
      </c>
      <c r="C142" t="s">
        <v>61</v>
      </c>
      <c r="D142" t="s">
        <v>74</v>
      </c>
      <c r="E142" t="s">
        <v>51</v>
      </c>
      <c r="F142" t="s">
        <v>23</v>
      </c>
      <c r="G142">
        <v>25544.13</v>
      </c>
      <c r="H142">
        <v>16904.150000000001</v>
      </c>
      <c r="I142">
        <v>8639.98</v>
      </c>
      <c r="J142">
        <v>42725.46</v>
      </c>
      <c r="K142">
        <v>46824.39</v>
      </c>
      <c r="L142">
        <v>127111.48</v>
      </c>
      <c r="M142">
        <v>1426</v>
      </c>
      <c r="N142">
        <v>5.2699999999999997E-2</v>
      </c>
      <c r="O142">
        <f t="shared" si="4"/>
        <v>0.3382</v>
      </c>
      <c r="P142">
        <f t="shared" si="5"/>
        <v>0.36840000000000001</v>
      </c>
      <c r="Q142" t="s">
        <v>44</v>
      </c>
      <c r="R142">
        <v>2023</v>
      </c>
      <c r="S142" t="s">
        <v>40</v>
      </c>
    </row>
    <row r="143" spans="1:19" x14ac:dyDescent="0.3">
      <c r="A143" t="s">
        <v>214</v>
      </c>
      <c r="B143">
        <v>45554</v>
      </c>
      <c r="C143" t="s">
        <v>30</v>
      </c>
      <c r="D143" t="s">
        <v>31</v>
      </c>
      <c r="E143" t="s">
        <v>22</v>
      </c>
      <c r="F143" t="s">
        <v>23</v>
      </c>
      <c r="G143">
        <v>34808.53</v>
      </c>
      <c r="H143">
        <v>22174.33</v>
      </c>
      <c r="I143">
        <v>12634.2</v>
      </c>
      <c r="J143">
        <v>27578.09</v>
      </c>
      <c r="K143">
        <v>25230.09</v>
      </c>
      <c r="L143">
        <v>163515.95000000001</v>
      </c>
      <c r="M143">
        <v>497</v>
      </c>
      <c r="N143">
        <v>2.0799999999999999E-2</v>
      </c>
      <c r="O143">
        <f t="shared" si="4"/>
        <v>0.36299999999999999</v>
      </c>
      <c r="P143">
        <f t="shared" si="5"/>
        <v>0.15429999999999999</v>
      </c>
      <c r="Q143" t="s">
        <v>72</v>
      </c>
      <c r="R143">
        <v>2024</v>
      </c>
      <c r="S143" t="s">
        <v>25</v>
      </c>
    </row>
    <row r="144" spans="1:19" x14ac:dyDescent="0.3">
      <c r="A144" t="s">
        <v>215</v>
      </c>
      <c r="B144">
        <v>45549</v>
      </c>
      <c r="C144" t="s">
        <v>27</v>
      </c>
      <c r="D144" t="s">
        <v>28</v>
      </c>
      <c r="E144" t="s">
        <v>22</v>
      </c>
      <c r="F144" t="s">
        <v>23</v>
      </c>
      <c r="G144">
        <v>105154.03</v>
      </c>
      <c r="H144">
        <v>67829.289999999994</v>
      </c>
      <c r="I144">
        <v>37324.74</v>
      </c>
      <c r="J144">
        <v>14286.04</v>
      </c>
      <c r="K144">
        <v>17366.939999999999</v>
      </c>
      <c r="L144">
        <v>81975.12</v>
      </c>
      <c r="M144">
        <v>738</v>
      </c>
      <c r="N144">
        <v>-4.1799999999999997E-2</v>
      </c>
      <c r="O144">
        <f t="shared" si="4"/>
        <v>0.35499999999999998</v>
      </c>
      <c r="P144">
        <f t="shared" si="5"/>
        <v>0.21190000000000001</v>
      </c>
      <c r="Q144" t="s">
        <v>72</v>
      </c>
      <c r="R144">
        <v>2024</v>
      </c>
      <c r="S144" t="s">
        <v>25</v>
      </c>
    </row>
    <row r="145" spans="1:19" x14ac:dyDescent="0.3">
      <c r="A145" t="s">
        <v>216</v>
      </c>
      <c r="B145">
        <v>45959</v>
      </c>
      <c r="C145" t="s">
        <v>20</v>
      </c>
      <c r="D145" t="s">
        <v>21</v>
      </c>
      <c r="E145" t="s">
        <v>22</v>
      </c>
      <c r="F145" t="s">
        <v>23</v>
      </c>
      <c r="G145">
        <v>222027.19</v>
      </c>
      <c r="H145">
        <v>123414.66</v>
      </c>
      <c r="I145">
        <v>98612.53</v>
      </c>
      <c r="J145">
        <v>24617.99</v>
      </c>
      <c r="K145">
        <v>61950.26</v>
      </c>
      <c r="L145">
        <v>65160.65</v>
      </c>
      <c r="M145">
        <v>427</v>
      </c>
      <c r="N145">
        <v>8.8400000000000006E-2</v>
      </c>
      <c r="O145">
        <f t="shared" si="4"/>
        <v>0.44409999999999999</v>
      </c>
      <c r="P145">
        <f t="shared" si="5"/>
        <v>0.95069999999999999</v>
      </c>
      <c r="Q145" t="s">
        <v>66</v>
      </c>
      <c r="R145">
        <v>2025</v>
      </c>
      <c r="S145" t="s">
        <v>82</v>
      </c>
    </row>
    <row r="146" spans="1:19" x14ac:dyDescent="0.3">
      <c r="A146" t="s">
        <v>217</v>
      </c>
      <c r="B146">
        <v>44597</v>
      </c>
      <c r="C146" t="s">
        <v>20</v>
      </c>
      <c r="D146" t="s">
        <v>21</v>
      </c>
      <c r="E146" t="s">
        <v>22</v>
      </c>
      <c r="F146" t="s">
        <v>23</v>
      </c>
      <c r="G146">
        <v>50106.57</v>
      </c>
      <c r="H146">
        <v>31760.69</v>
      </c>
      <c r="I146">
        <v>18345.88</v>
      </c>
      <c r="J146">
        <v>16149.92</v>
      </c>
      <c r="K146">
        <v>16827.150000000001</v>
      </c>
      <c r="L146">
        <v>67779.42</v>
      </c>
      <c r="M146">
        <v>638</v>
      </c>
      <c r="N146">
        <v>1.2500000000000001E-2</v>
      </c>
      <c r="O146">
        <f t="shared" si="4"/>
        <v>0.36609999999999998</v>
      </c>
      <c r="P146">
        <f t="shared" si="5"/>
        <v>0.24829999999999999</v>
      </c>
      <c r="Q146" t="s">
        <v>90</v>
      </c>
      <c r="R146">
        <v>2022</v>
      </c>
      <c r="S146" t="s">
        <v>25</v>
      </c>
    </row>
    <row r="147" spans="1:19" x14ac:dyDescent="0.3">
      <c r="A147" t="s">
        <v>218</v>
      </c>
      <c r="B147">
        <v>44721</v>
      </c>
      <c r="C147" t="s">
        <v>27</v>
      </c>
      <c r="D147" t="s">
        <v>28</v>
      </c>
      <c r="E147" t="s">
        <v>38</v>
      </c>
      <c r="F147" t="s">
        <v>23</v>
      </c>
      <c r="G147">
        <v>142941.51999999999</v>
      </c>
      <c r="H147">
        <v>113041.68</v>
      </c>
      <c r="I147">
        <v>29899.84</v>
      </c>
      <c r="J147">
        <v>35453.589999999997</v>
      </c>
      <c r="K147">
        <v>5458.95</v>
      </c>
      <c r="L147">
        <v>114717.84</v>
      </c>
      <c r="M147">
        <v>1560</v>
      </c>
      <c r="N147">
        <v>-8.0699999999999994E-2</v>
      </c>
      <c r="O147">
        <f t="shared" si="4"/>
        <v>0.2092</v>
      </c>
      <c r="P147">
        <f t="shared" si="5"/>
        <v>4.7600000000000003E-2</v>
      </c>
      <c r="Q147" t="s">
        <v>58</v>
      </c>
      <c r="R147">
        <v>2022</v>
      </c>
      <c r="S147" t="s">
        <v>25</v>
      </c>
    </row>
    <row r="148" spans="1:19" x14ac:dyDescent="0.3">
      <c r="A148" t="s">
        <v>219</v>
      </c>
      <c r="B148">
        <v>45175</v>
      </c>
      <c r="C148" t="s">
        <v>20</v>
      </c>
      <c r="D148" t="s">
        <v>21</v>
      </c>
      <c r="E148" t="s">
        <v>32</v>
      </c>
      <c r="F148" t="s">
        <v>23</v>
      </c>
      <c r="G148">
        <v>248345.62229999999</v>
      </c>
      <c r="H148">
        <v>179336.85</v>
      </c>
      <c r="I148">
        <v>69008.77</v>
      </c>
      <c r="J148">
        <v>50448.99</v>
      </c>
      <c r="K148">
        <v>33274.660000000003</v>
      </c>
      <c r="L148">
        <v>91589.11</v>
      </c>
      <c r="M148">
        <v>574</v>
      </c>
      <c r="N148">
        <v>5.7200000000000001E-2</v>
      </c>
      <c r="O148">
        <f t="shared" si="4"/>
        <v>0.27789999999999998</v>
      </c>
      <c r="P148">
        <f t="shared" si="5"/>
        <v>0.36330000000000001</v>
      </c>
      <c r="Q148" t="s">
        <v>56</v>
      </c>
      <c r="R148">
        <v>2023</v>
      </c>
      <c r="S148" t="s">
        <v>40</v>
      </c>
    </row>
    <row r="149" spans="1:19" x14ac:dyDescent="0.3">
      <c r="A149" t="s">
        <v>220</v>
      </c>
      <c r="B149">
        <v>45194</v>
      </c>
      <c r="C149" t="s">
        <v>61</v>
      </c>
      <c r="D149" t="s">
        <v>74</v>
      </c>
      <c r="E149" t="s">
        <v>38</v>
      </c>
      <c r="F149" t="s">
        <v>23</v>
      </c>
      <c r="G149">
        <v>16024.56</v>
      </c>
      <c r="H149">
        <v>9523.98</v>
      </c>
      <c r="I149">
        <v>6500.58</v>
      </c>
      <c r="J149">
        <v>23167.18</v>
      </c>
      <c r="K149">
        <v>53758.31</v>
      </c>
      <c r="L149">
        <v>129366.39999999999</v>
      </c>
      <c r="M149">
        <v>1271</v>
      </c>
      <c r="N149">
        <v>-7.6600000000000001E-2</v>
      </c>
      <c r="O149">
        <f t="shared" si="4"/>
        <v>0.40570000000000001</v>
      </c>
      <c r="P149">
        <f t="shared" si="5"/>
        <v>0.41560000000000002</v>
      </c>
      <c r="Q149" t="s">
        <v>56</v>
      </c>
      <c r="R149">
        <v>2023</v>
      </c>
      <c r="S149" t="s">
        <v>40</v>
      </c>
    </row>
    <row r="150" spans="1:19" x14ac:dyDescent="0.3">
      <c r="A150" t="s">
        <v>221</v>
      </c>
      <c r="B150">
        <v>45539</v>
      </c>
      <c r="C150" t="s">
        <v>42</v>
      </c>
      <c r="D150" t="s">
        <v>43</v>
      </c>
      <c r="E150" t="s">
        <v>22</v>
      </c>
      <c r="F150" t="s">
        <v>23</v>
      </c>
      <c r="G150">
        <v>96410.1</v>
      </c>
      <c r="H150">
        <v>74731.320000000007</v>
      </c>
      <c r="I150">
        <v>21678.78</v>
      </c>
      <c r="J150">
        <v>41562.79</v>
      </c>
      <c r="K150">
        <v>9991.2999999999993</v>
      </c>
      <c r="L150">
        <v>102563.41</v>
      </c>
      <c r="M150">
        <v>660</v>
      </c>
      <c r="N150">
        <v>-7.8100000000000003E-2</v>
      </c>
      <c r="O150">
        <f t="shared" si="4"/>
        <v>0.22489999999999999</v>
      </c>
      <c r="P150">
        <f t="shared" si="5"/>
        <v>9.74E-2</v>
      </c>
      <c r="Q150" t="s">
        <v>72</v>
      </c>
      <c r="R150">
        <v>2024</v>
      </c>
      <c r="S150" t="s">
        <v>25</v>
      </c>
    </row>
    <row r="151" spans="1:19" x14ac:dyDescent="0.3">
      <c r="A151" t="s">
        <v>222</v>
      </c>
      <c r="B151">
        <v>45322</v>
      </c>
      <c r="C151" t="s">
        <v>78</v>
      </c>
      <c r="D151" t="s">
        <v>79</v>
      </c>
      <c r="E151" t="s">
        <v>38</v>
      </c>
      <c r="F151" t="s">
        <v>23</v>
      </c>
      <c r="G151">
        <v>22169.360000000001</v>
      </c>
      <c r="H151">
        <v>15449.45</v>
      </c>
      <c r="I151">
        <v>6719.91</v>
      </c>
      <c r="J151">
        <v>46891.6</v>
      </c>
      <c r="K151">
        <v>150933.49</v>
      </c>
      <c r="L151">
        <v>72518.820000000007</v>
      </c>
      <c r="M151">
        <v>1308</v>
      </c>
      <c r="N151">
        <v>1.23E-2</v>
      </c>
      <c r="O151">
        <f t="shared" si="4"/>
        <v>0.30309999999999998</v>
      </c>
      <c r="P151">
        <f t="shared" si="5"/>
        <v>2.0813000000000001</v>
      </c>
      <c r="Q151" t="s">
        <v>80</v>
      </c>
      <c r="R151">
        <v>2024</v>
      </c>
      <c r="S151" t="s">
        <v>82</v>
      </c>
    </row>
    <row r="152" spans="1:19" x14ac:dyDescent="0.3">
      <c r="A152" t="s">
        <v>223</v>
      </c>
      <c r="B152">
        <v>45901</v>
      </c>
      <c r="C152" t="s">
        <v>54</v>
      </c>
      <c r="D152" t="s">
        <v>55</v>
      </c>
      <c r="E152" t="s">
        <v>32</v>
      </c>
      <c r="F152" t="s">
        <v>23</v>
      </c>
      <c r="G152">
        <v>65202.780700000003</v>
      </c>
      <c r="H152">
        <v>1.1499999999999999</v>
      </c>
      <c r="I152">
        <v>1.1499999999999999</v>
      </c>
      <c r="J152">
        <v>52061.72</v>
      </c>
      <c r="K152">
        <v>32888.17</v>
      </c>
      <c r="L152">
        <v>115716.99</v>
      </c>
      <c r="M152">
        <v>1357</v>
      </c>
      <c r="N152">
        <v>-1.18E-2</v>
      </c>
      <c r="O152">
        <f t="shared" si="4"/>
        <v>0</v>
      </c>
      <c r="P152">
        <f t="shared" si="5"/>
        <v>0.28420000000000001</v>
      </c>
      <c r="Q152" t="s">
        <v>24</v>
      </c>
      <c r="R152">
        <v>2025</v>
      </c>
      <c r="S152" t="s">
        <v>25</v>
      </c>
    </row>
    <row r="153" spans="1:19" x14ac:dyDescent="0.3">
      <c r="A153" t="s">
        <v>224</v>
      </c>
      <c r="B153">
        <v>45592</v>
      </c>
      <c r="C153" t="s">
        <v>85</v>
      </c>
      <c r="D153" t="s">
        <v>86</v>
      </c>
      <c r="E153" t="s">
        <v>38</v>
      </c>
      <c r="F153" t="s">
        <v>23</v>
      </c>
      <c r="G153">
        <v>52594.67</v>
      </c>
      <c r="H153">
        <v>36769.07</v>
      </c>
      <c r="I153">
        <v>15825.6</v>
      </c>
      <c r="J153">
        <v>27848.98</v>
      </c>
      <c r="K153">
        <v>41324.379999999997</v>
      </c>
      <c r="L153">
        <v>58369.33</v>
      </c>
      <c r="M153">
        <v>909</v>
      </c>
      <c r="N153">
        <v>9.2999999999999992E-3</v>
      </c>
      <c r="O153">
        <f t="shared" si="4"/>
        <v>0.3009</v>
      </c>
      <c r="P153">
        <f t="shared" si="5"/>
        <v>0.70799999999999996</v>
      </c>
      <c r="Q153" t="s">
        <v>52</v>
      </c>
      <c r="R153">
        <v>2024</v>
      </c>
      <c r="S153" t="s">
        <v>82</v>
      </c>
    </row>
    <row r="154" spans="1:19" x14ac:dyDescent="0.3">
      <c r="A154" t="s">
        <v>225</v>
      </c>
      <c r="B154">
        <v>45354</v>
      </c>
      <c r="C154" t="s">
        <v>61</v>
      </c>
      <c r="D154" t="s">
        <v>74</v>
      </c>
      <c r="E154" t="s">
        <v>22</v>
      </c>
      <c r="F154" t="s">
        <v>23</v>
      </c>
      <c r="G154">
        <v>20334.09</v>
      </c>
      <c r="H154">
        <v>15745.85</v>
      </c>
      <c r="I154">
        <v>4588.24</v>
      </c>
      <c r="J154">
        <v>28204.14</v>
      </c>
      <c r="K154">
        <v>17800.740000000002</v>
      </c>
      <c r="L154">
        <v>148635.12</v>
      </c>
      <c r="M154">
        <v>626</v>
      </c>
      <c r="N154">
        <v>3.6400000000000002E-2</v>
      </c>
      <c r="O154">
        <f t="shared" si="4"/>
        <v>0.22559999999999999</v>
      </c>
      <c r="P154">
        <f t="shared" si="5"/>
        <v>0.1198</v>
      </c>
      <c r="Q154" t="s">
        <v>80</v>
      </c>
      <c r="R154">
        <v>2024</v>
      </c>
      <c r="S154" t="s">
        <v>25</v>
      </c>
    </row>
    <row r="155" spans="1:19" x14ac:dyDescent="0.3">
      <c r="A155" t="s">
        <v>226</v>
      </c>
      <c r="B155">
        <v>45098</v>
      </c>
      <c r="C155" t="s">
        <v>27</v>
      </c>
      <c r="D155" t="s">
        <v>28</v>
      </c>
      <c r="E155" t="s">
        <v>38</v>
      </c>
      <c r="F155" t="s">
        <v>23</v>
      </c>
      <c r="G155">
        <v>68171.070000000007</v>
      </c>
      <c r="H155">
        <v>57085.61</v>
      </c>
      <c r="I155">
        <v>11085.46</v>
      </c>
      <c r="J155">
        <v>0</v>
      </c>
      <c r="K155">
        <v>32646.51</v>
      </c>
      <c r="L155">
        <v>60251.25</v>
      </c>
      <c r="M155">
        <v>1244</v>
      </c>
      <c r="N155">
        <v>-2.4400000000000002E-2</v>
      </c>
      <c r="O155">
        <f t="shared" si="4"/>
        <v>0.16259999999999999</v>
      </c>
      <c r="P155">
        <f t="shared" si="5"/>
        <v>0.54179999999999995</v>
      </c>
      <c r="Q155" t="s">
        <v>39</v>
      </c>
      <c r="R155">
        <v>2023</v>
      </c>
      <c r="S155" t="s">
        <v>40</v>
      </c>
    </row>
    <row r="156" spans="1:19" x14ac:dyDescent="0.3">
      <c r="A156" t="s">
        <v>228</v>
      </c>
      <c r="B156">
        <v>45645</v>
      </c>
      <c r="C156" t="s">
        <v>54</v>
      </c>
      <c r="D156" t="s">
        <v>55</v>
      </c>
      <c r="E156" t="s">
        <v>22</v>
      </c>
      <c r="F156" t="s">
        <v>23</v>
      </c>
      <c r="G156">
        <v>31163.99</v>
      </c>
      <c r="H156">
        <v>23648.58</v>
      </c>
      <c r="I156">
        <v>7515.41</v>
      </c>
      <c r="J156">
        <v>11005.4</v>
      </c>
      <c r="K156">
        <v>17152.849999999999</v>
      </c>
      <c r="L156">
        <v>49137.52</v>
      </c>
      <c r="M156">
        <v>1877</v>
      </c>
      <c r="N156">
        <v>2.5999999999999999E-3</v>
      </c>
      <c r="O156">
        <f t="shared" si="4"/>
        <v>0.2412</v>
      </c>
      <c r="P156">
        <f t="shared" si="5"/>
        <v>0.34910000000000002</v>
      </c>
      <c r="Q156" t="s">
        <v>52</v>
      </c>
      <c r="R156">
        <v>2024</v>
      </c>
      <c r="S156" t="s">
        <v>40</v>
      </c>
    </row>
    <row r="157" spans="1:19" x14ac:dyDescent="0.3">
      <c r="A157" t="s">
        <v>229</v>
      </c>
      <c r="B157">
        <v>45544</v>
      </c>
      <c r="C157" t="s">
        <v>102</v>
      </c>
      <c r="D157" t="s">
        <v>103</v>
      </c>
      <c r="E157" t="s">
        <v>38</v>
      </c>
      <c r="F157" t="s">
        <v>23</v>
      </c>
      <c r="G157">
        <v>50697.31</v>
      </c>
      <c r="H157">
        <v>30160.46</v>
      </c>
      <c r="I157">
        <v>20536.849999999999</v>
      </c>
      <c r="J157">
        <v>24645.47</v>
      </c>
      <c r="K157">
        <v>16469.7</v>
      </c>
      <c r="L157">
        <v>72367.460000000006</v>
      </c>
      <c r="M157">
        <v>753</v>
      </c>
      <c r="N157">
        <v>2.2800000000000001E-2</v>
      </c>
      <c r="O157">
        <f t="shared" si="4"/>
        <v>0.40510000000000002</v>
      </c>
      <c r="P157">
        <f t="shared" si="5"/>
        <v>0.2276</v>
      </c>
      <c r="Q157" t="s">
        <v>72</v>
      </c>
      <c r="R157">
        <v>2024</v>
      </c>
      <c r="S157" t="s">
        <v>25</v>
      </c>
    </row>
    <row r="158" spans="1:19" x14ac:dyDescent="0.3">
      <c r="A158" t="s">
        <v>230</v>
      </c>
      <c r="B158">
        <v>45346</v>
      </c>
      <c r="C158" t="s">
        <v>42</v>
      </c>
      <c r="D158" t="s">
        <v>43</v>
      </c>
      <c r="E158" t="s">
        <v>22</v>
      </c>
      <c r="F158" t="s">
        <v>23</v>
      </c>
      <c r="G158" t="s">
        <v>1281</v>
      </c>
      <c r="H158">
        <v>27901.05</v>
      </c>
      <c r="I158" t="s">
        <v>1281</v>
      </c>
      <c r="J158">
        <v>20107.13</v>
      </c>
      <c r="K158">
        <v>57551.21</v>
      </c>
      <c r="L158">
        <v>102478.79</v>
      </c>
      <c r="M158">
        <v>1332</v>
      </c>
      <c r="N158">
        <v>6.0499999999999998E-2</v>
      </c>
      <c r="O158" t="s">
        <v>1281</v>
      </c>
      <c r="P158">
        <f t="shared" si="5"/>
        <v>0.56159999999999999</v>
      </c>
      <c r="Q158" t="s">
        <v>80</v>
      </c>
      <c r="R158">
        <v>2024</v>
      </c>
      <c r="S158" t="s">
        <v>40</v>
      </c>
    </row>
    <row r="159" spans="1:19" x14ac:dyDescent="0.3">
      <c r="A159" t="s">
        <v>231</v>
      </c>
      <c r="B159">
        <v>44653</v>
      </c>
      <c r="C159" t="s">
        <v>30</v>
      </c>
      <c r="D159" t="s">
        <v>31</v>
      </c>
      <c r="E159" t="s">
        <v>32</v>
      </c>
      <c r="F159" t="s">
        <v>23</v>
      </c>
      <c r="G159">
        <v>35574.474450000002</v>
      </c>
      <c r="H159">
        <v>24660.91</v>
      </c>
      <c r="I159">
        <v>10913.57</v>
      </c>
      <c r="J159">
        <v>35703.620000000003</v>
      </c>
      <c r="K159">
        <v>25572.35</v>
      </c>
      <c r="L159">
        <v>66977.740000000005</v>
      </c>
      <c r="M159">
        <v>1068</v>
      </c>
      <c r="N159">
        <v>0.11260000000000001</v>
      </c>
      <c r="O159">
        <f t="shared" si="4"/>
        <v>0.30680000000000002</v>
      </c>
      <c r="P159">
        <f t="shared" si="5"/>
        <v>0.38179999999999997</v>
      </c>
      <c r="Q159" t="s">
        <v>58</v>
      </c>
      <c r="R159">
        <v>2022</v>
      </c>
      <c r="S159" t="s">
        <v>40</v>
      </c>
    </row>
    <row r="160" spans="1:19" x14ac:dyDescent="0.3">
      <c r="A160" t="s">
        <v>232</v>
      </c>
      <c r="B160">
        <v>46008</v>
      </c>
      <c r="C160" t="s">
        <v>20</v>
      </c>
      <c r="D160" t="s">
        <v>21</v>
      </c>
      <c r="E160" t="s">
        <v>38</v>
      </c>
      <c r="F160" t="s">
        <v>23</v>
      </c>
      <c r="G160">
        <v>27003.51</v>
      </c>
      <c r="H160">
        <v>23187.7</v>
      </c>
      <c r="I160">
        <v>3815.81</v>
      </c>
      <c r="J160">
        <v>67715.360000000001</v>
      </c>
      <c r="K160">
        <v>10346.959999999999</v>
      </c>
      <c r="L160">
        <v>155674.94</v>
      </c>
      <c r="M160">
        <v>480</v>
      </c>
      <c r="N160">
        <v>-4.7199999999999999E-2</v>
      </c>
      <c r="O160">
        <f t="shared" si="4"/>
        <v>0.14130000000000001</v>
      </c>
      <c r="P160">
        <f t="shared" si="5"/>
        <v>6.6500000000000004E-2</v>
      </c>
      <c r="Q160" t="s">
        <v>66</v>
      </c>
      <c r="R160">
        <v>2025</v>
      </c>
      <c r="S160" t="s">
        <v>25</v>
      </c>
    </row>
    <row r="161" spans="1:19" x14ac:dyDescent="0.3">
      <c r="A161" t="s">
        <v>233</v>
      </c>
      <c r="B161">
        <v>44869</v>
      </c>
      <c r="C161" t="s">
        <v>54</v>
      </c>
      <c r="D161" t="s">
        <v>55</v>
      </c>
      <c r="E161" t="s">
        <v>32</v>
      </c>
      <c r="F161" t="s">
        <v>23</v>
      </c>
      <c r="G161">
        <v>53578.832300000002</v>
      </c>
      <c r="H161">
        <v>31989.98</v>
      </c>
      <c r="I161">
        <v>21588.85</v>
      </c>
      <c r="J161">
        <v>27300.3</v>
      </c>
      <c r="K161">
        <v>22555.34</v>
      </c>
      <c r="L161">
        <v>131158.28</v>
      </c>
      <c r="M161">
        <v>1467</v>
      </c>
      <c r="N161">
        <v>0.05</v>
      </c>
      <c r="O161">
        <f t="shared" si="4"/>
        <v>0.40289999999999998</v>
      </c>
      <c r="P161">
        <f t="shared" si="5"/>
        <v>0.17199999999999999</v>
      </c>
      <c r="Q161" t="s">
        <v>46</v>
      </c>
      <c r="R161">
        <v>2022</v>
      </c>
      <c r="S161" t="s">
        <v>25</v>
      </c>
    </row>
    <row r="162" spans="1:19" x14ac:dyDescent="0.3">
      <c r="A162" t="s">
        <v>234</v>
      </c>
      <c r="B162">
        <v>45115</v>
      </c>
      <c r="C162" t="s">
        <v>42</v>
      </c>
      <c r="D162" t="s">
        <v>43</v>
      </c>
      <c r="E162" t="s">
        <v>22</v>
      </c>
      <c r="F162" t="s">
        <v>23</v>
      </c>
      <c r="G162">
        <v>88007.6</v>
      </c>
      <c r="H162">
        <v>79512.56</v>
      </c>
      <c r="I162">
        <v>8495.0400000000009</v>
      </c>
      <c r="J162">
        <v>37985.72</v>
      </c>
      <c r="K162">
        <v>15752.3</v>
      </c>
      <c r="L162">
        <v>168590.17</v>
      </c>
      <c r="M162">
        <v>683</v>
      </c>
      <c r="N162">
        <v>0.14699999999999999</v>
      </c>
      <c r="O162">
        <f t="shared" si="4"/>
        <v>9.6500000000000002E-2</v>
      </c>
      <c r="P162">
        <f t="shared" si="5"/>
        <v>9.3399999999999997E-2</v>
      </c>
      <c r="Q162" t="s">
        <v>56</v>
      </c>
      <c r="R162">
        <v>2023</v>
      </c>
      <c r="S162" t="s">
        <v>25</v>
      </c>
    </row>
    <row r="163" spans="1:19" x14ac:dyDescent="0.3">
      <c r="A163" t="s">
        <v>235</v>
      </c>
      <c r="B163" s="4">
        <v>44793</v>
      </c>
      <c r="C163" t="s">
        <v>48</v>
      </c>
      <c r="D163" t="s">
        <v>49</v>
      </c>
      <c r="E163" t="s">
        <v>22</v>
      </c>
      <c r="F163" t="s">
        <v>23</v>
      </c>
      <c r="G163">
        <v>297226.67</v>
      </c>
      <c r="H163">
        <v>235986.37</v>
      </c>
      <c r="I163">
        <v>61240.3</v>
      </c>
      <c r="J163">
        <v>21504.11</v>
      </c>
      <c r="K163">
        <v>33564.86</v>
      </c>
      <c r="L163">
        <v>130560.95</v>
      </c>
      <c r="M163">
        <v>673</v>
      </c>
      <c r="N163">
        <v>2.2599999999999999E-2</v>
      </c>
      <c r="O163">
        <f t="shared" si="4"/>
        <v>0.20599999999999999</v>
      </c>
      <c r="P163">
        <f t="shared" si="5"/>
        <v>0.2571</v>
      </c>
      <c r="Q163" t="s">
        <v>76</v>
      </c>
      <c r="R163">
        <v>2022</v>
      </c>
      <c r="S163" t="s">
        <v>25</v>
      </c>
    </row>
    <row r="164" spans="1:19" x14ac:dyDescent="0.3">
      <c r="A164" t="s">
        <v>236</v>
      </c>
      <c r="B164">
        <v>45142</v>
      </c>
      <c r="C164" t="s">
        <v>102</v>
      </c>
      <c r="D164" t="s">
        <v>103</v>
      </c>
      <c r="E164" t="s">
        <v>22</v>
      </c>
      <c r="F164" t="s">
        <v>23</v>
      </c>
      <c r="G164">
        <v>77468.009999999995</v>
      </c>
      <c r="H164">
        <v>62104.89</v>
      </c>
      <c r="I164">
        <v>15363.12</v>
      </c>
      <c r="J164">
        <v>109698.4</v>
      </c>
      <c r="K164">
        <v>20085.29</v>
      </c>
      <c r="L164">
        <v>178467.53</v>
      </c>
      <c r="M164">
        <v>489</v>
      </c>
      <c r="N164">
        <v>-6.2899999999999998E-2</v>
      </c>
      <c r="O164">
        <f t="shared" si="4"/>
        <v>0.1983</v>
      </c>
      <c r="P164">
        <f t="shared" si="5"/>
        <v>0.1125</v>
      </c>
      <c r="Q164" t="s">
        <v>56</v>
      </c>
      <c r="R164">
        <v>2023</v>
      </c>
      <c r="S164" t="s">
        <v>25</v>
      </c>
    </row>
    <row r="165" spans="1:19" x14ac:dyDescent="0.3">
      <c r="A165" t="s">
        <v>237</v>
      </c>
      <c r="B165">
        <v>45796</v>
      </c>
      <c r="C165" t="s">
        <v>54</v>
      </c>
      <c r="D165" t="s">
        <v>55</v>
      </c>
      <c r="E165" t="s">
        <v>51</v>
      </c>
      <c r="F165" t="s">
        <v>23</v>
      </c>
      <c r="G165">
        <v>37030.9</v>
      </c>
      <c r="H165">
        <v>22752.54</v>
      </c>
      <c r="I165">
        <v>14278.36</v>
      </c>
      <c r="J165">
        <v>47841.89</v>
      </c>
      <c r="K165">
        <v>33726.35</v>
      </c>
      <c r="L165">
        <v>83052.77</v>
      </c>
      <c r="M165">
        <v>631</v>
      </c>
      <c r="N165">
        <v>7.5999999999999998E-2</v>
      </c>
      <c r="O165">
        <f t="shared" si="4"/>
        <v>0.3856</v>
      </c>
      <c r="P165">
        <f t="shared" si="5"/>
        <v>0.40610000000000002</v>
      </c>
      <c r="Q165" t="s">
        <v>34</v>
      </c>
      <c r="R165">
        <v>2025</v>
      </c>
      <c r="S165" t="s">
        <v>40</v>
      </c>
    </row>
    <row r="166" spans="1:19" x14ac:dyDescent="0.3">
      <c r="A166" t="s">
        <v>238</v>
      </c>
      <c r="B166">
        <v>44929</v>
      </c>
      <c r="C166" t="s">
        <v>85</v>
      </c>
      <c r="D166" t="s">
        <v>86</v>
      </c>
      <c r="E166" t="s">
        <v>38</v>
      </c>
      <c r="F166" t="s">
        <v>23</v>
      </c>
      <c r="G166">
        <v>108514.08</v>
      </c>
      <c r="H166">
        <v>75017.7</v>
      </c>
      <c r="I166">
        <v>33496.379999999997</v>
      </c>
      <c r="J166">
        <v>82274.070000000007</v>
      </c>
      <c r="K166">
        <v>20782.28</v>
      </c>
      <c r="L166">
        <v>131880.47</v>
      </c>
      <c r="M166">
        <v>1632</v>
      </c>
      <c r="N166">
        <v>5.1700000000000003E-2</v>
      </c>
      <c r="O166">
        <f t="shared" si="4"/>
        <v>0.30869999999999997</v>
      </c>
      <c r="P166">
        <f t="shared" si="5"/>
        <v>0.15759999999999999</v>
      </c>
      <c r="Q166" t="s">
        <v>118</v>
      </c>
      <c r="R166">
        <v>2023</v>
      </c>
      <c r="S166" t="s">
        <v>25</v>
      </c>
    </row>
    <row r="167" spans="1:19" x14ac:dyDescent="0.3">
      <c r="A167" t="s">
        <v>239</v>
      </c>
      <c r="B167">
        <v>44680</v>
      </c>
      <c r="C167" t="s">
        <v>78</v>
      </c>
      <c r="D167" t="s">
        <v>79</v>
      </c>
      <c r="E167" t="s">
        <v>51</v>
      </c>
      <c r="F167" t="s">
        <v>23</v>
      </c>
      <c r="G167">
        <v>48132.51</v>
      </c>
      <c r="H167">
        <v>43925.2</v>
      </c>
      <c r="I167">
        <v>4207.3100000000004</v>
      </c>
      <c r="J167">
        <v>62911.74</v>
      </c>
      <c r="K167">
        <v>86205.99</v>
      </c>
      <c r="L167">
        <v>293745.64</v>
      </c>
      <c r="M167">
        <v>1255</v>
      </c>
      <c r="N167">
        <v>5.45E-2</v>
      </c>
      <c r="O167">
        <f t="shared" si="4"/>
        <v>8.7400000000000005E-2</v>
      </c>
      <c r="P167">
        <f t="shared" si="5"/>
        <v>0.29349999999999998</v>
      </c>
      <c r="Q167" t="s">
        <v>58</v>
      </c>
      <c r="R167">
        <v>2022</v>
      </c>
      <c r="S167" t="s">
        <v>25</v>
      </c>
    </row>
    <row r="168" spans="1:19" x14ac:dyDescent="0.3">
      <c r="A168" t="s">
        <v>240</v>
      </c>
      <c r="B168">
        <v>45083</v>
      </c>
      <c r="C168" t="s">
        <v>36</v>
      </c>
      <c r="D168" t="s">
        <v>37</v>
      </c>
      <c r="E168" t="s">
        <v>38</v>
      </c>
      <c r="F168" t="s">
        <v>23</v>
      </c>
      <c r="G168">
        <v>105022.88</v>
      </c>
      <c r="H168">
        <v>66490.8</v>
      </c>
      <c r="I168">
        <v>38532.080000000002</v>
      </c>
      <c r="J168">
        <v>28360.17</v>
      </c>
      <c r="K168">
        <v>11662.72</v>
      </c>
      <c r="L168">
        <v>42061.279999999999</v>
      </c>
      <c r="M168">
        <v>2264</v>
      </c>
      <c r="N168">
        <v>-7.2700000000000001E-2</v>
      </c>
      <c r="O168">
        <f t="shared" si="4"/>
        <v>0.3669</v>
      </c>
      <c r="P168">
        <f t="shared" si="5"/>
        <v>0.27729999999999999</v>
      </c>
      <c r="Q168" t="s">
        <v>39</v>
      </c>
      <c r="R168">
        <v>2023</v>
      </c>
      <c r="S168" t="s">
        <v>25</v>
      </c>
    </row>
    <row r="169" spans="1:19" x14ac:dyDescent="0.3">
      <c r="A169" t="s">
        <v>241</v>
      </c>
      <c r="B169">
        <v>45757</v>
      </c>
      <c r="C169" t="s">
        <v>85</v>
      </c>
      <c r="D169" t="s">
        <v>86</v>
      </c>
      <c r="E169" t="s">
        <v>38</v>
      </c>
      <c r="F169" t="s">
        <v>23</v>
      </c>
      <c r="G169">
        <v>83851.77</v>
      </c>
      <c r="H169">
        <v>66154.850000000006</v>
      </c>
      <c r="I169">
        <v>17696.919999999998</v>
      </c>
      <c r="J169">
        <v>29284.27</v>
      </c>
      <c r="K169">
        <v>53550.41</v>
      </c>
      <c r="L169">
        <v>67949.34</v>
      </c>
      <c r="M169">
        <v>832</v>
      </c>
      <c r="N169">
        <v>3.1199999999999999E-2</v>
      </c>
      <c r="O169">
        <f t="shared" si="4"/>
        <v>0.21110000000000001</v>
      </c>
      <c r="P169">
        <f t="shared" si="5"/>
        <v>0.78810000000000002</v>
      </c>
      <c r="Q169" t="s">
        <v>34</v>
      </c>
      <c r="R169">
        <v>2025</v>
      </c>
      <c r="S169" t="s">
        <v>82</v>
      </c>
    </row>
    <row r="170" spans="1:19" x14ac:dyDescent="0.3">
      <c r="A170" t="s">
        <v>242</v>
      </c>
      <c r="B170">
        <v>44863</v>
      </c>
      <c r="C170" t="s">
        <v>27</v>
      </c>
      <c r="D170" t="s">
        <v>28</v>
      </c>
      <c r="E170" t="s">
        <v>51</v>
      </c>
      <c r="F170" t="s">
        <v>23</v>
      </c>
      <c r="G170">
        <v>130299.28</v>
      </c>
      <c r="H170">
        <v>103298.65</v>
      </c>
      <c r="I170">
        <v>27000.63</v>
      </c>
      <c r="J170">
        <v>54946.45</v>
      </c>
      <c r="K170">
        <v>31095.46</v>
      </c>
      <c r="L170">
        <v>77584.240000000005</v>
      </c>
      <c r="M170">
        <v>1074</v>
      </c>
      <c r="N170">
        <v>-3.8899999999999997E-2</v>
      </c>
      <c r="O170">
        <f t="shared" si="4"/>
        <v>0.2072</v>
      </c>
      <c r="P170">
        <f t="shared" si="5"/>
        <v>0.40079999999999999</v>
      </c>
      <c r="Q170" t="s">
        <v>46</v>
      </c>
      <c r="R170">
        <v>2022</v>
      </c>
      <c r="S170" t="s">
        <v>40</v>
      </c>
    </row>
    <row r="171" spans="1:19" x14ac:dyDescent="0.3">
      <c r="A171" t="s">
        <v>243</v>
      </c>
      <c r="B171">
        <v>45992</v>
      </c>
      <c r="C171" t="s">
        <v>54</v>
      </c>
      <c r="D171" t="s">
        <v>55</v>
      </c>
      <c r="E171" t="s">
        <v>51</v>
      </c>
      <c r="F171" t="s">
        <v>23</v>
      </c>
      <c r="G171">
        <v>100849.87</v>
      </c>
      <c r="H171">
        <v>75700.710000000006</v>
      </c>
      <c r="I171">
        <v>25149.16</v>
      </c>
      <c r="J171">
        <v>54531.27</v>
      </c>
      <c r="K171">
        <v>32617.439999999999</v>
      </c>
      <c r="L171">
        <v>475899.48</v>
      </c>
      <c r="M171">
        <v>1158</v>
      </c>
      <c r="N171">
        <v>-0.1221</v>
      </c>
      <c r="O171">
        <f t="shared" si="4"/>
        <v>0.24940000000000001</v>
      </c>
      <c r="P171">
        <f t="shared" si="5"/>
        <v>6.8500000000000005E-2</v>
      </c>
      <c r="Q171" t="s">
        <v>66</v>
      </c>
      <c r="R171">
        <v>2025</v>
      </c>
      <c r="S171" t="s">
        <v>25</v>
      </c>
    </row>
    <row r="172" spans="1:19" x14ac:dyDescent="0.3">
      <c r="A172" t="s">
        <v>244</v>
      </c>
      <c r="B172">
        <v>45866</v>
      </c>
      <c r="C172" t="s">
        <v>20</v>
      </c>
      <c r="D172" t="s">
        <v>21</v>
      </c>
      <c r="E172" t="s">
        <v>32</v>
      </c>
      <c r="F172" t="s">
        <v>23</v>
      </c>
      <c r="G172">
        <v>55874.248149999999</v>
      </c>
      <c r="H172">
        <v>40272.83</v>
      </c>
      <c r="I172">
        <v>15601.42</v>
      </c>
      <c r="J172">
        <v>52578.77</v>
      </c>
      <c r="K172">
        <v>26060.76</v>
      </c>
      <c r="L172">
        <v>88804.12</v>
      </c>
      <c r="M172">
        <v>691</v>
      </c>
      <c r="N172">
        <v>5.4100000000000002E-2</v>
      </c>
      <c r="O172">
        <f t="shared" si="4"/>
        <v>0.2792</v>
      </c>
      <c r="P172">
        <f t="shared" si="5"/>
        <v>0.29349999999999998</v>
      </c>
      <c r="Q172" t="s">
        <v>24</v>
      </c>
      <c r="R172">
        <v>2025</v>
      </c>
      <c r="S172" t="s">
        <v>25</v>
      </c>
    </row>
    <row r="173" spans="1:19" x14ac:dyDescent="0.3">
      <c r="A173" t="s">
        <v>245</v>
      </c>
      <c r="B173">
        <v>44863</v>
      </c>
      <c r="C173" t="s">
        <v>61</v>
      </c>
      <c r="D173" t="s">
        <v>74</v>
      </c>
      <c r="E173" t="s">
        <v>22</v>
      </c>
      <c r="F173" t="s">
        <v>23</v>
      </c>
      <c r="G173">
        <v>33613.26</v>
      </c>
      <c r="H173">
        <v>22907.18</v>
      </c>
      <c r="I173">
        <v>10706.08</v>
      </c>
      <c r="J173">
        <v>44856.41</v>
      </c>
      <c r="K173">
        <v>33603.53</v>
      </c>
      <c r="L173">
        <v>223135.94</v>
      </c>
      <c r="M173">
        <v>467</v>
      </c>
      <c r="N173">
        <v>-7.2999999999999995E-2</v>
      </c>
      <c r="O173">
        <f t="shared" si="4"/>
        <v>0.31850000000000001</v>
      </c>
      <c r="P173">
        <f t="shared" si="5"/>
        <v>0.15060000000000001</v>
      </c>
      <c r="Q173" t="s">
        <v>46</v>
      </c>
      <c r="R173">
        <v>2022</v>
      </c>
      <c r="S173" t="s">
        <v>25</v>
      </c>
    </row>
    <row r="174" spans="1:19" x14ac:dyDescent="0.3">
      <c r="A174" t="s">
        <v>246</v>
      </c>
      <c r="B174">
        <v>45655</v>
      </c>
      <c r="C174" t="s">
        <v>30</v>
      </c>
      <c r="D174" t="s">
        <v>31</v>
      </c>
      <c r="E174" t="s">
        <v>22</v>
      </c>
      <c r="F174" t="s">
        <v>23</v>
      </c>
      <c r="G174">
        <v>42994.58</v>
      </c>
      <c r="H174">
        <v>35133.72</v>
      </c>
      <c r="I174">
        <v>7860.86</v>
      </c>
      <c r="J174">
        <v>7586.42</v>
      </c>
      <c r="K174">
        <v>32200.84</v>
      </c>
      <c r="L174">
        <v>128091.01</v>
      </c>
      <c r="M174">
        <v>474</v>
      </c>
      <c r="N174">
        <v>-0.1221</v>
      </c>
      <c r="O174">
        <f t="shared" si="4"/>
        <v>0.18279999999999999</v>
      </c>
      <c r="P174">
        <f t="shared" si="5"/>
        <v>0.25140000000000001</v>
      </c>
      <c r="Q174" t="s">
        <v>52</v>
      </c>
      <c r="R174">
        <v>2024</v>
      </c>
      <c r="S174" t="s">
        <v>25</v>
      </c>
    </row>
    <row r="175" spans="1:19" x14ac:dyDescent="0.3">
      <c r="A175" t="s">
        <v>247</v>
      </c>
      <c r="B175">
        <v>44763</v>
      </c>
      <c r="C175" t="s">
        <v>102</v>
      </c>
      <c r="D175" t="s">
        <v>103</v>
      </c>
      <c r="E175" t="s">
        <v>38</v>
      </c>
      <c r="F175" t="s">
        <v>23</v>
      </c>
      <c r="G175">
        <v>27128.05</v>
      </c>
      <c r="H175">
        <v>22892.080000000002</v>
      </c>
      <c r="I175">
        <v>4235.97</v>
      </c>
      <c r="J175">
        <v>79523.58</v>
      </c>
      <c r="K175">
        <v>31097.83</v>
      </c>
      <c r="L175">
        <v>111513.57</v>
      </c>
      <c r="M175">
        <v>2431</v>
      </c>
      <c r="N175">
        <v>-1.2200000000000001E-2</v>
      </c>
      <c r="O175">
        <f t="shared" si="4"/>
        <v>0.15609999999999999</v>
      </c>
      <c r="P175">
        <f t="shared" si="5"/>
        <v>0.27889999999999998</v>
      </c>
      <c r="Q175" t="s">
        <v>76</v>
      </c>
      <c r="R175">
        <v>2022</v>
      </c>
      <c r="S175" t="s">
        <v>25</v>
      </c>
    </row>
    <row r="176" spans="1:19" x14ac:dyDescent="0.3">
      <c r="A176" t="s">
        <v>248</v>
      </c>
      <c r="B176">
        <v>45259</v>
      </c>
      <c r="C176" t="s">
        <v>102</v>
      </c>
      <c r="D176" t="s">
        <v>103</v>
      </c>
      <c r="E176" t="s">
        <v>38</v>
      </c>
      <c r="F176" t="s">
        <v>23</v>
      </c>
      <c r="G176">
        <v>245206.29</v>
      </c>
      <c r="H176">
        <v>189615.68</v>
      </c>
      <c r="I176">
        <v>55590.61</v>
      </c>
      <c r="J176">
        <v>123084.98</v>
      </c>
      <c r="K176">
        <v>61037.89</v>
      </c>
      <c r="L176">
        <v>216461.5</v>
      </c>
      <c r="M176">
        <v>1274</v>
      </c>
      <c r="N176">
        <v>-3.1300000000000001E-2</v>
      </c>
      <c r="O176">
        <f t="shared" si="4"/>
        <v>0.22670000000000001</v>
      </c>
      <c r="P176">
        <f t="shared" si="5"/>
        <v>0.28199999999999997</v>
      </c>
      <c r="Q176" t="s">
        <v>44</v>
      </c>
      <c r="R176">
        <v>2023</v>
      </c>
      <c r="S176" t="s">
        <v>25</v>
      </c>
    </row>
    <row r="177" spans="1:19" x14ac:dyDescent="0.3">
      <c r="A177" t="s">
        <v>249</v>
      </c>
      <c r="B177" s="4">
        <v>44772</v>
      </c>
      <c r="C177" t="s">
        <v>48</v>
      </c>
      <c r="D177" t="s">
        <v>49</v>
      </c>
      <c r="E177" t="s">
        <v>22</v>
      </c>
      <c r="F177" t="s">
        <v>23</v>
      </c>
      <c r="G177">
        <v>65472.14</v>
      </c>
      <c r="H177">
        <v>55023.56</v>
      </c>
      <c r="I177">
        <v>10448.58</v>
      </c>
      <c r="J177">
        <v>23926.46</v>
      </c>
      <c r="K177">
        <v>57426.47</v>
      </c>
      <c r="L177">
        <v>123786.6</v>
      </c>
      <c r="M177">
        <v>257</v>
      </c>
      <c r="N177">
        <v>7.0099999999999996E-2</v>
      </c>
      <c r="O177">
        <f t="shared" si="4"/>
        <v>0.15959999999999999</v>
      </c>
      <c r="P177">
        <f t="shared" si="5"/>
        <v>0.46389999999999998</v>
      </c>
      <c r="Q177" t="s">
        <v>76</v>
      </c>
      <c r="R177">
        <v>2022</v>
      </c>
      <c r="S177" t="s">
        <v>40</v>
      </c>
    </row>
    <row r="178" spans="1:19" x14ac:dyDescent="0.3">
      <c r="A178" t="s">
        <v>250</v>
      </c>
      <c r="B178">
        <v>44674</v>
      </c>
      <c r="C178" t="s">
        <v>42</v>
      </c>
      <c r="D178" t="s">
        <v>43</v>
      </c>
      <c r="E178" t="s">
        <v>38</v>
      </c>
      <c r="F178" t="s">
        <v>23</v>
      </c>
      <c r="G178">
        <v>42272.02</v>
      </c>
      <c r="H178">
        <v>26700.12</v>
      </c>
      <c r="I178">
        <v>15571.9</v>
      </c>
      <c r="J178">
        <v>29891.52</v>
      </c>
      <c r="K178">
        <v>90288</v>
      </c>
      <c r="L178">
        <v>125988.07</v>
      </c>
      <c r="M178">
        <v>566</v>
      </c>
      <c r="N178">
        <v>0.14910000000000001</v>
      </c>
      <c r="O178">
        <f t="shared" si="4"/>
        <v>0.36840000000000001</v>
      </c>
      <c r="P178">
        <f t="shared" si="5"/>
        <v>0.71660000000000001</v>
      </c>
      <c r="Q178" t="s">
        <v>58</v>
      </c>
      <c r="R178">
        <v>2022</v>
      </c>
      <c r="S178" t="s">
        <v>82</v>
      </c>
    </row>
    <row r="179" spans="1:19" x14ac:dyDescent="0.3">
      <c r="A179" t="s">
        <v>251</v>
      </c>
      <c r="B179">
        <v>45632</v>
      </c>
      <c r="C179" t="s">
        <v>42</v>
      </c>
      <c r="D179" t="s">
        <v>43</v>
      </c>
      <c r="E179" t="s">
        <v>32</v>
      </c>
      <c r="F179" t="s">
        <v>23</v>
      </c>
      <c r="G179">
        <v>72271.850399999996</v>
      </c>
      <c r="H179">
        <v>62206.32</v>
      </c>
      <c r="I179">
        <v>10065.530000000001</v>
      </c>
      <c r="J179">
        <v>19221.740000000002</v>
      </c>
      <c r="K179">
        <v>80363.69</v>
      </c>
      <c r="L179">
        <v>35254.39</v>
      </c>
      <c r="M179">
        <v>510</v>
      </c>
      <c r="N179">
        <v>3.61E-2</v>
      </c>
      <c r="O179">
        <f t="shared" si="4"/>
        <v>0.13930000000000001</v>
      </c>
      <c r="P179">
        <f t="shared" si="5"/>
        <v>2.2795000000000001</v>
      </c>
      <c r="Q179" t="s">
        <v>52</v>
      </c>
      <c r="R179">
        <v>2024</v>
      </c>
      <c r="S179" t="s">
        <v>82</v>
      </c>
    </row>
    <row r="180" spans="1:19" x14ac:dyDescent="0.3">
      <c r="A180" t="s">
        <v>252</v>
      </c>
      <c r="B180">
        <v>45534</v>
      </c>
      <c r="C180" t="s">
        <v>61</v>
      </c>
      <c r="D180" t="s">
        <v>74</v>
      </c>
      <c r="E180" t="s">
        <v>38</v>
      </c>
      <c r="F180" t="s">
        <v>23</v>
      </c>
      <c r="G180">
        <v>116622.06</v>
      </c>
      <c r="H180">
        <v>89448.8</v>
      </c>
      <c r="I180">
        <v>27173.26</v>
      </c>
      <c r="J180">
        <v>106179.16</v>
      </c>
      <c r="K180">
        <v>37913.019999999997</v>
      </c>
      <c r="L180">
        <v>175602.29</v>
      </c>
      <c r="M180">
        <v>746</v>
      </c>
      <c r="N180">
        <v>4.9700000000000001E-2</v>
      </c>
      <c r="O180">
        <f t="shared" si="4"/>
        <v>0.23300000000000001</v>
      </c>
      <c r="P180">
        <f t="shared" si="5"/>
        <v>0.21590000000000001</v>
      </c>
      <c r="Q180" t="s">
        <v>72</v>
      </c>
      <c r="R180">
        <v>2024</v>
      </c>
      <c r="S180" t="s">
        <v>25</v>
      </c>
    </row>
    <row r="181" spans="1:19" x14ac:dyDescent="0.3">
      <c r="A181" t="s">
        <v>253</v>
      </c>
      <c r="B181">
        <v>44610</v>
      </c>
      <c r="C181" t="s">
        <v>27</v>
      </c>
      <c r="D181" t="s">
        <v>28</v>
      </c>
      <c r="E181" t="s">
        <v>22</v>
      </c>
      <c r="F181" t="s">
        <v>23</v>
      </c>
      <c r="G181">
        <v>114806.83</v>
      </c>
      <c r="H181">
        <v>93134.399999999994</v>
      </c>
      <c r="I181">
        <v>21672.43</v>
      </c>
      <c r="J181">
        <v>30577.360000000001</v>
      </c>
      <c r="K181">
        <v>18225.82</v>
      </c>
      <c r="L181">
        <v>97171.8</v>
      </c>
      <c r="M181">
        <v>793</v>
      </c>
      <c r="N181">
        <v>-6.4899999999999999E-2</v>
      </c>
      <c r="O181">
        <f t="shared" si="4"/>
        <v>0.1888</v>
      </c>
      <c r="P181">
        <f t="shared" si="5"/>
        <v>0.18759999999999999</v>
      </c>
      <c r="Q181" t="s">
        <v>90</v>
      </c>
      <c r="R181">
        <v>2022</v>
      </c>
      <c r="S181" t="s">
        <v>25</v>
      </c>
    </row>
    <row r="182" spans="1:19" x14ac:dyDescent="0.3">
      <c r="A182" t="s">
        <v>254</v>
      </c>
      <c r="B182">
        <v>45109</v>
      </c>
      <c r="C182" t="s">
        <v>42</v>
      </c>
      <c r="D182" t="s">
        <v>43</v>
      </c>
      <c r="E182" t="s">
        <v>22</v>
      </c>
      <c r="F182" t="s">
        <v>23</v>
      </c>
      <c r="G182">
        <v>39334.6</v>
      </c>
      <c r="H182">
        <v>33089.72</v>
      </c>
      <c r="I182">
        <v>6244.88</v>
      </c>
      <c r="J182">
        <v>16856.25</v>
      </c>
      <c r="K182">
        <v>25508.76</v>
      </c>
      <c r="L182">
        <v>88822.92</v>
      </c>
      <c r="M182">
        <v>1513</v>
      </c>
      <c r="N182">
        <v>-7.9000000000000008E-3</v>
      </c>
      <c r="O182">
        <f t="shared" si="4"/>
        <v>0.1588</v>
      </c>
      <c r="P182">
        <f t="shared" si="5"/>
        <v>0.28720000000000001</v>
      </c>
      <c r="Q182" t="s">
        <v>56</v>
      </c>
      <c r="R182">
        <v>2023</v>
      </c>
      <c r="S182" t="s">
        <v>25</v>
      </c>
    </row>
    <row r="183" spans="1:19" x14ac:dyDescent="0.3">
      <c r="A183" t="s">
        <v>255</v>
      </c>
      <c r="B183">
        <v>45813</v>
      </c>
      <c r="C183" t="s">
        <v>85</v>
      </c>
      <c r="D183" t="s">
        <v>86</v>
      </c>
      <c r="E183" t="s">
        <v>38</v>
      </c>
      <c r="F183" t="s">
        <v>23</v>
      </c>
      <c r="G183">
        <v>15127.11</v>
      </c>
      <c r="H183">
        <v>10264</v>
      </c>
      <c r="I183">
        <v>4863.1099999999997</v>
      </c>
      <c r="J183">
        <v>61012.36</v>
      </c>
      <c r="K183">
        <v>32782.89</v>
      </c>
      <c r="L183">
        <v>124939.44</v>
      </c>
      <c r="M183">
        <v>1231</v>
      </c>
      <c r="N183">
        <v>1.7299999999999999E-2</v>
      </c>
      <c r="O183">
        <f t="shared" si="4"/>
        <v>0.32150000000000001</v>
      </c>
      <c r="P183">
        <f t="shared" si="5"/>
        <v>0.26240000000000002</v>
      </c>
      <c r="Q183" t="s">
        <v>34</v>
      </c>
      <c r="R183">
        <v>2025</v>
      </c>
      <c r="S183" t="s">
        <v>25</v>
      </c>
    </row>
    <row r="184" spans="1:19" x14ac:dyDescent="0.3">
      <c r="A184" t="s">
        <v>256</v>
      </c>
      <c r="B184">
        <v>45457</v>
      </c>
      <c r="C184" t="s">
        <v>61</v>
      </c>
      <c r="D184" t="s">
        <v>74</v>
      </c>
      <c r="E184" t="s">
        <v>22</v>
      </c>
      <c r="F184" t="s">
        <v>23</v>
      </c>
      <c r="G184">
        <v>68328.83</v>
      </c>
      <c r="H184">
        <v>62345.54</v>
      </c>
      <c r="I184">
        <v>5983.29</v>
      </c>
      <c r="J184">
        <v>170912.36</v>
      </c>
      <c r="K184">
        <v>38437.93</v>
      </c>
      <c r="L184">
        <v>206244.43</v>
      </c>
      <c r="M184">
        <v>698</v>
      </c>
      <c r="N184">
        <v>-6.9800000000000001E-2</v>
      </c>
      <c r="O184">
        <f t="shared" si="4"/>
        <v>8.7599999999999997E-2</v>
      </c>
      <c r="P184">
        <f t="shared" si="5"/>
        <v>0.18640000000000001</v>
      </c>
      <c r="Q184" t="s">
        <v>111</v>
      </c>
      <c r="R184">
        <v>2024</v>
      </c>
      <c r="S184" t="s">
        <v>25</v>
      </c>
    </row>
    <row r="185" spans="1:19" x14ac:dyDescent="0.3">
      <c r="A185" t="s">
        <v>257</v>
      </c>
      <c r="B185">
        <v>44945</v>
      </c>
      <c r="C185" t="s">
        <v>30</v>
      </c>
      <c r="D185" t="s">
        <v>31</v>
      </c>
      <c r="E185" t="s">
        <v>51</v>
      </c>
      <c r="F185" t="s">
        <v>23</v>
      </c>
      <c r="G185">
        <v>42829.11</v>
      </c>
      <c r="H185">
        <v>34391.300000000003</v>
      </c>
      <c r="I185">
        <v>8437.81</v>
      </c>
      <c r="J185">
        <v>29292.14</v>
      </c>
      <c r="K185">
        <v>36299.129999999997</v>
      </c>
      <c r="L185">
        <v>90765.6</v>
      </c>
      <c r="M185">
        <v>719</v>
      </c>
      <c r="N185">
        <v>-9.4700000000000006E-2</v>
      </c>
      <c r="O185">
        <f t="shared" si="4"/>
        <v>0.19700000000000001</v>
      </c>
      <c r="P185">
        <f t="shared" si="5"/>
        <v>0.39989999999999998</v>
      </c>
      <c r="Q185" t="s">
        <v>118</v>
      </c>
      <c r="R185">
        <v>2023</v>
      </c>
      <c r="S185" t="s">
        <v>40</v>
      </c>
    </row>
    <row r="186" spans="1:19" x14ac:dyDescent="0.3">
      <c r="A186" t="s">
        <v>258</v>
      </c>
      <c r="B186">
        <v>44738</v>
      </c>
      <c r="C186" t="s">
        <v>54</v>
      </c>
      <c r="D186" t="s">
        <v>55</v>
      </c>
      <c r="E186" t="s">
        <v>38</v>
      </c>
      <c r="F186" t="s">
        <v>23</v>
      </c>
      <c r="G186">
        <v>42704.79</v>
      </c>
      <c r="H186">
        <v>30729.14</v>
      </c>
      <c r="I186">
        <v>11975.65</v>
      </c>
      <c r="J186">
        <v>34902.050000000003</v>
      </c>
      <c r="K186">
        <v>9768.59</v>
      </c>
      <c r="L186">
        <v>92228.19</v>
      </c>
      <c r="M186">
        <v>733</v>
      </c>
      <c r="N186">
        <v>0.1608</v>
      </c>
      <c r="O186">
        <f t="shared" si="4"/>
        <v>0.28039999999999998</v>
      </c>
      <c r="P186">
        <f t="shared" si="5"/>
        <v>0.10589999999999999</v>
      </c>
      <c r="Q186" t="s">
        <v>58</v>
      </c>
      <c r="R186">
        <v>2022</v>
      </c>
      <c r="S186" t="s">
        <v>25</v>
      </c>
    </row>
    <row r="187" spans="1:19" x14ac:dyDescent="0.3">
      <c r="A187" t="s">
        <v>259</v>
      </c>
      <c r="B187">
        <v>45671</v>
      </c>
      <c r="C187" t="s">
        <v>30</v>
      </c>
      <c r="D187" t="s">
        <v>31</v>
      </c>
      <c r="E187" t="s">
        <v>22</v>
      </c>
      <c r="F187" t="s">
        <v>23</v>
      </c>
      <c r="G187">
        <v>135120.07999999999</v>
      </c>
      <c r="H187">
        <v>79912.22</v>
      </c>
      <c r="I187">
        <v>55207.86</v>
      </c>
      <c r="J187">
        <v>20283.03</v>
      </c>
      <c r="K187">
        <v>28506.92</v>
      </c>
      <c r="L187">
        <v>79185.95</v>
      </c>
      <c r="M187">
        <v>892</v>
      </c>
      <c r="N187">
        <v>0.1193</v>
      </c>
      <c r="O187">
        <f t="shared" si="4"/>
        <v>0.40860000000000002</v>
      </c>
      <c r="P187">
        <f t="shared" si="5"/>
        <v>0.36</v>
      </c>
      <c r="Q187" t="s">
        <v>106</v>
      </c>
      <c r="R187">
        <v>2025</v>
      </c>
      <c r="S187" t="s">
        <v>40</v>
      </c>
    </row>
    <row r="188" spans="1:19" x14ac:dyDescent="0.3">
      <c r="A188" t="s">
        <v>260</v>
      </c>
      <c r="B188">
        <v>45739</v>
      </c>
      <c r="C188" t="s">
        <v>20</v>
      </c>
      <c r="D188" t="s">
        <v>21</v>
      </c>
      <c r="E188" t="s">
        <v>22</v>
      </c>
      <c r="F188" t="s">
        <v>23</v>
      </c>
      <c r="G188">
        <v>155633.16</v>
      </c>
      <c r="H188">
        <v>115506.69</v>
      </c>
      <c r="I188">
        <v>40126.47</v>
      </c>
      <c r="J188">
        <v>19190</v>
      </c>
      <c r="K188">
        <v>34837.980000000003</v>
      </c>
      <c r="L188">
        <v>68739.87</v>
      </c>
      <c r="M188">
        <v>787</v>
      </c>
      <c r="N188">
        <v>-0.1072</v>
      </c>
      <c r="O188">
        <f t="shared" si="4"/>
        <v>0.25779999999999997</v>
      </c>
      <c r="P188">
        <f t="shared" si="5"/>
        <v>0.50680000000000003</v>
      </c>
      <c r="Q188" t="s">
        <v>106</v>
      </c>
      <c r="R188">
        <v>2025</v>
      </c>
      <c r="S188" t="s">
        <v>40</v>
      </c>
    </row>
    <row r="189" spans="1:19" x14ac:dyDescent="0.3">
      <c r="A189" t="s">
        <v>261</v>
      </c>
      <c r="B189">
        <v>45442</v>
      </c>
      <c r="C189" t="s">
        <v>61</v>
      </c>
      <c r="D189" t="s">
        <v>74</v>
      </c>
      <c r="E189" t="s">
        <v>22</v>
      </c>
      <c r="F189" t="s">
        <v>23</v>
      </c>
      <c r="G189">
        <v>129835.22</v>
      </c>
      <c r="H189">
        <v>97288.08</v>
      </c>
      <c r="I189">
        <v>32547.14</v>
      </c>
      <c r="J189">
        <v>31117.14</v>
      </c>
      <c r="K189">
        <v>12347.92</v>
      </c>
      <c r="L189">
        <v>90749.4</v>
      </c>
      <c r="M189">
        <v>1432</v>
      </c>
      <c r="N189">
        <v>4.7899999999999998E-2</v>
      </c>
      <c r="O189">
        <f t="shared" si="4"/>
        <v>0.25069999999999998</v>
      </c>
      <c r="P189">
        <f t="shared" si="5"/>
        <v>0.1361</v>
      </c>
      <c r="Q189" t="s">
        <v>111</v>
      </c>
      <c r="R189">
        <v>2024</v>
      </c>
      <c r="S189" t="s">
        <v>25</v>
      </c>
    </row>
    <row r="190" spans="1:19" x14ac:dyDescent="0.3">
      <c r="A190" t="s">
        <v>262</v>
      </c>
      <c r="B190">
        <v>45270</v>
      </c>
      <c r="C190" t="s">
        <v>1282</v>
      </c>
      <c r="D190" t="s">
        <v>69</v>
      </c>
      <c r="E190" t="s">
        <v>38</v>
      </c>
      <c r="F190" t="s">
        <v>23</v>
      </c>
      <c r="G190">
        <v>22247.85</v>
      </c>
      <c r="H190">
        <v>18762.86</v>
      </c>
      <c r="I190">
        <v>3484.99</v>
      </c>
      <c r="J190">
        <v>37814.82</v>
      </c>
      <c r="K190">
        <v>120407.63</v>
      </c>
      <c r="L190">
        <v>172411.23</v>
      </c>
      <c r="M190">
        <v>734</v>
      </c>
      <c r="N190">
        <v>0.1061</v>
      </c>
      <c r="O190">
        <f t="shared" si="4"/>
        <v>0.15659999999999999</v>
      </c>
      <c r="P190">
        <f t="shared" si="5"/>
        <v>0.69840000000000002</v>
      </c>
      <c r="Q190" t="s">
        <v>44</v>
      </c>
      <c r="R190">
        <v>2023</v>
      </c>
      <c r="S190" t="s">
        <v>82</v>
      </c>
    </row>
    <row r="191" spans="1:19" x14ac:dyDescent="0.3">
      <c r="A191" t="s">
        <v>263</v>
      </c>
      <c r="B191">
        <v>45389</v>
      </c>
      <c r="C191" t="s">
        <v>102</v>
      </c>
      <c r="D191" t="s">
        <v>103</v>
      </c>
      <c r="E191" t="s">
        <v>32</v>
      </c>
      <c r="F191" t="s">
        <v>23</v>
      </c>
      <c r="G191">
        <v>158589.97685000001</v>
      </c>
      <c r="H191">
        <v>105811.52</v>
      </c>
      <c r="I191">
        <v>52778.45</v>
      </c>
      <c r="J191">
        <v>59567.01</v>
      </c>
      <c r="K191">
        <v>23566.57</v>
      </c>
      <c r="L191">
        <v>110215.67999999999</v>
      </c>
      <c r="M191">
        <v>584</v>
      </c>
      <c r="N191">
        <v>4.1799999999999997E-2</v>
      </c>
      <c r="O191">
        <f t="shared" si="4"/>
        <v>0.33279999999999998</v>
      </c>
      <c r="P191">
        <f t="shared" si="5"/>
        <v>0.21379999999999999</v>
      </c>
      <c r="Q191" t="s">
        <v>111</v>
      </c>
      <c r="R191">
        <v>2024</v>
      </c>
      <c r="S191" t="s">
        <v>25</v>
      </c>
    </row>
    <row r="192" spans="1:19" x14ac:dyDescent="0.3">
      <c r="A192" t="s">
        <v>264</v>
      </c>
      <c r="B192">
        <v>44927</v>
      </c>
      <c r="C192" t="s">
        <v>42</v>
      </c>
      <c r="D192" t="s">
        <v>43</v>
      </c>
      <c r="E192" t="s">
        <v>22</v>
      </c>
      <c r="F192" t="s">
        <v>23</v>
      </c>
      <c r="G192">
        <v>891489.84</v>
      </c>
      <c r="H192">
        <v>67443.94</v>
      </c>
      <c r="I192">
        <v>824045.9</v>
      </c>
      <c r="J192">
        <v>88305.21</v>
      </c>
      <c r="K192">
        <v>266062.48</v>
      </c>
      <c r="L192">
        <v>146191.15</v>
      </c>
      <c r="M192">
        <v>1505</v>
      </c>
      <c r="N192">
        <v>0.1174</v>
      </c>
      <c r="O192">
        <f t="shared" si="4"/>
        <v>0.92430000000000001</v>
      </c>
      <c r="P192">
        <f t="shared" si="5"/>
        <v>1.82</v>
      </c>
      <c r="Q192" t="s">
        <v>118</v>
      </c>
      <c r="R192">
        <v>2023</v>
      </c>
      <c r="S192" t="s">
        <v>82</v>
      </c>
    </row>
    <row r="193" spans="1:19" x14ac:dyDescent="0.3">
      <c r="A193" t="s">
        <v>265</v>
      </c>
      <c r="B193">
        <v>44808</v>
      </c>
      <c r="C193" t="s">
        <v>42</v>
      </c>
      <c r="D193" t="s">
        <v>43</v>
      </c>
      <c r="E193" t="s">
        <v>51</v>
      </c>
      <c r="F193" t="s">
        <v>23</v>
      </c>
      <c r="G193">
        <v>94223.64</v>
      </c>
      <c r="H193">
        <v>55066.3</v>
      </c>
      <c r="I193">
        <v>39157.339999999997</v>
      </c>
      <c r="J193">
        <v>19136.28</v>
      </c>
      <c r="K193">
        <v>17690.849999999999</v>
      </c>
      <c r="L193">
        <v>42456.86</v>
      </c>
      <c r="M193">
        <v>1116</v>
      </c>
      <c r="N193">
        <v>-7.7000000000000002E-3</v>
      </c>
      <c r="O193">
        <f t="shared" si="4"/>
        <v>0.41560000000000002</v>
      </c>
      <c r="P193">
        <f t="shared" si="5"/>
        <v>0.41670000000000001</v>
      </c>
      <c r="Q193" t="s">
        <v>76</v>
      </c>
      <c r="R193">
        <v>2022</v>
      </c>
      <c r="S193" t="s">
        <v>40</v>
      </c>
    </row>
    <row r="194" spans="1:19" x14ac:dyDescent="0.3">
      <c r="A194" t="s">
        <v>266</v>
      </c>
      <c r="B194">
        <v>45962</v>
      </c>
      <c r="C194" t="s">
        <v>85</v>
      </c>
      <c r="D194" t="s">
        <v>86</v>
      </c>
      <c r="E194" t="s">
        <v>22</v>
      </c>
      <c r="F194" t="s">
        <v>23</v>
      </c>
      <c r="G194">
        <v>172150.57</v>
      </c>
      <c r="H194">
        <v>123936.04</v>
      </c>
      <c r="I194">
        <v>48214.53</v>
      </c>
      <c r="J194">
        <v>30253.040000000001</v>
      </c>
      <c r="K194">
        <v>25010.84</v>
      </c>
      <c r="L194">
        <v>41411.61</v>
      </c>
      <c r="M194">
        <v>717</v>
      </c>
      <c r="N194">
        <v>8.4500000000000006E-2</v>
      </c>
      <c r="O194">
        <f t="shared" si="4"/>
        <v>0.28010000000000002</v>
      </c>
      <c r="P194">
        <f t="shared" si="5"/>
        <v>0.60399999999999998</v>
      </c>
      <c r="Q194" t="s">
        <v>66</v>
      </c>
      <c r="R194">
        <v>2025</v>
      </c>
      <c r="S194" t="s">
        <v>82</v>
      </c>
    </row>
    <row r="195" spans="1:19" x14ac:dyDescent="0.3">
      <c r="A195" t="s">
        <v>267</v>
      </c>
      <c r="B195">
        <v>44717</v>
      </c>
      <c r="C195" t="s">
        <v>61</v>
      </c>
      <c r="D195" t="s">
        <v>74</v>
      </c>
      <c r="E195" t="s">
        <v>38</v>
      </c>
      <c r="F195" t="s">
        <v>23</v>
      </c>
      <c r="G195">
        <v>50643.44</v>
      </c>
      <c r="H195">
        <v>34373.64</v>
      </c>
      <c r="I195">
        <v>16269.8</v>
      </c>
      <c r="J195">
        <v>24649.3</v>
      </c>
      <c r="K195">
        <v>97958.63</v>
      </c>
      <c r="L195">
        <v>71666.070000000007</v>
      </c>
      <c r="M195">
        <v>1552</v>
      </c>
      <c r="N195">
        <v>0.1241</v>
      </c>
      <c r="O195">
        <f t="shared" ref="O195:O258" si="6">(ROUND(I195/G195,4))</f>
        <v>0.32129999999999997</v>
      </c>
      <c r="P195">
        <f t="shared" ref="P195:P258" si="7">ROUND(K195/L195,4)</f>
        <v>1.3669</v>
      </c>
      <c r="Q195" t="s">
        <v>58</v>
      </c>
      <c r="R195">
        <v>2022</v>
      </c>
      <c r="S195" t="s">
        <v>82</v>
      </c>
    </row>
    <row r="196" spans="1:19" x14ac:dyDescent="0.3">
      <c r="A196" t="s">
        <v>268</v>
      </c>
      <c r="B196">
        <v>45181</v>
      </c>
      <c r="C196" t="s">
        <v>85</v>
      </c>
      <c r="D196" t="s">
        <v>86</v>
      </c>
      <c r="E196" t="s">
        <v>22</v>
      </c>
      <c r="F196" t="s">
        <v>23</v>
      </c>
      <c r="G196">
        <v>95075.31</v>
      </c>
      <c r="H196">
        <v>74599.179999999993</v>
      </c>
      <c r="I196">
        <v>20476.13</v>
      </c>
      <c r="J196">
        <v>32307.77</v>
      </c>
      <c r="K196">
        <v>36241.050000000003</v>
      </c>
      <c r="L196">
        <v>65413.120000000003</v>
      </c>
      <c r="M196">
        <v>1537</v>
      </c>
      <c r="N196">
        <v>-7.4099999999999999E-2</v>
      </c>
      <c r="O196">
        <f t="shared" si="6"/>
        <v>0.21540000000000001</v>
      </c>
      <c r="P196">
        <f t="shared" si="7"/>
        <v>0.55400000000000005</v>
      </c>
      <c r="Q196" t="s">
        <v>56</v>
      </c>
      <c r="R196">
        <v>2023</v>
      </c>
      <c r="S196" t="s">
        <v>40</v>
      </c>
    </row>
    <row r="197" spans="1:19" x14ac:dyDescent="0.3">
      <c r="A197" t="s">
        <v>269</v>
      </c>
      <c r="B197">
        <v>45015</v>
      </c>
      <c r="C197" t="s">
        <v>36</v>
      </c>
      <c r="D197" t="s">
        <v>37</v>
      </c>
      <c r="E197" t="s">
        <v>22</v>
      </c>
      <c r="F197" t="s">
        <v>23</v>
      </c>
      <c r="G197">
        <v>56311.64</v>
      </c>
      <c r="H197">
        <v>48411.41</v>
      </c>
      <c r="I197">
        <v>7900.23</v>
      </c>
      <c r="J197">
        <v>47428.82</v>
      </c>
      <c r="K197">
        <v>54016.12</v>
      </c>
      <c r="L197">
        <v>69247.350000000006</v>
      </c>
      <c r="M197">
        <v>950</v>
      </c>
      <c r="N197">
        <v>0.15540000000000001</v>
      </c>
      <c r="O197">
        <f t="shared" si="6"/>
        <v>0.14030000000000001</v>
      </c>
      <c r="P197">
        <f t="shared" si="7"/>
        <v>0.78</v>
      </c>
      <c r="Q197" t="s">
        <v>118</v>
      </c>
      <c r="R197">
        <v>2023</v>
      </c>
      <c r="S197" t="s">
        <v>82</v>
      </c>
    </row>
    <row r="198" spans="1:19" x14ac:dyDescent="0.3">
      <c r="A198" t="s">
        <v>270</v>
      </c>
      <c r="B198">
        <v>45094</v>
      </c>
      <c r="C198" t="s">
        <v>85</v>
      </c>
      <c r="D198" t="s">
        <v>86</v>
      </c>
      <c r="E198" t="s">
        <v>32</v>
      </c>
      <c r="F198" t="s">
        <v>23</v>
      </c>
      <c r="G198">
        <v>116943.32695</v>
      </c>
      <c r="H198">
        <v>102015.01</v>
      </c>
      <c r="I198">
        <v>14928.32</v>
      </c>
      <c r="J198">
        <v>42664.05</v>
      </c>
      <c r="K198">
        <v>54956.27</v>
      </c>
      <c r="L198">
        <v>155760.95000000001</v>
      </c>
      <c r="M198">
        <v>520</v>
      </c>
      <c r="N198">
        <v>7.2599999999999998E-2</v>
      </c>
      <c r="O198">
        <f t="shared" si="6"/>
        <v>0.12770000000000001</v>
      </c>
      <c r="P198">
        <f t="shared" si="7"/>
        <v>0.3528</v>
      </c>
      <c r="Q198" t="s">
        <v>39</v>
      </c>
      <c r="R198">
        <v>2023</v>
      </c>
      <c r="S198" t="s">
        <v>40</v>
      </c>
    </row>
    <row r="199" spans="1:19" x14ac:dyDescent="0.3">
      <c r="A199" t="s">
        <v>271</v>
      </c>
      <c r="B199" s="4">
        <v>44780</v>
      </c>
      <c r="C199" t="s">
        <v>48</v>
      </c>
      <c r="D199" t="s">
        <v>49</v>
      </c>
      <c r="E199" t="s">
        <v>22</v>
      </c>
      <c r="F199" t="s">
        <v>23</v>
      </c>
      <c r="G199">
        <v>39022.629999999997</v>
      </c>
      <c r="H199">
        <v>27917.200000000001</v>
      </c>
      <c r="I199">
        <v>11105.43</v>
      </c>
      <c r="J199">
        <v>36501.01</v>
      </c>
      <c r="K199">
        <v>65229.33</v>
      </c>
      <c r="L199">
        <v>91206.22</v>
      </c>
      <c r="M199">
        <v>337</v>
      </c>
      <c r="N199">
        <v>7.3599999999999999E-2</v>
      </c>
      <c r="O199">
        <f t="shared" si="6"/>
        <v>0.28460000000000002</v>
      </c>
      <c r="P199">
        <f t="shared" si="7"/>
        <v>0.71519999999999995</v>
      </c>
      <c r="Q199" t="s">
        <v>76</v>
      </c>
      <c r="R199">
        <v>2022</v>
      </c>
      <c r="S199" t="s">
        <v>82</v>
      </c>
    </row>
    <row r="200" spans="1:19" x14ac:dyDescent="0.3">
      <c r="A200" t="s">
        <v>272</v>
      </c>
      <c r="B200">
        <v>44842</v>
      </c>
      <c r="C200" t="s">
        <v>54</v>
      </c>
      <c r="D200" t="s">
        <v>55</v>
      </c>
      <c r="E200" t="s">
        <v>32</v>
      </c>
      <c r="F200" t="s">
        <v>23</v>
      </c>
      <c r="G200">
        <v>64327.874750000003</v>
      </c>
      <c r="H200">
        <v>58378.2</v>
      </c>
      <c r="I200">
        <v>5949.67</v>
      </c>
      <c r="J200">
        <v>35890.6</v>
      </c>
      <c r="K200">
        <v>42024.11</v>
      </c>
      <c r="L200">
        <v>76554.25</v>
      </c>
      <c r="M200">
        <v>1312</v>
      </c>
      <c r="N200">
        <v>4.7100000000000003E-2</v>
      </c>
      <c r="O200">
        <f t="shared" si="6"/>
        <v>9.2499999999999999E-2</v>
      </c>
      <c r="P200">
        <f t="shared" si="7"/>
        <v>0.54890000000000005</v>
      </c>
      <c r="Q200" t="s">
        <v>46</v>
      </c>
      <c r="R200">
        <v>2022</v>
      </c>
      <c r="S200" t="s">
        <v>40</v>
      </c>
    </row>
    <row r="201" spans="1:19" x14ac:dyDescent="0.3">
      <c r="A201" t="s">
        <v>273</v>
      </c>
      <c r="B201">
        <v>45658</v>
      </c>
      <c r="C201" t="s">
        <v>20</v>
      </c>
      <c r="D201" t="s">
        <v>21</v>
      </c>
      <c r="E201" t="s">
        <v>22</v>
      </c>
      <c r="F201" t="s">
        <v>23</v>
      </c>
      <c r="G201">
        <v>130304.69</v>
      </c>
      <c r="H201">
        <v>85240.49</v>
      </c>
      <c r="I201">
        <v>45064.2</v>
      </c>
      <c r="J201">
        <v>22726.14</v>
      </c>
      <c r="K201">
        <v>36092.120000000003</v>
      </c>
      <c r="L201">
        <v>260395.98</v>
      </c>
      <c r="M201">
        <v>811</v>
      </c>
      <c r="N201">
        <v>-1.6199999999999999E-2</v>
      </c>
      <c r="O201">
        <f t="shared" si="6"/>
        <v>0.3458</v>
      </c>
      <c r="P201">
        <f t="shared" si="7"/>
        <v>0.1386</v>
      </c>
      <c r="Q201" t="s">
        <v>106</v>
      </c>
      <c r="R201">
        <v>2025</v>
      </c>
      <c r="S201" t="s">
        <v>25</v>
      </c>
    </row>
    <row r="202" spans="1:19" x14ac:dyDescent="0.3">
      <c r="A202" t="s">
        <v>274</v>
      </c>
      <c r="B202">
        <v>44650</v>
      </c>
      <c r="C202" t="s">
        <v>48</v>
      </c>
      <c r="D202" t="s">
        <v>49</v>
      </c>
      <c r="E202" t="s">
        <v>32</v>
      </c>
      <c r="F202" t="s">
        <v>23</v>
      </c>
      <c r="G202">
        <v>1.145</v>
      </c>
      <c r="H202">
        <v>104880.34</v>
      </c>
      <c r="I202">
        <v>1.1499999999999999</v>
      </c>
      <c r="J202">
        <v>20236.91</v>
      </c>
      <c r="K202">
        <v>23149.37</v>
      </c>
      <c r="L202">
        <v>144628.79999999999</v>
      </c>
      <c r="M202">
        <v>1154</v>
      </c>
      <c r="N202">
        <v>0.17899999999999999</v>
      </c>
      <c r="O202">
        <f t="shared" si="6"/>
        <v>1.0044</v>
      </c>
      <c r="P202">
        <f t="shared" si="7"/>
        <v>0.16009999999999999</v>
      </c>
      <c r="Q202" t="s">
        <v>90</v>
      </c>
      <c r="R202">
        <v>2022</v>
      </c>
      <c r="S202" t="s">
        <v>25</v>
      </c>
    </row>
    <row r="203" spans="1:19" x14ac:dyDescent="0.3">
      <c r="A203" t="s">
        <v>276</v>
      </c>
      <c r="B203">
        <v>44829</v>
      </c>
      <c r="C203" t="s">
        <v>48</v>
      </c>
      <c r="D203" t="s">
        <v>49</v>
      </c>
      <c r="E203" t="s">
        <v>38</v>
      </c>
      <c r="F203" t="s">
        <v>23</v>
      </c>
      <c r="G203">
        <v>76537.33</v>
      </c>
      <c r="H203">
        <v>43897.77</v>
      </c>
      <c r="I203">
        <v>32639.56</v>
      </c>
      <c r="J203">
        <v>74110.67</v>
      </c>
      <c r="K203">
        <v>35526.15</v>
      </c>
      <c r="L203">
        <v>217401.49</v>
      </c>
      <c r="M203">
        <v>1011</v>
      </c>
      <c r="N203">
        <v>5.8099999999999999E-2</v>
      </c>
      <c r="O203">
        <f t="shared" si="6"/>
        <v>0.42649999999999999</v>
      </c>
      <c r="P203">
        <f t="shared" si="7"/>
        <v>0.16339999999999999</v>
      </c>
      <c r="Q203" t="s">
        <v>76</v>
      </c>
      <c r="R203">
        <v>2022</v>
      </c>
      <c r="S203" t="s">
        <v>25</v>
      </c>
    </row>
    <row r="204" spans="1:19" x14ac:dyDescent="0.3">
      <c r="A204" t="s">
        <v>277</v>
      </c>
      <c r="B204">
        <v>45041</v>
      </c>
      <c r="C204" t="s">
        <v>48</v>
      </c>
      <c r="D204" t="s">
        <v>49</v>
      </c>
      <c r="E204" t="s">
        <v>38</v>
      </c>
      <c r="F204" t="s">
        <v>23</v>
      </c>
      <c r="G204">
        <v>111818.7</v>
      </c>
      <c r="H204">
        <v>79308.320000000007</v>
      </c>
      <c r="I204">
        <v>32510.38</v>
      </c>
      <c r="J204">
        <v>215620.25</v>
      </c>
      <c r="K204">
        <v>15942.43</v>
      </c>
      <c r="L204">
        <v>230789.5</v>
      </c>
      <c r="M204">
        <v>1130</v>
      </c>
      <c r="N204">
        <v>0.113</v>
      </c>
      <c r="O204">
        <f t="shared" si="6"/>
        <v>0.29070000000000001</v>
      </c>
      <c r="P204">
        <f t="shared" si="7"/>
        <v>6.9099999999999995E-2</v>
      </c>
      <c r="Q204" t="s">
        <v>39</v>
      </c>
      <c r="R204">
        <v>2023</v>
      </c>
      <c r="S204" t="s">
        <v>25</v>
      </c>
    </row>
    <row r="205" spans="1:19" x14ac:dyDescent="0.3">
      <c r="A205" t="s">
        <v>278</v>
      </c>
      <c r="B205">
        <v>44967</v>
      </c>
      <c r="C205" t="s">
        <v>61</v>
      </c>
      <c r="D205" t="s">
        <v>74</v>
      </c>
      <c r="E205" t="s">
        <v>38</v>
      </c>
      <c r="F205" t="s">
        <v>23</v>
      </c>
      <c r="G205">
        <v>208559.75</v>
      </c>
      <c r="H205">
        <v>160367.42000000001</v>
      </c>
      <c r="I205">
        <v>48192.33</v>
      </c>
      <c r="J205">
        <v>82490.64</v>
      </c>
      <c r="K205">
        <v>11949.74</v>
      </c>
      <c r="L205">
        <v>190195.79</v>
      </c>
      <c r="M205">
        <v>581</v>
      </c>
      <c r="N205">
        <v>1.23E-2</v>
      </c>
      <c r="O205">
        <f t="shared" si="6"/>
        <v>0.2311</v>
      </c>
      <c r="P205">
        <f t="shared" si="7"/>
        <v>6.2799999999999995E-2</v>
      </c>
      <c r="Q205" t="s">
        <v>118</v>
      </c>
      <c r="R205">
        <v>2023</v>
      </c>
      <c r="S205" t="s">
        <v>25</v>
      </c>
    </row>
    <row r="206" spans="1:19" x14ac:dyDescent="0.3">
      <c r="A206" t="s">
        <v>279</v>
      </c>
      <c r="B206">
        <v>45140</v>
      </c>
      <c r="C206" t="s">
        <v>85</v>
      </c>
      <c r="D206" t="s">
        <v>86</v>
      </c>
      <c r="E206" t="s">
        <v>22</v>
      </c>
      <c r="F206" t="s">
        <v>23</v>
      </c>
      <c r="G206">
        <v>96350.92</v>
      </c>
      <c r="H206">
        <v>74406.12</v>
      </c>
      <c r="I206">
        <v>21944.799999999999</v>
      </c>
      <c r="J206">
        <v>36327.760000000002</v>
      </c>
      <c r="K206">
        <v>27858.18</v>
      </c>
      <c r="L206">
        <v>249805.59</v>
      </c>
      <c r="M206">
        <v>678</v>
      </c>
      <c r="N206">
        <v>2.46E-2</v>
      </c>
      <c r="O206">
        <f t="shared" si="6"/>
        <v>0.2278</v>
      </c>
      <c r="P206">
        <f t="shared" si="7"/>
        <v>0.1115</v>
      </c>
      <c r="Q206" t="s">
        <v>56</v>
      </c>
      <c r="R206">
        <v>2023</v>
      </c>
      <c r="S206" t="s">
        <v>25</v>
      </c>
    </row>
    <row r="207" spans="1:19" x14ac:dyDescent="0.3">
      <c r="A207" t="s">
        <v>280</v>
      </c>
      <c r="B207">
        <v>45134</v>
      </c>
      <c r="C207" t="s">
        <v>78</v>
      </c>
      <c r="D207" t="s">
        <v>79</v>
      </c>
      <c r="E207" t="s">
        <v>38</v>
      </c>
      <c r="F207" t="s">
        <v>23</v>
      </c>
      <c r="G207">
        <v>49136.14</v>
      </c>
      <c r="H207">
        <v>29570.57</v>
      </c>
      <c r="I207">
        <v>19565.57</v>
      </c>
      <c r="J207">
        <v>0</v>
      </c>
      <c r="K207">
        <v>22557.98</v>
      </c>
      <c r="L207">
        <v>44715.51</v>
      </c>
      <c r="M207">
        <v>1100</v>
      </c>
      <c r="N207">
        <v>-8.3000000000000004E-2</v>
      </c>
      <c r="O207">
        <f t="shared" si="6"/>
        <v>0.3982</v>
      </c>
      <c r="P207">
        <f t="shared" si="7"/>
        <v>0.50449999999999995</v>
      </c>
      <c r="Q207" t="s">
        <v>56</v>
      </c>
      <c r="R207">
        <v>2023</v>
      </c>
      <c r="S207" t="s">
        <v>40</v>
      </c>
    </row>
    <row r="208" spans="1:19" x14ac:dyDescent="0.3">
      <c r="A208" t="s">
        <v>281</v>
      </c>
      <c r="B208">
        <v>45214</v>
      </c>
      <c r="C208" t="s">
        <v>42</v>
      </c>
      <c r="D208" t="s">
        <v>43</v>
      </c>
      <c r="E208" t="s">
        <v>38</v>
      </c>
      <c r="F208" t="s">
        <v>23</v>
      </c>
      <c r="G208">
        <v>155338.19</v>
      </c>
      <c r="H208">
        <v>88280.84</v>
      </c>
      <c r="I208">
        <v>67057.350000000006</v>
      </c>
      <c r="J208">
        <v>35767.06</v>
      </c>
      <c r="K208">
        <v>34143.82</v>
      </c>
      <c r="L208">
        <v>110117.83</v>
      </c>
      <c r="M208">
        <v>780</v>
      </c>
      <c r="N208">
        <v>-0.1246</v>
      </c>
      <c r="O208">
        <f t="shared" si="6"/>
        <v>0.43169999999999997</v>
      </c>
      <c r="P208">
        <f t="shared" si="7"/>
        <v>0.31009999999999999</v>
      </c>
      <c r="Q208" t="s">
        <v>44</v>
      </c>
      <c r="R208">
        <v>2023</v>
      </c>
      <c r="S208" t="s">
        <v>40</v>
      </c>
    </row>
    <row r="209" spans="1:19" x14ac:dyDescent="0.3">
      <c r="A209" t="s">
        <v>282</v>
      </c>
      <c r="B209">
        <v>44879</v>
      </c>
      <c r="C209" t="s">
        <v>27</v>
      </c>
      <c r="D209" t="s">
        <v>28</v>
      </c>
      <c r="E209" t="s">
        <v>38</v>
      </c>
      <c r="F209" t="s">
        <v>23</v>
      </c>
      <c r="G209">
        <v>60168.765299999999</v>
      </c>
      <c r="H209">
        <v>39277.82</v>
      </c>
      <c r="I209">
        <v>20890.95</v>
      </c>
      <c r="J209">
        <v>34710.01</v>
      </c>
      <c r="K209">
        <v>19356.48</v>
      </c>
      <c r="L209">
        <v>164761.98000000001</v>
      </c>
      <c r="M209">
        <v>952</v>
      </c>
      <c r="N209">
        <v>0.10979999999999999</v>
      </c>
      <c r="O209">
        <f t="shared" si="6"/>
        <v>0.34720000000000001</v>
      </c>
      <c r="P209">
        <f t="shared" si="7"/>
        <v>0.11749999999999999</v>
      </c>
      <c r="Q209" t="s">
        <v>46</v>
      </c>
      <c r="R209">
        <v>2022</v>
      </c>
      <c r="S209" t="s">
        <v>25</v>
      </c>
    </row>
    <row r="210" spans="1:19" x14ac:dyDescent="0.3">
      <c r="A210" t="s">
        <v>283</v>
      </c>
      <c r="B210">
        <v>45626</v>
      </c>
      <c r="C210" t="s">
        <v>54</v>
      </c>
      <c r="D210" t="s">
        <v>55</v>
      </c>
      <c r="E210" t="s">
        <v>38</v>
      </c>
      <c r="F210" t="s">
        <v>23</v>
      </c>
      <c r="G210">
        <v>80318.795899999997</v>
      </c>
      <c r="H210">
        <v>71796</v>
      </c>
      <c r="I210">
        <v>8522.7999999999993</v>
      </c>
      <c r="J210">
        <v>24889.759999999998</v>
      </c>
      <c r="K210">
        <v>22919.64</v>
      </c>
      <c r="L210">
        <v>54408.11</v>
      </c>
      <c r="M210">
        <v>1165</v>
      </c>
      <c r="N210">
        <v>3.61E-2</v>
      </c>
      <c r="O210">
        <f t="shared" si="6"/>
        <v>0.1061</v>
      </c>
      <c r="P210">
        <f t="shared" si="7"/>
        <v>0.42130000000000001</v>
      </c>
      <c r="Q210" t="s">
        <v>52</v>
      </c>
      <c r="R210">
        <v>2024</v>
      </c>
      <c r="S210" t="s">
        <v>40</v>
      </c>
    </row>
    <row r="211" spans="1:19" x14ac:dyDescent="0.3">
      <c r="A211" t="s">
        <v>284</v>
      </c>
      <c r="B211">
        <v>45006</v>
      </c>
      <c r="C211" t="s">
        <v>27</v>
      </c>
      <c r="D211" t="s">
        <v>28</v>
      </c>
      <c r="E211" t="s">
        <v>38</v>
      </c>
      <c r="F211" t="s">
        <v>23</v>
      </c>
      <c r="G211">
        <v>133094.01</v>
      </c>
      <c r="H211">
        <v>120233.45</v>
      </c>
      <c r="I211">
        <v>12860.56</v>
      </c>
      <c r="J211">
        <v>22479.06</v>
      </c>
      <c r="K211">
        <v>18279.79</v>
      </c>
      <c r="L211">
        <v>89321.58</v>
      </c>
      <c r="M211">
        <v>1854</v>
      </c>
      <c r="N211">
        <v>7.7299999999999994E-2</v>
      </c>
      <c r="O211">
        <f t="shared" si="6"/>
        <v>9.6600000000000005E-2</v>
      </c>
      <c r="P211">
        <f t="shared" si="7"/>
        <v>0.20469999999999999</v>
      </c>
      <c r="Q211" t="s">
        <v>118</v>
      </c>
      <c r="R211">
        <v>2023</v>
      </c>
      <c r="S211" t="s">
        <v>25</v>
      </c>
    </row>
    <row r="212" spans="1:19" x14ac:dyDescent="0.3">
      <c r="A212" t="s">
        <v>285</v>
      </c>
      <c r="B212">
        <v>45200</v>
      </c>
      <c r="C212" t="s">
        <v>1282</v>
      </c>
      <c r="D212" t="s">
        <v>69</v>
      </c>
      <c r="E212" t="s">
        <v>22</v>
      </c>
      <c r="F212" t="s">
        <v>23</v>
      </c>
      <c r="G212">
        <v>47303.4</v>
      </c>
      <c r="H212">
        <v>36453.839999999997</v>
      </c>
      <c r="I212">
        <v>10849.56</v>
      </c>
      <c r="J212">
        <v>39623.79</v>
      </c>
      <c r="K212">
        <v>56150.91</v>
      </c>
      <c r="L212">
        <v>104838.46</v>
      </c>
      <c r="M212">
        <v>422</v>
      </c>
      <c r="N212">
        <v>-5.7200000000000001E-2</v>
      </c>
      <c r="O212">
        <f t="shared" si="6"/>
        <v>0.22939999999999999</v>
      </c>
      <c r="P212">
        <f t="shared" si="7"/>
        <v>0.53559999999999997</v>
      </c>
      <c r="Q212" t="s">
        <v>44</v>
      </c>
      <c r="R212">
        <v>2023</v>
      </c>
      <c r="S212" t="s">
        <v>40</v>
      </c>
    </row>
    <row r="213" spans="1:19" x14ac:dyDescent="0.3">
      <c r="A213" t="s">
        <v>286</v>
      </c>
      <c r="B213">
        <v>45520</v>
      </c>
      <c r="C213" t="s">
        <v>78</v>
      </c>
      <c r="D213" t="s">
        <v>79</v>
      </c>
      <c r="E213" t="s">
        <v>51</v>
      </c>
      <c r="F213" t="s">
        <v>23</v>
      </c>
      <c r="G213">
        <v>173619.08</v>
      </c>
      <c r="H213">
        <v>152537.29</v>
      </c>
      <c r="I213">
        <v>21081.79</v>
      </c>
      <c r="J213">
        <v>83189.63</v>
      </c>
      <c r="K213">
        <v>28126.3</v>
      </c>
      <c r="L213">
        <v>487575.55</v>
      </c>
      <c r="M213">
        <v>784</v>
      </c>
      <c r="N213">
        <v>-1.38E-2</v>
      </c>
      <c r="O213">
        <f t="shared" si="6"/>
        <v>0.12139999999999999</v>
      </c>
      <c r="P213">
        <f t="shared" si="7"/>
        <v>5.7700000000000001E-2</v>
      </c>
      <c r="Q213" t="s">
        <v>72</v>
      </c>
      <c r="R213">
        <v>2024</v>
      </c>
      <c r="S213" t="s">
        <v>25</v>
      </c>
    </row>
    <row r="214" spans="1:19" x14ac:dyDescent="0.3">
      <c r="A214" t="s">
        <v>287</v>
      </c>
      <c r="B214">
        <v>44948</v>
      </c>
      <c r="C214" t="s">
        <v>85</v>
      </c>
      <c r="D214" t="s">
        <v>86</v>
      </c>
      <c r="E214" t="s">
        <v>38</v>
      </c>
      <c r="F214" t="s">
        <v>23</v>
      </c>
      <c r="G214">
        <v>34772.36</v>
      </c>
      <c r="H214">
        <v>19275.41</v>
      </c>
      <c r="I214">
        <v>15496.95</v>
      </c>
      <c r="J214">
        <v>35454.019999999997</v>
      </c>
      <c r="K214">
        <v>6921.05</v>
      </c>
      <c r="L214">
        <v>72348.710000000006</v>
      </c>
      <c r="M214">
        <v>2996</v>
      </c>
      <c r="N214">
        <v>-2.64E-2</v>
      </c>
      <c r="O214">
        <f t="shared" si="6"/>
        <v>0.44569999999999999</v>
      </c>
      <c r="P214">
        <f t="shared" si="7"/>
        <v>9.5699999999999993E-2</v>
      </c>
      <c r="Q214" t="s">
        <v>118</v>
      </c>
      <c r="R214">
        <v>2023</v>
      </c>
      <c r="S214" t="s">
        <v>25</v>
      </c>
    </row>
    <row r="215" spans="1:19" x14ac:dyDescent="0.3">
      <c r="A215" t="s">
        <v>288</v>
      </c>
      <c r="B215">
        <v>45135</v>
      </c>
      <c r="C215" t="s">
        <v>61</v>
      </c>
      <c r="D215" t="s">
        <v>74</v>
      </c>
      <c r="E215" t="s">
        <v>51</v>
      </c>
      <c r="F215" t="s">
        <v>23</v>
      </c>
      <c r="G215">
        <v>20463.46</v>
      </c>
      <c r="H215">
        <v>16775.830000000002</v>
      </c>
      <c r="I215">
        <v>3687.63</v>
      </c>
      <c r="J215">
        <v>54877.27</v>
      </c>
      <c r="K215">
        <v>58428.89</v>
      </c>
      <c r="L215">
        <v>137364.25</v>
      </c>
      <c r="M215">
        <v>671</v>
      </c>
      <c r="N215">
        <v>0.1431</v>
      </c>
      <c r="O215">
        <f t="shared" si="6"/>
        <v>0.1802</v>
      </c>
      <c r="P215">
        <f t="shared" si="7"/>
        <v>0.4254</v>
      </c>
      <c r="Q215" t="s">
        <v>56</v>
      </c>
      <c r="R215">
        <v>2023</v>
      </c>
      <c r="S215" t="s">
        <v>40</v>
      </c>
    </row>
    <row r="216" spans="1:19" x14ac:dyDescent="0.3">
      <c r="A216" t="s">
        <v>289</v>
      </c>
      <c r="B216">
        <v>44634</v>
      </c>
      <c r="C216" t="s">
        <v>30</v>
      </c>
      <c r="D216" t="s">
        <v>31</v>
      </c>
      <c r="E216" t="s">
        <v>38</v>
      </c>
      <c r="F216" t="s">
        <v>23</v>
      </c>
      <c r="G216">
        <v>140137.38</v>
      </c>
      <c r="H216">
        <v>100222.78</v>
      </c>
      <c r="I216">
        <v>39914.6</v>
      </c>
      <c r="J216">
        <v>20548.96</v>
      </c>
      <c r="K216">
        <v>41046.25</v>
      </c>
      <c r="L216">
        <v>106929.61</v>
      </c>
      <c r="M216">
        <v>395</v>
      </c>
      <c r="N216">
        <v>-4.2000000000000003E-2</v>
      </c>
      <c r="O216">
        <f t="shared" si="6"/>
        <v>0.2848</v>
      </c>
      <c r="P216">
        <f t="shared" si="7"/>
        <v>0.38390000000000002</v>
      </c>
      <c r="Q216" t="s">
        <v>90</v>
      </c>
      <c r="R216">
        <v>2022</v>
      </c>
      <c r="S216" t="s">
        <v>40</v>
      </c>
    </row>
    <row r="217" spans="1:19" x14ac:dyDescent="0.3">
      <c r="A217" t="s">
        <v>290</v>
      </c>
      <c r="B217">
        <v>45703</v>
      </c>
      <c r="C217" t="s">
        <v>61</v>
      </c>
      <c r="D217" t="s">
        <v>74</v>
      </c>
      <c r="E217" t="s">
        <v>32</v>
      </c>
      <c r="F217" t="s">
        <v>23</v>
      </c>
      <c r="G217">
        <v>163825.913</v>
      </c>
      <c r="H217">
        <v>112808</v>
      </c>
      <c r="I217">
        <v>51017.91</v>
      </c>
      <c r="J217">
        <v>82792.960000000006</v>
      </c>
      <c r="K217">
        <v>25154.720000000001</v>
      </c>
      <c r="L217">
        <v>110365.07</v>
      </c>
      <c r="M217">
        <v>581</v>
      </c>
      <c r="N217">
        <v>-2.23E-2</v>
      </c>
      <c r="O217">
        <f t="shared" si="6"/>
        <v>0.31140000000000001</v>
      </c>
      <c r="P217">
        <f t="shared" si="7"/>
        <v>0.22789999999999999</v>
      </c>
      <c r="Q217" t="s">
        <v>106</v>
      </c>
      <c r="R217">
        <v>2025</v>
      </c>
      <c r="S217" t="s">
        <v>25</v>
      </c>
    </row>
    <row r="218" spans="1:19" x14ac:dyDescent="0.3">
      <c r="A218" t="s">
        <v>291</v>
      </c>
      <c r="B218">
        <v>46004</v>
      </c>
      <c r="C218" t="s">
        <v>61</v>
      </c>
      <c r="D218" t="s">
        <v>74</v>
      </c>
      <c r="E218" t="s">
        <v>22</v>
      </c>
      <c r="F218" t="s">
        <v>23</v>
      </c>
      <c r="G218">
        <v>50746.14</v>
      </c>
      <c r="H218">
        <v>35601.599999999999</v>
      </c>
      <c r="I218">
        <v>15144.54</v>
      </c>
      <c r="J218">
        <v>28382.97</v>
      </c>
      <c r="K218">
        <v>65397.67</v>
      </c>
      <c r="L218">
        <v>53030.83</v>
      </c>
      <c r="M218">
        <v>431</v>
      </c>
      <c r="N218">
        <v>0.10539999999999999</v>
      </c>
      <c r="O218">
        <f t="shared" si="6"/>
        <v>0.2984</v>
      </c>
      <c r="P218">
        <f t="shared" si="7"/>
        <v>1.2332000000000001</v>
      </c>
      <c r="Q218" t="s">
        <v>66</v>
      </c>
      <c r="R218">
        <v>2025</v>
      </c>
      <c r="S218" t="s">
        <v>82</v>
      </c>
    </row>
    <row r="219" spans="1:19" x14ac:dyDescent="0.3">
      <c r="A219" t="s">
        <v>292</v>
      </c>
      <c r="B219">
        <v>45394</v>
      </c>
      <c r="C219" t="s">
        <v>42</v>
      </c>
      <c r="D219" t="s">
        <v>43</v>
      </c>
      <c r="E219" t="s">
        <v>32</v>
      </c>
      <c r="F219" t="s">
        <v>23</v>
      </c>
      <c r="G219">
        <v>85269.581250000003</v>
      </c>
      <c r="H219">
        <v>51182.38</v>
      </c>
      <c r="I219">
        <v>34087.199999999997</v>
      </c>
      <c r="J219">
        <v>50419.62</v>
      </c>
      <c r="K219">
        <v>28112.639999999999</v>
      </c>
      <c r="L219">
        <v>111346.61</v>
      </c>
      <c r="M219">
        <v>839</v>
      </c>
      <c r="N219">
        <v>6.5199999999999994E-2</v>
      </c>
      <c r="O219">
        <f t="shared" si="6"/>
        <v>0.39979999999999999</v>
      </c>
      <c r="P219">
        <f t="shared" si="7"/>
        <v>0.2525</v>
      </c>
      <c r="Q219" t="s">
        <v>111</v>
      </c>
      <c r="R219">
        <v>2024</v>
      </c>
      <c r="S219" t="s">
        <v>25</v>
      </c>
    </row>
    <row r="220" spans="1:19" x14ac:dyDescent="0.3">
      <c r="A220" t="s">
        <v>293</v>
      </c>
      <c r="B220">
        <v>44686</v>
      </c>
      <c r="C220" t="s">
        <v>30</v>
      </c>
      <c r="D220" t="s">
        <v>31</v>
      </c>
      <c r="E220" t="s">
        <v>38</v>
      </c>
      <c r="F220" t="s">
        <v>23</v>
      </c>
      <c r="G220" t="s">
        <v>1281</v>
      </c>
      <c r="H220">
        <v>19993.189999999999</v>
      </c>
      <c r="I220" t="s">
        <v>1281</v>
      </c>
      <c r="J220">
        <v>25629.75</v>
      </c>
      <c r="K220">
        <v>46984.05</v>
      </c>
      <c r="L220">
        <v>72242.78</v>
      </c>
      <c r="M220">
        <v>1522</v>
      </c>
      <c r="N220">
        <v>3.7699999999999997E-2</v>
      </c>
      <c r="O220" t="s">
        <v>1281</v>
      </c>
      <c r="P220">
        <f t="shared" si="7"/>
        <v>0.65039999999999998</v>
      </c>
      <c r="Q220" t="s">
        <v>58</v>
      </c>
      <c r="R220">
        <v>2022</v>
      </c>
      <c r="S220" t="s">
        <v>82</v>
      </c>
    </row>
    <row r="221" spans="1:19" x14ac:dyDescent="0.3">
      <c r="A221" t="s">
        <v>294</v>
      </c>
      <c r="B221">
        <v>44620</v>
      </c>
      <c r="C221" t="s">
        <v>48</v>
      </c>
      <c r="D221" t="s">
        <v>49</v>
      </c>
      <c r="E221" t="s">
        <v>38</v>
      </c>
      <c r="F221" t="s">
        <v>23</v>
      </c>
      <c r="G221">
        <v>68203.67</v>
      </c>
      <c r="H221">
        <v>47240.55</v>
      </c>
      <c r="I221">
        <v>20963.12</v>
      </c>
      <c r="J221">
        <v>44954.31</v>
      </c>
      <c r="K221">
        <v>41075.47</v>
      </c>
      <c r="L221">
        <v>57929.3</v>
      </c>
      <c r="M221">
        <v>975</v>
      </c>
      <c r="N221">
        <v>-7.85E-2</v>
      </c>
      <c r="O221">
        <f t="shared" si="6"/>
        <v>0.30740000000000001</v>
      </c>
      <c r="P221">
        <f t="shared" si="7"/>
        <v>0.70909999999999995</v>
      </c>
      <c r="Q221" t="s">
        <v>90</v>
      </c>
      <c r="R221">
        <v>2022</v>
      </c>
      <c r="S221" t="s">
        <v>82</v>
      </c>
    </row>
    <row r="222" spans="1:19" x14ac:dyDescent="0.3">
      <c r="A222" t="s">
        <v>295</v>
      </c>
      <c r="B222">
        <v>45382</v>
      </c>
      <c r="C222" t="s">
        <v>1282</v>
      </c>
      <c r="D222" t="s">
        <v>69</v>
      </c>
      <c r="E222" t="s">
        <v>38</v>
      </c>
      <c r="F222" t="s">
        <v>23</v>
      </c>
      <c r="G222">
        <v>63420.89</v>
      </c>
      <c r="H222">
        <v>41975.96</v>
      </c>
      <c r="I222">
        <v>21444.93</v>
      </c>
      <c r="J222">
        <v>77606.36</v>
      </c>
      <c r="K222">
        <v>14325.16</v>
      </c>
      <c r="L222">
        <v>115191.51</v>
      </c>
      <c r="M222">
        <v>832</v>
      </c>
      <c r="N222">
        <v>-2.5399999999999999E-2</v>
      </c>
      <c r="O222">
        <f t="shared" si="6"/>
        <v>0.33810000000000001</v>
      </c>
      <c r="P222">
        <f t="shared" si="7"/>
        <v>0.1244</v>
      </c>
      <c r="Q222" t="s">
        <v>80</v>
      </c>
      <c r="R222">
        <v>2024</v>
      </c>
      <c r="S222" t="s">
        <v>25</v>
      </c>
    </row>
    <row r="223" spans="1:19" x14ac:dyDescent="0.3">
      <c r="A223" t="s">
        <v>296</v>
      </c>
      <c r="B223">
        <v>44700</v>
      </c>
      <c r="C223" t="s">
        <v>36</v>
      </c>
      <c r="D223" t="s">
        <v>37</v>
      </c>
      <c r="E223" t="s">
        <v>38</v>
      </c>
      <c r="F223" t="s">
        <v>23</v>
      </c>
      <c r="G223" t="s">
        <v>1281</v>
      </c>
      <c r="H223">
        <v>15448.68</v>
      </c>
      <c r="I223" t="s">
        <v>1281</v>
      </c>
      <c r="J223">
        <v>55466.65</v>
      </c>
      <c r="K223">
        <v>23447.279999999999</v>
      </c>
      <c r="L223">
        <v>81545.41</v>
      </c>
      <c r="M223">
        <v>818</v>
      </c>
      <c r="N223">
        <v>0.18509999999999999</v>
      </c>
      <c r="O223" t="s">
        <v>1281</v>
      </c>
      <c r="P223">
        <f t="shared" si="7"/>
        <v>0.28749999999999998</v>
      </c>
      <c r="Q223" t="s">
        <v>58</v>
      </c>
      <c r="R223">
        <v>2022</v>
      </c>
      <c r="S223" t="s">
        <v>25</v>
      </c>
    </row>
    <row r="224" spans="1:19" x14ac:dyDescent="0.3">
      <c r="A224" t="s">
        <v>297</v>
      </c>
      <c r="B224">
        <v>45684</v>
      </c>
      <c r="C224" t="s">
        <v>30</v>
      </c>
      <c r="D224" t="s">
        <v>31</v>
      </c>
      <c r="E224" t="s">
        <v>22</v>
      </c>
      <c r="F224" t="s">
        <v>23</v>
      </c>
      <c r="G224">
        <v>88407.33</v>
      </c>
      <c r="H224">
        <v>67248.77</v>
      </c>
      <c r="I224">
        <v>21158.560000000001</v>
      </c>
      <c r="J224">
        <v>61674.48</v>
      </c>
      <c r="K224">
        <v>10060.379999999999</v>
      </c>
      <c r="L224">
        <v>148575.44</v>
      </c>
      <c r="M224">
        <v>728</v>
      </c>
      <c r="N224">
        <v>2.0999999999999999E-3</v>
      </c>
      <c r="O224">
        <f t="shared" si="6"/>
        <v>0.23930000000000001</v>
      </c>
      <c r="P224">
        <f t="shared" si="7"/>
        <v>6.7699999999999996E-2</v>
      </c>
      <c r="Q224" t="s">
        <v>106</v>
      </c>
      <c r="R224">
        <v>2025</v>
      </c>
      <c r="S224" t="s">
        <v>25</v>
      </c>
    </row>
    <row r="225" spans="1:19" x14ac:dyDescent="0.3">
      <c r="A225" t="s">
        <v>298</v>
      </c>
      <c r="B225">
        <v>44625</v>
      </c>
      <c r="C225" t="s">
        <v>48</v>
      </c>
      <c r="D225" t="s">
        <v>49</v>
      </c>
      <c r="E225" t="s">
        <v>38</v>
      </c>
      <c r="F225" t="s">
        <v>23</v>
      </c>
      <c r="G225">
        <v>215752.28</v>
      </c>
      <c r="H225">
        <v>146879.94</v>
      </c>
      <c r="I225">
        <v>68872.34</v>
      </c>
      <c r="J225">
        <v>98059.97</v>
      </c>
      <c r="K225">
        <v>17389.87</v>
      </c>
      <c r="L225">
        <v>155772.23000000001</v>
      </c>
      <c r="M225">
        <v>1040</v>
      </c>
      <c r="N225">
        <v>0.13220000000000001</v>
      </c>
      <c r="O225">
        <f t="shared" si="6"/>
        <v>0.31919999999999998</v>
      </c>
      <c r="P225">
        <f t="shared" si="7"/>
        <v>0.1116</v>
      </c>
      <c r="Q225" t="s">
        <v>90</v>
      </c>
      <c r="R225">
        <v>2022</v>
      </c>
      <c r="S225" t="s">
        <v>25</v>
      </c>
    </row>
    <row r="226" spans="1:19" x14ac:dyDescent="0.3">
      <c r="A226" t="s">
        <v>299</v>
      </c>
      <c r="B226">
        <v>45605</v>
      </c>
      <c r="C226" t="s">
        <v>27</v>
      </c>
      <c r="D226" t="s">
        <v>28</v>
      </c>
      <c r="E226" t="s">
        <v>22</v>
      </c>
      <c r="F226" t="s">
        <v>23</v>
      </c>
      <c r="G226">
        <v>52036.26</v>
      </c>
      <c r="H226">
        <v>47288.21</v>
      </c>
      <c r="I226">
        <v>4748.05</v>
      </c>
      <c r="J226">
        <v>32011.49</v>
      </c>
      <c r="K226">
        <v>27310.44</v>
      </c>
      <c r="L226">
        <v>129772.78</v>
      </c>
      <c r="M226">
        <v>990</v>
      </c>
      <c r="N226">
        <v>-1.6E-2</v>
      </c>
      <c r="O226">
        <f t="shared" si="6"/>
        <v>9.1200000000000003E-2</v>
      </c>
      <c r="P226">
        <f t="shared" si="7"/>
        <v>0.2104</v>
      </c>
      <c r="Q226" t="s">
        <v>52</v>
      </c>
      <c r="R226">
        <v>2024</v>
      </c>
      <c r="S226" t="s">
        <v>25</v>
      </c>
    </row>
    <row r="227" spans="1:19" x14ac:dyDescent="0.3">
      <c r="A227" t="s">
        <v>300</v>
      </c>
      <c r="B227">
        <v>45813</v>
      </c>
      <c r="C227" t="s">
        <v>85</v>
      </c>
      <c r="D227" t="s">
        <v>86</v>
      </c>
      <c r="E227" t="s">
        <v>32</v>
      </c>
      <c r="F227" t="s">
        <v>23</v>
      </c>
      <c r="G227">
        <v>46475.412599999996</v>
      </c>
      <c r="H227">
        <v>38661.279999999999</v>
      </c>
      <c r="I227">
        <v>7814.13</v>
      </c>
      <c r="J227">
        <v>23807.79</v>
      </c>
      <c r="K227">
        <v>37338.550000000003</v>
      </c>
      <c r="L227">
        <v>34973.42</v>
      </c>
      <c r="M227">
        <v>3047</v>
      </c>
      <c r="N227">
        <v>-1.0200000000000001E-2</v>
      </c>
      <c r="O227">
        <f t="shared" si="6"/>
        <v>0.1681</v>
      </c>
      <c r="P227">
        <f t="shared" si="7"/>
        <v>1.0676000000000001</v>
      </c>
      <c r="Q227" t="s">
        <v>34</v>
      </c>
      <c r="R227">
        <v>2025</v>
      </c>
      <c r="S227" t="s">
        <v>82</v>
      </c>
    </row>
    <row r="228" spans="1:19" x14ac:dyDescent="0.3">
      <c r="A228" t="s">
        <v>301</v>
      </c>
      <c r="B228">
        <v>44643</v>
      </c>
      <c r="C228" t="s">
        <v>30</v>
      </c>
      <c r="D228" t="s">
        <v>31</v>
      </c>
      <c r="E228" t="s">
        <v>22</v>
      </c>
      <c r="F228" t="s">
        <v>23</v>
      </c>
      <c r="G228">
        <v>288292.34999999998</v>
      </c>
      <c r="H228">
        <v>221645.07</v>
      </c>
      <c r="I228">
        <v>66647.28</v>
      </c>
      <c r="J228">
        <v>14501.67</v>
      </c>
      <c r="K228">
        <v>24702.98</v>
      </c>
      <c r="L228">
        <v>184377.09</v>
      </c>
      <c r="M228">
        <v>566</v>
      </c>
      <c r="N228">
        <v>-4.9599999999999998E-2</v>
      </c>
      <c r="O228">
        <f t="shared" si="6"/>
        <v>0.23119999999999999</v>
      </c>
      <c r="P228">
        <f t="shared" si="7"/>
        <v>0.13400000000000001</v>
      </c>
      <c r="Q228" t="s">
        <v>90</v>
      </c>
      <c r="R228">
        <v>2022</v>
      </c>
      <c r="S228" t="s">
        <v>25</v>
      </c>
    </row>
    <row r="229" spans="1:19" x14ac:dyDescent="0.3">
      <c r="A229" t="s">
        <v>302</v>
      </c>
      <c r="B229">
        <v>45398</v>
      </c>
      <c r="C229" t="s">
        <v>85</v>
      </c>
      <c r="D229" t="s">
        <v>86</v>
      </c>
      <c r="E229" t="s">
        <v>38</v>
      </c>
      <c r="F229" t="s">
        <v>23</v>
      </c>
      <c r="G229">
        <v>333236.88</v>
      </c>
      <c r="H229">
        <v>297501.08</v>
      </c>
      <c r="I229">
        <v>35735.800000000003</v>
      </c>
      <c r="J229">
        <v>37593.93</v>
      </c>
      <c r="K229">
        <v>26503.52</v>
      </c>
      <c r="L229">
        <v>82333.39</v>
      </c>
      <c r="M229">
        <v>1488</v>
      </c>
      <c r="N229">
        <v>8.1100000000000005E-2</v>
      </c>
      <c r="O229">
        <f t="shared" si="6"/>
        <v>0.1072</v>
      </c>
      <c r="P229">
        <f t="shared" si="7"/>
        <v>0.32190000000000002</v>
      </c>
      <c r="Q229" t="s">
        <v>111</v>
      </c>
      <c r="R229">
        <v>2024</v>
      </c>
      <c r="S229" t="s">
        <v>40</v>
      </c>
    </row>
    <row r="230" spans="1:19" x14ac:dyDescent="0.3">
      <c r="A230" t="s">
        <v>303</v>
      </c>
      <c r="B230">
        <v>44881</v>
      </c>
      <c r="C230" t="s">
        <v>85</v>
      </c>
      <c r="D230" t="s">
        <v>86</v>
      </c>
      <c r="E230" t="s">
        <v>32</v>
      </c>
      <c r="F230" t="s">
        <v>23</v>
      </c>
      <c r="G230">
        <v>44525.958500000001</v>
      </c>
      <c r="H230">
        <v>37742.06</v>
      </c>
      <c r="I230">
        <v>6783.9</v>
      </c>
      <c r="J230">
        <v>14323.72</v>
      </c>
      <c r="K230">
        <v>15061.91</v>
      </c>
      <c r="L230">
        <v>55369.15</v>
      </c>
      <c r="M230">
        <v>705</v>
      </c>
      <c r="N230">
        <v>7.4200000000000002E-2</v>
      </c>
      <c r="O230">
        <f t="shared" si="6"/>
        <v>0.15240000000000001</v>
      </c>
      <c r="P230">
        <f t="shared" si="7"/>
        <v>0.27200000000000002</v>
      </c>
      <c r="Q230" t="s">
        <v>46</v>
      </c>
      <c r="R230">
        <v>2022</v>
      </c>
      <c r="S230" t="s">
        <v>25</v>
      </c>
    </row>
    <row r="231" spans="1:19" x14ac:dyDescent="0.3">
      <c r="A231" t="s">
        <v>304</v>
      </c>
      <c r="B231">
        <v>45877</v>
      </c>
      <c r="C231" t="s">
        <v>20</v>
      </c>
      <c r="D231" t="s">
        <v>21</v>
      </c>
      <c r="E231" t="s">
        <v>38</v>
      </c>
      <c r="F231" t="s">
        <v>23</v>
      </c>
      <c r="G231">
        <v>102209.28</v>
      </c>
      <c r="H231">
        <v>61617.33</v>
      </c>
      <c r="I231">
        <v>40591.949999999997</v>
      </c>
      <c r="J231">
        <v>54228.44</v>
      </c>
      <c r="K231">
        <v>51038.1</v>
      </c>
      <c r="L231">
        <v>159649.57999999999</v>
      </c>
      <c r="M231">
        <v>1533</v>
      </c>
      <c r="N231">
        <v>6.3100000000000003E-2</v>
      </c>
      <c r="O231">
        <f t="shared" si="6"/>
        <v>0.39710000000000001</v>
      </c>
      <c r="P231">
        <f t="shared" si="7"/>
        <v>0.31969999999999998</v>
      </c>
      <c r="Q231" t="s">
        <v>24</v>
      </c>
      <c r="R231">
        <v>2025</v>
      </c>
      <c r="S231" t="s">
        <v>40</v>
      </c>
    </row>
    <row r="232" spans="1:19" x14ac:dyDescent="0.3">
      <c r="A232" t="s">
        <v>305</v>
      </c>
      <c r="B232">
        <v>45264</v>
      </c>
      <c r="C232" t="s">
        <v>42</v>
      </c>
      <c r="D232" t="s">
        <v>43</v>
      </c>
      <c r="E232" t="s">
        <v>22</v>
      </c>
      <c r="F232" t="s">
        <v>23</v>
      </c>
      <c r="G232">
        <v>71880.56</v>
      </c>
      <c r="H232">
        <v>41599.46</v>
      </c>
      <c r="I232">
        <v>30281.1</v>
      </c>
      <c r="J232">
        <v>17724.23</v>
      </c>
      <c r="K232">
        <v>7242.97</v>
      </c>
      <c r="L232">
        <v>35322.94</v>
      </c>
      <c r="M232">
        <v>823</v>
      </c>
      <c r="N232">
        <v>-3.1099999999999999E-2</v>
      </c>
      <c r="O232">
        <f t="shared" si="6"/>
        <v>0.42130000000000001</v>
      </c>
      <c r="P232">
        <f t="shared" si="7"/>
        <v>0.2051</v>
      </c>
      <c r="Q232" t="s">
        <v>44</v>
      </c>
      <c r="R232">
        <v>2023</v>
      </c>
      <c r="S232" t="s">
        <v>25</v>
      </c>
    </row>
    <row r="233" spans="1:19" x14ac:dyDescent="0.3">
      <c r="A233" t="s">
        <v>306</v>
      </c>
      <c r="B233">
        <v>45875</v>
      </c>
      <c r="C233" t="s">
        <v>30</v>
      </c>
      <c r="D233" t="s">
        <v>31</v>
      </c>
      <c r="E233" t="s">
        <v>22</v>
      </c>
      <c r="F233" t="s">
        <v>23</v>
      </c>
      <c r="G233">
        <v>94268.14</v>
      </c>
      <c r="H233">
        <v>55786.44</v>
      </c>
      <c r="I233">
        <v>38481.699999999997</v>
      </c>
      <c r="J233">
        <v>57242.57</v>
      </c>
      <c r="K233">
        <v>18420.759999999998</v>
      </c>
      <c r="L233">
        <v>153158.76999999999</v>
      </c>
      <c r="M233">
        <v>531</v>
      </c>
      <c r="N233">
        <v>4.5999999999999999E-3</v>
      </c>
      <c r="O233">
        <f t="shared" si="6"/>
        <v>0.40820000000000001</v>
      </c>
      <c r="P233">
        <f t="shared" si="7"/>
        <v>0.1203</v>
      </c>
      <c r="Q233" t="s">
        <v>24</v>
      </c>
      <c r="R233">
        <v>2025</v>
      </c>
      <c r="S233" t="s">
        <v>25</v>
      </c>
    </row>
    <row r="234" spans="1:19" x14ac:dyDescent="0.3">
      <c r="A234" t="s">
        <v>307</v>
      </c>
      <c r="B234">
        <v>44672</v>
      </c>
      <c r="C234" t="s">
        <v>61</v>
      </c>
      <c r="D234" t="s">
        <v>74</v>
      </c>
      <c r="E234" t="s">
        <v>32</v>
      </c>
      <c r="F234" t="s">
        <v>23</v>
      </c>
      <c r="G234">
        <v>110484.10715</v>
      </c>
      <c r="H234">
        <v>77171.289999999994</v>
      </c>
      <c r="I234">
        <v>33312.81</v>
      </c>
      <c r="J234">
        <v>29675.38</v>
      </c>
      <c r="K234">
        <v>16387.14</v>
      </c>
      <c r="L234">
        <v>77835.33</v>
      </c>
      <c r="M234">
        <v>1506</v>
      </c>
      <c r="N234">
        <v>3.1E-2</v>
      </c>
      <c r="O234">
        <f t="shared" si="6"/>
        <v>0.30149999999999999</v>
      </c>
      <c r="P234">
        <f t="shared" si="7"/>
        <v>0.21049999999999999</v>
      </c>
      <c r="Q234" t="s">
        <v>58</v>
      </c>
      <c r="R234">
        <v>2022</v>
      </c>
      <c r="S234" t="s">
        <v>25</v>
      </c>
    </row>
    <row r="235" spans="1:19" x14ac:dyDescent="0.3">
      <c r="A235" t="s">
        <v>308</v>
      </c>
      <c r="B235" s="4">
        <v>44998</v>
      </c>
      <c r="C235" t="s">
        <v>48</v>
      </c>
      <c r="D235" t="s">
        <v>49</v>
      </c>
      <c r="E235" t="s">
        <v>22</v>
      </c>
      <c r="F235" t="s">
        <v>23</v>
      </c>
      <c r="G235">
        <v>191531.02</v>
      </c>
      <c r="H235">
        <v>118653.82</v>
      </c>
      <c r="I235">
        <v>72877.2</v>
      </c>
      <c r="J235">
        <v>23505.64</v>
      </c>
      <c r="K235">
        <v>46274.9</v>
      </c>
      <c r="L235">
        <v>104696.98</v>
      </c>
      <c r="M235">
        <v>1612</v>
      </c>
      <c r="N235">
        <v>-4.0000000000000001E-3</v>
      </c>
      <c r="O235">
        <f t="shared" si="6"/>
        <v>0.3805</v>
      </c>
      <c r="P235">
        <f t="shared" si="7"/>
        <v>0.442</v>
      </c>
      <c r="Q235" t="s">
        <v>118</v>
      </c>
      <c r="R235">
        <v>2023</v>
      </c>
      <c r="S235" t="s">
        <v>40</v>
      </c>
    </row>
    <row r="236" spans="1:19" x14ac:dyDescent="0.3">
      <c r="A236" t="s">
        <v>309</v>
      </c>
      <c r="B236">
        <v>44721</v>
      </c>
      <c r="C236" t="s">
        <v>85</v>
      </c>
      <c r="D236" t="s">
        <v>86</v>
      </c>
      <c r="E236" t="s">
        <v>38</v>
      </c>
      <c r="F236" t="s">
        <v>23</v>
      </c>
      <c r="G236">
        <v>14182.06</v>
      </c>
      <c r="H236">
        <v>9031.4500000000007</v>
      </c>
      <c r="I236">
        <v>5150.6099999999997</v>
      </c>
      <c r="J236">
        <v>115897.45</v>
      </c>
      <c r="K236">
        <v>11297.91</v>
      </c>
      <c r="L236">
        <v>143837.41</v>
      </c>
      <c r="M236">
        <v>570</v>
      </c>
      <c r="N236">
        <v>2.2599999999999999E-2</v>
      </c>
      <c r="O236">
        <f t="shared" si="6"/>
        <v>0.36320000000000002</v>
      </c>
      <c r="P236">
        <f t="shared" si="7"/>
        <v>7.85E-2</v>
      </c>
      <c r="Q236" t="s">
        <v>58</v>
      </c>
      <c r="R236">
        <v>2022</v>
      </c>
      <c r="S236" t="s">
        <v>25</v>
      </c>
    </row>
    <row r="237" spans="1:19" x14ac:dyDescent="0.3">
      <c r="A237" t="s">
        <v>310</v>
      </c>
      <c r="B237">
        <v>45597</v>
      </c>
      <c r="C237" t="s">
        <v>54</v>
      </c>
      <c r="D237" t="s">
        <v>55</v>
      </c>
      <c r="E237" t="s">
        <v>22</v>
      </c>
      <c r="F237" t="s">
        <v>23</v>
      </c>
      <c r="G237">
        <v>22210.67</v>
      </c>
      <c r="H237">
        <v>13315.67</v>
      </c>
      <c r="I237">
        <v>8895</v>
      </c>
      <c r="J237">
        <v>32219.96</v>
      </c>
      <c r="K237">
        <v>17689.55</v>
      </c>
      <c r="L237">
        <v>99341.89</v>
      </c>
      <c r="M237">
        <v>620</v>
      </c>
      <c r="N237">
        <v>9.4100000000000003E-2</v>
      </c>
      <c r="O237">
        <f t="shared" si="6"/>
        <v>0.40050000000000002</v>
      </c>
      <c r="P237">
        <f t="shared" si="7"/>
        <v>0.17810000000000001</v>
      </c>
      <c r="Q237" t="s">
        <v>52</v>
      </c>
      <c r="R237">
        <v>2024</v>
      </c>
      <c r="S237" t="s">
        <v>25</v>
      </c>
    </row>
    <row r="238" spans="1:19" x14ac:dyDescent="0.3">
      <c r="A238" t="s">
        <v>311</v>
      </c>
      <c r="B238">
        <v>45739</v>
      </c>
      <c r="C238" t="s">
        <v>48</v>
      </c>
      <c r="D238" t="s">
        <v>49</v>
      </c>
      <c r="E238" t="s">
        <v>32</v>
      </c>
      <c r="F238" t="s">
        <v>23</v>
      </c>
      <c r="G238">
        <v>131455.75539999999</v>
      </c>
      <c r="H238">
        <v>115867.59</v>
      </c>
      <c r="I238">
        <v>15588.17</v>
      </c>
      <c r="J238">
        <v>114996.9</v>
      </c>
      <c r="K238">
        <v>14210.7</v>
      </c>
      <c r="L238">
        <v>541652.26</v>
      </c>
      <c r="M238">
        <v>1114</v>
      </c>
      <c r="N238">
        <v>-3.0000000000000001E-3</v>
      </c>
      <c r="O238">
        <f t="shared" si="6"/>
        <v>0.1186</v>
      </c>
      <c r="P238">
        <f t="shared" si="7"/>
        <v>2.6200000000000001E-2</v>
      </c>
      <c r="Q238" t="s">
        <v>106</v>
      </c>
      <c r="R238">
        <v>2025</v>
      </c>
      <c r="S238" t="s">
        <v>25</v>
      </c>
    </row>
    <row r="239" spans="1:19" x14ac:dyDescent="0.3">
      <c r="A239" t="s">
        <v>312</v>
      </c>
      <c r="B239">
        <v>45138</v>
      </c>
      <c r="C239" t="s">
        <v>36</v>
      </c>
      <c r="D239" t="s">
        <v>37</v>
      </c>
      <c r="E239" t="s">
        <v>38</v>
      </c>
      <c r="F239" t="s">
        <v>23</v>
      </c>
      <c r="G239">
        <v>82469.64</v>
      </c>
      <c r="H239">
        <v>71799.95</v>
      </c>
      <c r="I239">
        <v>10669.69</v>
      </c>
      <c r="J239">
        <v>15723.7</v>
      </c>
      <c r="K239">
        <v>53466.5</v>
      </c>
      <c r="L239">
        <v>82797.47</v>
      </c>
      <c r="M239">
        <v>853</v>
      </c>
      <c r="N239">
        <v>5.8099999999999999E-2</v>
      </c>
      <c r="O239">
        <f t="shared" si="6"/>
        <v>0.12939999999999999</v>
      </c>
      <c r="P239">
        <f t="shared" si="7"/>
        <v>0.64580000000000004</v>
      </c>
      <c r="Q239" t="s">
        <v>56</v>
      </c>
      <c r="R239">
        <v>2023</v>
      </c>
      <c r="S239" t="s">
        <v>82</v>
      </c>
    </row>
    <row r="240" spans="1:19" x14ac:dyDescent="0.3">
      <c r="A240" t="s">
        <v>313</v>
      </c>
      <c r="B240">
        <v>45252</v>
      </c>
      <c r="C240" t="s">
        <v>85</v>
      </c>
      <c r="D240" t="s">
        <v>86</v>
      </c>
      <c r="E240" t="s">
        <v>32</v>
      </c>
      <c r="F240" t="s">
        <v>23</v>
      </c>
      <c r="G240">
        <v>99497.740550000002</v>
      </c>
      <c r="H240">
        <v>72903.100000000006</v>
      </c>
      <c r="I240">
        <v>26594.639999999999</v>
      </c>
      <c r="J240">
        <v>25021.07</v>
      </c>
      <c r="K240">
        <v>108058.45</v>
      </c>
      <c r="L240">
        <v>50340.63</v>
      </c>
      <c r="M240">
        <v>1135</v>
      </c>
      <c r="N240">
        <v>-5.1200000000000002E-2</v>
      </c>
      <c r="O240">
        <f t="shared" si="6"/>
        <v>0.26729999999999998</v>
      </c>
      <c r="P240">
        <f t="shared" si="7"/>
        <v>2.1465000000000001</v>
      </c>
      <c r="Q240" t="s">
        <v>44</v>
      </c>
      <c r="R240">
        <v>2023</v>
      </c>
      <c r="S240" t="s">
        <v>82</v>
      </c>
    </row>
    <row r="241" spans="1:19" x14ac:dyDescent="0.3">
      <c r="A241" t="s">
        <v>314</v>
      </c>
      <c r="B241">
        <v>45084</v>
      </c>
      <c r="C241" t="s">
        <v>27</v>
      </c>
      <c r="D241" t="s">
        <v>28</v>
      </c>
      <c r="E241" t="s">
        <v>51</v>
      </c>
      <c r="F241" t="s">
        <v>23</v>
      </c>
      <c r="G241">
        <v>77468.56</v>
      </c>
      <c r="H241">
        <v>51150.89</v>
      </c>
      <c r="I241">
        <v>26317.67</v>
      </c>
      <c r="J241">
        <v>37726.61</v>
      </c>
      <c r="K241">
        <v>31654.71</v>
      </c>
      <c r="L241">
        <v>86089.48</v>
      </c>
      <c r="M241">
        <v>737</v>
      </c>
      <c r="N241">
        <v>2.0500000000000001E-2</v>
      </c>
      <c r="O241">
        <f t="shared" si="6"/>
        <v>0.3397</v>
      </c>
      <c r="P241">
        <f t="shared" si="7"/>
        <v>0.36770000000000003</v>
      </c>
      <c r="Q241" t="s">
        <v>39</v>
      </c>
      <c r="R241">
        <v>2023</v>
      </c>
      <c r="S241" t="s">
        <v>40</v>
      </c>
    </row>
    <row r="242" spans="1:19" x14ac:dyDescent="0.3">
      <c r="A242" t="s">
        <v>315</v>
      </c>
      <c r="B242">
        <v>45432</v>
      </c>
      <c r="C242" t="s">
        <v>27</v>
      </c>
      <c r="D242" t="s">
        <v>28</v>
      </c>
      <c r="E242" t="s">
        <v>32</v>
      </c>
      <c r="F242" t="s">
        <v>23</v>
      </c>
      <c r="G242">
        <v>13283.3511</v>
      </c>
      <c r="H242">
        <v>9555.3700000000008</v>
      </c>
      <c r="I242">
        <v>3727.98</v>
      </c>
      <c r="J242">
        <v>38071.769999999997</v>
      </c>
      <c r="K242">
        <v>19830.47</v>
      </c>
      <c r="L242">
        <v>65514.87</v>
      </c>
      <c r="M242">
        <v>714</v>
      </c>
      <c r="N242">
        <v>-1.1000000000000001E-3</v>
      </c>
      <c r="O242">
        <f t="shared" si="6"/>
        <v>0.28070000000000001</v>
      </c>
      <c r="P242">
        <f t="shared" si="7"/>
        <v>0.30270000000000002</v>
      </c>
      <c r="Q242" t="s">
        <v>111</v>
      </c>
      <c r="R242">
        <v>2024</v>
      </c>
      <c r="S242" t="s">
        <v>40</v>
      </c>
    </row>
    <row r="243" spans="1:19" x14ac:dyDescent="0.3">
      <c r="A243" t="s">
        <v>316</v>
      </c>
      <c r="B243">
        <v>45302</v>
      </c>
      <c r="C243" t="s">
        <v>78</v>
      </c>
      <c r="D243" t="s">
        <v>79</v>
      </c>
      <c r="E243" t="s">
        <v>38</v>
      </c>
      <c r="F243" t="s">
        <v>23</v>
      </c>
      <c r="G243">
        <v>90434.77</v>
      </c>
      <c r="H243">
        <v>56832.63</v>
      </c>
      <c r="I243">
        <v>33602.14</v>
      </c>
      <c r="J243">
        <v>40551.660000000003</v>
      </c>
      <c r="K243">
        <v>20000.8</v>
      </c>
      <c r="L243">
        <v>330615</v>
      </c>
      <c r="M243">
        <v>794</v>
      </c>
      <c r="N243">
        <v>3.7400000000000003E-2</v>
      </c>
      <c r="O243">
        <f t="shared" si="6"/>
        <v>0.37159999999999999</v>
      </c>
      <c r="P243">
        <f t="shared" si="7"/>
        <v>6.0499999999999998E-2</v>
      </c>
      <c r="Q243" t="s">
        <v>80</v>
      </c>
      <c r="R243">
        <v>2024</v>
      </c>
      <c r="S243" t="s">
        <v>25</v>
      </c>
    </row>
    <row r="244" spans="1:19" x14ac:dyDescent="0.3">
      <c r="A244" t="s">
        <v>317</v>
      </c>
      <c r="B244">
        <v>44723</v>
      </c>
      <c r="C244" t="s">
        <v>20</v>
      </c>
      <c r="D244" t="s">
        <v>21</v>
      </c>
      <c r="E244" t="s">
        <v>22</v>
      </c>
      <c r="F244" t="s">
        <v>23</v>
      </c>
      <c r="G244">
        <v>113252.6</v>
      </c>
      <c r="H244">
        <v>67557.210000000006</v>
      </c>
      <c r="I244">
        <v>45695.39</v>
      </c>
      <c r="J244">
        <v>29287.279999999999</v>
      </c>
      <c r="K244">
        <v>30050.63</v>
      </c>
      <c r="L244">
        <v>75687.710000000006</v>
      </c>
      <c r="M244">
        <v>2725</v>
      </c>
      <c r="N244">
        <v>-6.4399999999999999E-2</v>
      </c>
      <c r="O244">
        <f t="shared" si="6"/>
        <v>0.40350000000000003</v>
      </c>
      <c r="P244">
        <f t="shared" si="7"/>
        <v>0.39700000000000002</v>
      </c>
      <c r="Q244" t="s">
        <v>58</v>
      </c>
      <c r="R244">
        <v>2022</v>
      </c>
      <c r="S244" t="s">
        <v>40</v>
      </c>
    </row>
    <row r="245" spans="1:19" x14ac:dyDescent="0.3">
      <c r="A245" t="s">
        <v>318</v>
      </c>
      <c r="B245">
        <v>44788</v>
      </c>
      <c r="C245" t="s">
        <v>27</v>
      </c>
      <c r="D245" t="s">
        <v>28</v>
      </c>
      <c r="E245" t="s">
        <v>38</v>
      </c>
      <c r="F245" t="s">
        <v>23</v>
      </c>
      <c r="G245">
        <v>140274.34</v>
      </c>
      <c r="H245">
        <v>117738.66</v>
      </c>
      <c r="I245">
        <v>22535.68</v>
      </c>
      <c r="J245">
        <v>47194.74</v>
      </c>
      <c r="K245">
        <v>12827.48</v>
      </c>
      <c r="L245">
        <v>111797.83</v>
      </c>
      <c r="M245">
        <v>551</v>
      </c>
      <c r="N245">
        <v>6.9099999999999995E-2</v>
      </c>
      <c r="O245">
        <f t="shared" si="6"/>
        <v>0.16070000000000001</v>
      </c>
      <c r="P245">
        <f t="shared" si="7"/>
        <v>0.1147</v>
      </c>
      <c r="Q245" t="s">
        <v>76</v>
      </c>
      <c r="R245">
        <v>2022</v>
      </c>
      <c r="S245" t="s">
        <v>25</v>
      </c>
    </row>
    <row r="246" spans="1:19" x14ac:dyDescent="0.3">
      <c r="A246" t="s">
        <v>319</v>
      </c>
      <c r="B246">
        <v>45429</v>
      </c>
      <c r="C246" t="s">
        <v>85</v>
      </c>
      <c r="D246" t="s">
        <v>86</v>
      </c>
      <c r="E246" t="s">
        <v>38</v>
      </c>
      <c r="F246" t="s">
        <v>23</v>
      </c>
      <c r="G246">
        <v>41839.360000000001</v>
      </c>
      <c r="H246">
        <v>37038.06</v>
      </c>
      <c r="I246">
        <v>4801.3</v>
      </c>
      <c r="J246">
        <v>0</v>
      </c>
      <c r="K246">
        <v>55894.29</v>
      </c>
      <c r="L246">
        <v>105264.41</v>
      </c>
      <c r="M246">
        <v>1694</v>
      </c>
      <c r="N246">
        <v>-3.1300000000000001E-2</v>
      </c>
      <c r="O246">
        <f t="shared" si="6"/>
        <v>0.1148</v>
      </c>
      <c r="P246">
        <f t="shared" si="7"/>
        <v>0.53100000000000003</v>
      </c>
      <c r="Q246" t="s">
        <v>111</v>
      </c>
      <c r="R246">
        <v>2024</v>
      </c>
      <c r="S246" t="s">
        <v>40</v>
      </c>
    </row>
    <row r="247" spans="1:19" x14ac:dyDescent="0.3">
      <c r="A247" t="s">
        <v>320</v>
      </c>
      <c r="B247">
        <v>45026</v>
      </c>
      <c r="C247" t="s">
        <v>20</v>
      </c>
      <c r="D247" t="s">
        <v>21</v>
      </c>
      <c r="E247" t="s">
        <v>22</v>
      </c>
      <c r="F247" t="s">
        <v>23</v>
      </c>
      <c r="G247">
        <v>97246.98</v>
      </c>
      <c r="H247" t="s">
        <v>1281</v>
      </c>
      <c r="I247" t="s">
        <v>1281</v>
      </c>
      <c r="J247">
        <v>33313.96</v>
      </c>
      <c r="K247">
        <v>22244.36</v>
      </c>
      <c r="L247">
        <v>102473.83</v>
      </c>
      <c r="M247">
        <v>1396</v>
      </c>
      <c r="N247">
        <v>-4.5699999999999998E-2</v>
      </c>
      <c r="O247" t="s">
        <v>1281</v>
      </c>
      <c r="P247">
        <f t="shared" si="7"/>
        <v>0.21709999999999999</v>
      </c>
      <c r="Q247" t="s">
        <v>39</v>
      </c>
      <c r="R247">
        <v>2023</v>
      </c>
      <c r="S247" t="s">
        <v>25</v>
      </c>
    </row>
    <row r="248" spans="1:19" x14ac:dyDescent="0.3">
      <c r="A248" t="s">
        <v>321</v>
      </c>
      <c r="B248">
        <v>44573</v>
      </c>
      <c r="C248" t="s">
        <v>61</v>
      </c>
      <c r="D248" t="s">
        <v>74</v>
      </c>
      <c r="E248" t="s">
        <v>38</v>
      </c>
      <c r="F248" t="s">
        <v>23</v>
      </c>
      <c r="G248">
        <v>81397.070000000007</v>
      </c>
      <c r="H248">
        <v>70279.25</v>
      </c>
      <c r="I248">
        <v>11117.82</v>
      </c>
      <c r="J248">
        <v>34051.230000000003</v>
      </c>
      <c r="K248">
        <v>45989.85</v>
      </c>
      <c r="L248">
        <v>133532.51</v>
      </c>
      <c r="M248">
        <v>322</v>
      </c>
      <c r="N248">
        <v>-6.0199999999999997E-2</v>
      </c>
      <c r="O248">
        <f t="shared" si="6"/>
        <v>0.1366</v>
      </c>
      <c r="P248">
        <f t="shared" si="7"/>
        <v>0.34439999999999998</v>
      </c>
      <c r="Q248" t="s">
        <v>90</v>
      </c>
      <c r="R248">
        <v>2022</v>
      </c>
      <c r="S248" t="s">
        <v>40</v>
      </c>
    </row>
    <row r="249" spans="1:19" x14ac:dyDescent="0.3">
      <c r="A249" t="s">
        <v>322</v>
      </c>
      <c r="B249">
        <v>45050</v>
      </c>
      <c r="C249" t="s">
        <v>42</v>
      </c>
      <c r="D249" t="s">
        <v>43</v>
      </c>
      <c r="E249" t="s">
        <v>22</v>
      </c>
      <c r="F249" t="s">
        <v>23</v>
      </c>
      <c r="G249">
        <v>80626.89</v>
      </c>
      <c r="H249">
        <v>58467.26</v>
      </c>
      <c r="I249">
        <v>22159.63</v>
      </c>
      <c r="J249">
        <v>51277.67</v>
      </c>
      <c r="K249">
        <v>30886.52</v>
      </c>
      <c r="L249">
        <v>94234.73</v>
      </c>
      <c r="M249">
        <v>961</v>
      </c>
      <c r="N249">
        <v>1.1900000000000001E-2</v>
      </c>
      <c r="O249">
        <f t="shared" si="6"/>
        <v>0.27479999999999999</v>
      </c>
      <c r="P249">
        <f t="shared" si="7"/>
        <v>0.32779999999999998</v>
      </c>
      <c r="Q249" t="s">
        <v>39</v>
      </c>
      <c r="R249">
        <v>2023</v>
      </c>
      <c r="S249" t="s">
        <v>40</v>
      </c>
    </row>
    <row r="250" spans="1:19" x14ac:dyDescent="0.3">
      <c r="A250" t="s">
        <v>323</v>
      </c>
      <c r="B250">
        <v>45169</v>
      </c>
      <c r="C250" t="s">
        <v>20</v>
      </c>
      <c r="D250" t="s">
        <v>21</v>
      </c>
      <c r="E250" t="s">
        <v>22</v>
      </c>
      <c r="F250" t="s">
        <v>23</v>
      </c>
      <c r="G250">
        <v>169357.2</v>
      </c>
      <c r="H250">
        <v>128318.33</v>
      </c>
      <c r="I250">
        <v>41038.870000000003</v>
      </c>
      <c r="J250">
        <v>84472.44</v>
      </c>
      <c r="K250">
        <v>15730.1</v>
      </c>
      <c r="L250">
        <v>180488.9</v>
      </c>
      <c r="M250">
        <v>1268</v>
      </c>
      <c r="N250">
        <v>0.1186</v>
      </c>
      <c r="O250">
        <f t="shared" si="6"/>
        <v>0.24229999999999999</v>
      </c>
      <c r="P250">
        <f t="shared" si="7"/>
        <v>8.72E-2</v>
      </c>
      <c r="Q250" t="s">
        <v>56</v>
      </c>
      <c r="R250">
        <v>2023</v>
      </c>
      <c r="S250" t="s">
        <v>25</v>
      </c>
    </row>
    <row r="251" spans="1:19" x14ac:dyDescent="0.3">
      <c r="A251" t="s">
        <v>324</v>
      </c>
      <c r="B251">
        <v>45979</v>
      </c>
      <c r="C251" t="s">
        <v>78</v>
      </c>
      <c r="D251" t="s">
        <v>79</v>
      </c>
      <c r="E251" t="s">
        <v>22</v>
      </c>
      <c r="F251" t="s">
        <v>23</v>
      </c>
      <c r="G251">
        <v>34921.5</v>
      </c>
      <c r="H251">
        <v>31890.73</v>
      </c>
      <c r="I251">
        <v>3030.77</v>
      </c>
      <c r="J251">
        <v>17024.62</v>
      </c>
      <c r="K251">
        <v>55423.51</v>
      </c>
      <c r="L251">
        <v>79683.25</v>
      </c>
      <c r="M251">
        <v>1093</v>
      </c>
      <c r="N251">
        <v>-6.7400000000000002E-2</v>
      </c>
      <c r="O251">
        <f t="shared" si="6"/>
        <v>8.6800000000000002E-2</v>
      </c>
      <c r="P251">
        <f t="shared" si="7"/>
        <v>0.69550000000000001</v>
      </c>
      <c r="Q251" t="s">
        <v>66</v>
      </c>
      <c r="R251">
        <v>2025</v>
      </c>
      <c r="S251" t="s">
        <v>82</v>
      </c>
    </row>
    <row r="252" spans="1:19" x14ac:dyDescent="0.3">
      <c r="A252" t="s">
        <v>325</v>
      </c>
      <c r="B252">
        <v>45125</v>
      </c>
      <c r="C252" t="s">
        <v>48</v>
      </c>
      <c r="D252" t="s">
        <v>49</v>
      </c>
      <c r="E252" t="s">
        <v>38</v>
      </c>
      <c r="F252" t="s">
        <v>23</v>
      </c>
      <c r="G252">
        <v>164073.41</v>
      </c>
      <c r="H252">
        <v>122950.18</v>
      </c>
      <c r="I252">
        <v>41123.230000000003</v>
      </c>
      <c r="J252">
        <v>17515.310000000001</v>
      </c>
      <c r="K252">
        <v>30715.64</v>
      </c>
      <c r="L252">
        <v>62437.51</v>
      </c>
      <c r="M252">
        <v>1099</v>
      </c>
      <c r="N252">
        <v>2.4899999999999999E-2</v>
      </c>
      <c r="O252">
        <f t="shared" si="6"/>
        <v>0.25059999999999999</v>
      </c>
      <c r="P252">
        <f t="shared" si="7"/>
        <v>0.4919</v>
      </c>
      <c r="Q252" t="s">
        <v>56</v>
      </c>
      <c r="R252">
        <v>2023</v>
      </c>
      <c r="S252" t="s">
        <v>40</v>
      </c>
    </row>
    <row r="253" spans="1:19" x14ac:dyDescent="0.3">
      <c r="A253" t="s">
        <v>326</v>
      </c>
      <c r="B253">
        <v>45020</v>
      </c>
      <c r="C253" t="s">
        <v>42</v>
      </c>
      <c r="D253" t="s">
        <v>43</v>
      </c>
      <c r="E253" t="s">
        <v>22</v>
      </c>
      <c r="F253" t="s">
        <v>23</v>
      </c>
      <c r="G253">
        <v>68495.28</v>
      </c>
      <c r="H253">
        <v>45323.96</v>
      </c>
      <c r="I253">
        <v>23171.32</v>
      </c>
      <c r="J253">
        <v>22455.47</v>
      </c>
      <c r="K253">
        <v>15380.25</v>
      </c>
      <c r="L253">
        <v>175603.42</v>
      </c>
      <c r="M253">
        <v>1205</v>
      </c>
      <c r="N253">
        <v>2.3800000000000002E-2</v>
      </c>
      <c r="O253">
        <f t="shared" si="6"/>
        <v>0.33829999999999999</v>
      </c>
      <c r="P253">
        <f t="shared" si="7"/>
        <v>8.7599999999999997E-2</v>
      </c>
      <c r="Q253" t="s">
        <v>39</v>
      </c>
      <c r="R253">
        <v>2023</v>
      </c>
      <c r="S253" t="s">
        <v>25</v>
      </c>
    </row>
    <row r="254" spans="1:19" x14ac:dyDescent="0.3">
      <c r="A254" t="s">
        <v>327</v>
      </c>
      <c r="B254">
        <v>44863</v>
      </c>
      <c r="C254" t="s">
        <v>1282</v>
      </c>
      <c r="D254" t="s">
        <v>69</v>
      </c>
      <c r="E254" t="s">
        <v>32</v>
      </c>
      <c r="F254" t="s">
        <v>23</v>
      </c>
      <c r="G254">
        <v>58046.484900000003</v>
      </c>
      <c r="H254">
        <v>35485.42</v>
      </c>
      <c r="I254">
        <v>22561.07</v>
      </c>
      <c r="J254">
        <v>35499.75</v>
      </c>
      <c r="K254">
        <v>9859.9699999999993</v>
      </c>
      <c r="L254">
        <v>91629.17</v>
      </c>
      <c r="M254">
        <v>740</v>
      </c>
      <c r="N254">
        <v>5.4100000000000002E-2</v>
      </c>
      <c r="O254">
        <f t="shared" si="6"/>
        <v>0.38869999999999999</v>
      </c>
      <c r="P254">
        <f t="shared" si="7"/>
        <v>0.1076</v>
      </c>
      <c r="Q254" t="s">
        <v>46</v>
      </c>
      <c r="R254">
        <v>2022</v>
      </c>
      <c r="S254" t="s">
        <v>25</v>
      </c>
    </row>
    <row r="255" spans="1:19" x14ac:dyDescent="0.3">
      <c r="A255" t="s">
        <v>328</v>
      </c>
      <c r="B255">
        <v>45141</v>
      </c>
      <c r="C255" t="s">
        <v>85</v>
      </c>
      <c r="D255" t="s">
        <v>86</v>
      </c>
      <c r="E255" t="s">
        <v>38</v>
      </c>
      <c r="F255" t="s">
        <v>23</v>
      </c>
      <c r="G255">
        <v>25879.83</v>
      </c>
      <c r="H255">
        <v>18418.38</v>
      </c>
      <c r="I255">
        <v>7461.45</v>
      </c>
      <c r="J255">
        <v>45411.51</v>
      </c>
      <c r="K255">
        <v>15164.13</v>
      </c>
      <c r="L255">
        <v>112770.45</v>
      </c>
      <c r="M255">
        <v>966</v>
      </c>
      <c r="N255">
        <v>1.3100000000000001E-2</v>
      </c>
      <c r="O255">
        <f t="shared" si="6"/>
        <v>0.2883</v>
      </c>
      <c r="P255">
        <f t="shared" si="7"/>
        <v>0.13450000000000001</v>
      </c>
      <c r="Q255" t="s">
        <v>56</v>
      </c>
      <c r="R255">
        <v>2023</v>
      </c>
      <c r="S255" t="s">
        <v>25</v>
      </c>
    </row>
    <row r="256" spans="1:19" x14ac:dyDescent="0.3">
      <c r="A256" t="s">
        <v>329</v>
      </c>
      <c r="B256">
        <v>45358</v>
      </c>
      <c r="C256" t="s">
        <v>42</v>
      </c>
      <c r="D256" t="s">
        <v>43</v>
      </c>
      <c r="E256" t="s">
        <v>22</v>
      </c>
      <c r="F256" t="s">
        <v>23</v>
      </c>
      <c r="G256">
        <v>74409.78</v>
      </c>
      <c r="H256">
        <v>67832.25</v>
      </c>
      <c r="I256">
        <v>6577.53</v>
      </c>
      <c r="J256">
        <v>49043.6</v>
      </c>
      <c r="K256">
        <v>16103.8</v>
      </c>
      <c r="L256">
        <v>135371.16</v>
      </c>
      <c r="M256">
        <v>2022</v>
      </c>
      <c r="N256">
        <v>-4.3E-3</v>
      </c>
      <c r="O256">
        <f t="shared" si="6"/>
        <v>8.8400000000000006E-2</v>
      </c>
      <c r="P256">
        <f t="shared" si="7"/>
        <v>0.11899999999999999</v>
      </c>
      <c r="Q256" t="s">
        <v>80</v>
      </c>
      <c r="R256">
        <v>2024</v>
      </c>
      <c r="S256" t="s">
        <v>25</v>
      </c>
    </row>
    <row r="257" spans="1:19" x14ac:dyDescent="0.3">
      <c r="A257" t="s">
        <v>330</v>
      </c>
      <c r="B257">
        <v>45154</v>
      </c>
      <c r="C257" t="s">
        <v>48</v>
      </c>
      <c r="D257" t="s">
        <v>49</v>
      </c>
      <c r="E257" t="s">
        <v>32</v>
      </c>
      <c r="F257" t="s">
        <v>23</v>
      </c>
      <c r="G257">
        <v>97373.170150000005</v>
      </c>
      <c r="H257">
        <v>81355.48</v>
      </c>
      <c r="I257">
        <v>16017.69</v>
      </c>
      <c r="J257">
        <v>16207.21</v>
      </c>
      <c r="K257">
        <v>23979.59</v>
      </c>
      <c r="L257">
        <v>84726.68</v>
      </c>
      <c r="M257">
        <v>511</v>
      </c>
      <c r="N257">
        <v>5.5300000000000002E-2</v>
      </c>
      <c r="O257">
        <f t="shared" si="6"/>
        <v>0.16450000000000001</v>
      </c>
      <c r="P257">
        <f t="shared" si="7"/>
        <v>0.28299999999999997</v>
      </c>
      <c r="Q257" t="s">
        <v>56</v>
      </c>
      <c r="R257">
        <v>2023</v>
      </c>
      <c r="S257" t="s">
        <v>25</v>
      </c>
    </row>
    <row r="258" spans="1:19" x14ac:dyDescent="0.3">
      <c r="A258" t="s">
        <v>331</v>
      </c>
      <c r="B258">
        <v>45017</v>
      </c>
      <c r="C258" t="s">
        <v>36</v>
      </c>
      <c r="D258" t="s">
        <v>37</v>
      </c>
      <c r="E258" t="s">
        <v>38</v>
      </c>
      <c r="F258" t="s">
        <v>23</v>
      </c>
      <c r="G258">
        <v>49271.83</v>
      </c>
      <c r="H258">
        <v>31580.720000000001</v>
      </c>
      <c r="I258">
        <v>17691.11</v>
      </c>
      <c r="J258">
        <v>55968.19</v>
      </c>
      <c r="K258">
        <v>54561.78</v>
      </c>
      <c r="L258">
        <v>106819.94</v>
      </c>
      <c r="M258">
        <v>894</v>
      </c>
      <c r="N258">
        <v>5.6099999999999997E-2</v>
      </c>
      <c r="O258">
        <f t="shared" si="6"/>
        <v>0.35909999999999997</v>
      </c>
      <c r="P258">
        <f t="shared" si="7"/>
        <v>0.51080000000000003</v>
      </c>
      <c r="Q258" t="s">
        <v>39</v>
      </c>
      <c r="R258">
        <v>2023</v>
      </c>
      <c r="S258" t="s">
        <v>40</v>
      </c>
    </row>
    <row r="259" spans="1:19" x14ac:dyDescent="0.3">
      <c r="A259" t="s">
        <v>332</v>
      </c>
      <c r="B259">
        <v>45541</v>
      </c>
      <c r="C259" t="s">
        <v>78</v>
      </c>
      <c r="D259" t="s">
        <v>79</v>
      </c>
      <c r="E259" t="s">
        <v>22</v>
      </c>
      <c r="F259" t="s">
        <v>23</v>
      </c>
      <c r="G259">
        <v>69219.23</v>
      </c>
      <c r="H259">
        <v>45127.67</v>
      </c>
      <c r="I259">
        <v>24091.56</v>
      </c>
      <c r="J259">
        <v>20525.13</v>
      </c>
      <c r="K259">
        <v>72820.33</v>
      </c>
      <c r="L259">
        <v>34751.81</v>
      </c>
      <c r="M259">
        <v>1490</v>
      </c>
      <c r="N259">
        <v>-1.0500000000000001E-2</v>
      </c>
      <c r="O259">
        <f t="shared" ref="O259:O322" si="8">(ROUND(I259/G259,4))</f>
        <v>0.34799999999999998</v>
      </c>
      <c r="P259">
        <f t="shared" ref="P259:P322" si="9">ROUND(K259/L259,4)</f>
        <v>2.0954000000000002</v>
      </c>
      <c r="Q259" t="s">
        <v>72</v>
      </c>
      <c r="R259">
        <v>2024</v>
      </c>
      <c r="S259" t="s">
        <v>82</v>
      </c>
    </row>
    <row r="260" spans="1:19" x14ac:dyDescent="0.3">
      <c r="A260" t="s">
        <v>333</v>
      </c>
      <c r="B260">
        <v>45989</v>
      </c>
      <c r="C260" t="s">
        <v>48</v>
      </c>
      <c r="D260" t="s">
        <v>49</v>
      </c>
      <c r="E260" t="s">
        <v>38</v>
      </c>
      <c r="F260" t="s">
        <v>23</v>
      </c>
      <c r="G260">
        <v>73812.070000000007</v>
      </c>
      <c r="H260">
        <v>46628.23</v>
      </c>
      <c r="I260">
        <v>27183.84</v>
      </c>
      <c r="J260">
        <v>16852.3</v>
      </c>
      <c r="K260">
        <v>31924.31</v>
      </c>
      <c r="L260">
        <v>68797.25</v>
      </c>
      <c r="M260">
        <v>448</v>
      </c>
      <c r="N260">
        <v>0.1588</v>
      </c>
      <c r="O260">
        <f t="shared" si="8"/>
        <v>0.36830000000000002</v>
      </c>
      <c r="P260">
        <f t="shared" si="9"/>
        <v>0.46400000000000002</v>
      </c>
      <c r="Q260" t="s">
        <v>66</v>
      </c>
      <c r="R260">
        <v>2025</v>
      </c>
      <c r="S260" t="s">
        <v>40</v>
      </c>
    </row>
    <row r="261" spans="1:19" x14ac:dyDescent="0.3">
      <c r="A261" t="s">
        <v>334</v>
      </c>
      <c r="B261">
        <v>45149</v>
      </c>
      <c r="C261" t="s">
        <v>30</v>
      </c>
      <c r="D261" t="s">
        <v>31</v>
      </c>
      <c r="E261" t="s">
        <v>32</v>
      </c>
      <c r="F261" t="s">
        <v>23</v>
      </c>
      <c r="G261">
        <v>49616.743000000002</v>
      </c>
      <c r="H261">
        <v>33770.57</v>
      </c>
      <c r="I261">
        <v>15846.17</v>
      </c>
      <c r="J261">
        <v>73564.820000000007</v>
      </c>
      <c r="K261">
        <v>26479.03</v>
      </c>
      <c r="L261">
        <v>210415.02</v>
      </c>
      <c r="M261">
        <v>847</v>
      </c>
      <c r="N261">
        <v>0.12330000000000001</v>
      </c>
      <c r="O261">
        <f t="shared" si="8"/>
        <v>0.31940000000000002</v>
      </c>
      <c r="P261">
        <f t="shared" si="9"/>
        <v>0.1258</v>
      </c>
      <c r="Q261" t="s">
        <v>56</v>
      </c>
      <c r="R261">
        <v>2023</v>
      </c>
      <c r="S261" t="s">
        <v>25</v>
      </c>
    </row>
    <row r="262" spans="1:19" x14ac:dyDescent="0.3">
      <c r="A262" t="s">
        <v>335</v>
      </c>
      <c r="B262">
        <v>44782</v>
      </c>
      <c r="C262" t="s">
        <v>1282</v>
      </c>
      <c r="D262" t="s">
        <v>69</v>
      </c>
      <c r="E262" t="s">
        <v>38</v>
      </c>
      <c r="F262" t="s">
        <v>23</v>
      </c>
      <c r="G262">
        <v>41814.199999999997</v>
      </c>
      <c r="H262">
        <v>32184.68</v>
      </c>
      <c r="I262">
        <v>9629.52</v>
      </c>
      <c r="J262">
        <v>15978.35</v>
      </c>
      <c r="K262">
        <v>28962.11</v>
      </c>
      <c r="L262">
        <v>63198.75</v>
      </c>
      <c r="M262">
        <v>476</v>
      </c>
      <c r="N262">
        <v>-5.9799999999999999E-2</v>
      </c>
      <c r="O262">
        <f t="shared" si="8"/>
        <v>0.2303</v>
      </c>
      <c r="P262">
        <f t="shared" si="9"/>
        <v>0.45829999999999999</v>
      </c>
      <c r="Q262" t="s">
        <v>76</v>
      </c>
      <c r="R262">
        <v>2022</v>
      </c>
      <c r="S262" t="s">
        <v>40</v>
      </c>
    </row>
    <row r="263" spans="1:19" x14ac:dyDescent="0.3">
      <c r="A263" t="s">
        <v>336</v>
      </c>
      <c r="B263">
        <v>45268</v>
      </c>
      <c r="C263" t="s">
        <v>30</v>
      </c>
      <c r="D263" t="s">
        <v>31</v>
      </c>
      <c r="E263" t="s">
        <v>32</v>
      </c>
      <c r="F263" t="s">
        <v>23</v>
      </c>
      <c r="G263">
        <v>54774.601600000002</v>
      </c>
      <c r="H263">
        <v>46841.69</v>
      </c>
      <c r="I263">
        <v>7932.91</v>
      </c>
      <c r="J263">
        <v>87971.8</v>
      </c>
      <c r="K263">
        <v>2967.47</v>
      </c>
      <c r="L263">
        <v>262748.26</v>
      </c>
      <c r="M263">
        <v>832</v>
      </c>
      <c r="N263">
        <v>0.06</v>
      </c>
      <c r="O263">
        <f t="shared" si="8"/>
        <v>0.14480000000000001</v>
      </c>
      <c r="P263">
        <f t="shared" si="9"/>
        <v>1.1299999999999999E-2</v>
      </c>
      <c r="Q263" t="s">
        <v>44</v>
      </c>
      <c r="R263">
        <v>2023</v>
      </c>
      <c r="S263" t="s">
        <v>25</v>
      </c>
    </row>
    <row r="264" spans="1:19" x14ac:dyDescent="0.3">
      <c r="A264" t="s">
        <v>337</v>
      </c>
      <c r="B264">
        <v>45386</v>
      </c>
      <c r="C264" t="s">
        <v>27</v>
      </c>
      <c r="D264" t="s">
        <v>28</v>
      </c>
      <c r="E264" t="s">
        <v>22</v>
      </c>
      <c r="F264" t="s">
        <v>23</v>
      </c>
      <c r="G264">
        <v>47935.71</v>
      </c>
      <c r="H264">
        <v>32788.28</v>
      </c>
      <c r="I264">
        <v>15147.43</v>
      </c>
      <c r="J264">
        <v>36090.03</v>
      </c>
      <c r="K264">
        <v>13451.74</v>
      </c>
      <c r="L264">
        <v>133259.48000000001</v>
      </c>
      <c r="M264">
        <v>1404</v>
      </c>
      <c r="N264">
        <v>-2.2000000000000001E-3</v>
      </c>
      <c r="O264">
        <f t="shared" si="8"/>
        <v>0.316</v>
      </c>
      <c r="P264">
        <f t="shared" si="9"/>
        <v>0.1009</v>
      </c>
      <c r="Q264" t="s">
        <v>111</v>
      </c>
      <c r="R264">
        <v>2024</v>
      </c>
      <c r="S264" t="s">
        <v>25</v>
      </c>
    </row>
    <row r="265" spans="1:19" x14ac:dyDescent="0.3">
      <c r="A265" t="s">
        <v>338</v>
      </c>
      <c r="B265">
        <v>45405</v>
      </c>
      <c r="C265" t="s">
        <v>85</v>
      </c>
      <c r="D265" t="s">
        <v>86</v>
      </c>
      <c r="E265" t="s">
        <v>22</v>
      </c>
      <c r="F265" t="s">
        <v>23</v>
      </c>
      <c r="G265">
        <v>113731.15</v>
      </c>
      <c r="H265">
        <v>93771.520000000004</v>
      </c>
      <c r="I265">
        <v>19959.63</v>
      </c>
      <c r="J265">
        <v>14703.55</v>
      </c>
      <c r="K265">
        <v>21995.99</v>
      </c>
      <c r="L265">
        <v>154818.38</v>
      </c>
      <c r="M265">
        <v>556</v>
      </c>
      <c r="N265">
        <v>-7.9899999999999999E-2</v>
      </c>
      <c r="O265">
        <f t="shared" si="8"/>
        <v>0.17549999999999999</v>
      </c>
      <c r="P265">
        <f t="shared" si="9"/>
        <v>0.1421</v>
      </c>
      <c r="Q265" t="s">
        <v>111</v>
      </c>
      <c r="R265">
        <v>2024</v>
      </c>
      <c r="S265" t="s">
        <v>25</v>
      </c>
    </row>
    <row r="266" spans="1:19" x14ac:dyDescent="0.3">
      <c r="A266" t="s">
        <v>339</v>
      </c>
      <c r="B266">
        <v>44767</v>
      </c>
      <c r="C266" t="s">
        <v>78</v>
      </c>
      <c r="D266" t="s">
        <v>79</v>
      </c>
      <c r="E266" t="s">
        <v>38</v>
      </c>
      <c r="F266" t="s">
        <v>23</v>
      </c>
      <c r="G266">
        <v>57924.98</v>
      </c>
      <c r="H266">
        <v>53281.2</v>
      </c>
      <c r="I266">
        <v>4643.78</v>
      </c>
      <c r="J266">
        <v>18456.259999999998</v>
      </c>
      <c r="K266">
        <v>8942.91</v>
      </c>
      <c r="L266">
        <v>60726.31</v>
      </c>
      <c r="M266">
        <v>1006</v>
      </c>
      <c r="N266">
        <v>0.12770000000000001</v>
      </c>
      <c r="O266">
        <f t="shared" si="8"/>
        <v>8.0199999999999994E-2</v>
      </c>
      <c r="P266">
        <f t="shared" si="9"/>
        <v>0.14729999999999999</v>
      </c>
      <c r="Q266" t="s">
        <v>76</v>
      </c>
      <c r="R266">
        <v>2022</v>
      </c>
      <c r="S266" t="s">
        <v>25</v>
      </c>
    </row>
    <row r="267" spans="1:19" x14ac:dyDescent="0.3">
      <c r="A267" t="s">
        <v>340</v>
      </c>
      <c r="B267">
        <v>45499</v>
      </c>
      <c r="C267" t="s">
        <v>102</v>
      </c>
      <c r="D267" t="s">
        <v>103</v>
      </c>
      <c r="E267" t="s">
        <v>22</v>
      </c>
      <c r="F267" t="s">
        <v>23</v>
      </c>
      <c r="G267">
        <v>42625.64</v>
      </c>
      <c r="H267">
        <v>35755.82</v>
      </c>
      <c r="I267">
        <v>6869.82</v>
      </c>
      <c r="J267">
        <v>47370.73</v>
      </c>
      <c r="K267">
        <v>42394.94</v>
      </c>
      <c r="L267">
        <v>112165.62</v>
      </c>
      <c r="M267">
        <v>439</v>
      </c>
      <c r="N267">
        <v>6.9500000000000006E-2</v>
      </c>
      <c r="O267">
        <f t="shared" si="8"/>
        <v>0.16120000000000001</v>
      </c>
      <c r="P267">
        <f t="shared" si="9"/>
        <v>0.378</v>
      </c>
      <c r="Q267" t="s">
        <v>72</v>
      </c>
      <c r="R267">
        <v>2024</v>
      </c>
      <c r="S267" t="s">
        <v>40</v>
      </c>
    </row>
    <row r="268" spans="1:19" x14ac:dyDescent="0.3">
      <c r="A268" t="s">
        <v>341</v>
      </c>
      <c r="B268">
        <v>45430</v>
      </c>
      <c r="C268" t="s">
        <v>78</v>
      </c>
      <c r="D268" t="s">
        <v>79</v>
      </c>
      <c r="E268" t="s">
        <v>38</v>
      </c>
      <c r="F268" t="s">
        <v>23</v>
      </c>
      <c r="G268">
        <v>74731.960000000006</v>
      </c>
      <c r="H268">
        <v>55173.82</v>
      </c>
      <c r="I268">
        <v>19558.14</v>
      </c>
      <c r="J268">
        <v>16825.93</v>
      </c>
      <c r="K268">
        <v>43712.02</v>
      </c>
      <c r="L268">
        <v>69013.649999999994</v>
      </c>
      <c r="M268">
        <v>1141</v>
      </c>
      <c r="N268">
        <v>7.6600000000000001E-2</v>
      </c>
      <c r="O268">
        <f t="shared" si="8"/>
        <v>0.26169999999999999</v>
      </c>
      <c r="P268">
        <f t="shared" si="9"/>
        <v>0.63339999999999996</v>
      </c>
      <c r="Q268" t="s">
        <v>111</v>
      </c>
      <c r="R268">
        <v>2024</v>
      </c>
      <c r="S268" t="s">
        <v>82</v>
      </c>
    </row>
    <row r="269" spans="1:19" x14ac:dyDescent="0.3">
      <c r="A269" t="s">
        <v>342</v>
      </c>
      <c r="B269">
        <v>45586</v>
      </c>
      <c r="C269" t="s">
        <v>20</v>
      </c>
      <c r="D269" t="s">
        <v>21</v>
      </c>
      <c r="E269" t="s">
        <v>32</v>
      </c>
      <c r="F269" t="s">
        <v>23</v>
      </c>
      <c r="G269">
        <v>63821.647349999999</v>
      </c>
      <c r="H269">
        <v>35830.589999999997</v>
      </c>
      <c r="I269">
        <v>27991.06</v>
      </c>
      <c r="J269">
        <v>72763.62</v>
      </c>
      <c r="K269">
        <v>51475.28</v>
      </c>
      <c r="L269">
        <v>102496.68</v>
      </c>
      <c r="M269" t="s">
        <v>1281</v>
      </c>
      <c r="N269">
        <v>9.5600000000000004E-2</v>
      </c>
      <c r="O269">
        <f t="shared" si="8"/>
        <v>0.43859999999999999</v>
      </c>
      <c r="P269">
        <f t="shared" si="9"/>
        <v>0.50219999999999998</v>
      </c>
      <c r="Q269" t="s">
        <v>52</v>
      </c>
      <c r="R269">
        <v>2024</v>
      </c>
      <c r="S269" t="s">
        <v>40</v>
      </c>
    </row>
    <row r="270" spans="1:19" x14ac:dyDescent="0.3">
      <c r="A270" t="s">
        <v>343</v>
      </c>
      <c r="B270">
        <v>45524</v>
      </c>
      <c r="C270" t="s">
        <v>20</v>
      </c>
      <c r="D270" t="s">
        <v>21</v>
      </c>
      <c r="E270" t="s">
        <v>32</v>
      </c>
      <c r="F270" t="s">
        <v>23</v>
      </c>
      <c r="G270">
        <v>193845.54590000003</v>
      </c>
      <c r="H270">
        <v>134388.81</v>
      </c>
      <c r="I270">
        <v>59456.74</v>
      </c>
      <c r="J270">
        <v>3514.44</v>
      </c>
      <c r="K270">
        <v>22383.58</v>
      </c>
      <c r="L270">
        <v>89358.94</v>
      </c>
      <c r="M270">
        <v>1117</v>
      </c>
      <c r="N270">
        <v>0.1036</v>
      </c>
      <c r="O270">
        <f t="shared" si="8"/>
        <v>0.30669999999999997</v>
      </c>
      <c r="P270">
        <f t="shared" si="9"/>
        <v>0.2505</v>
      </c>
      <c r="Q270" t="s">
        <v>72</v>
      </c>
      <c r="R270">
        <v>2024</v>
      </c>
      <c r="S270" t="s">
        <v>25</v>
      </c>
    </row>
    <row r="271" spans="1:19" x14ac:dyDescent="0.3">
      <c r="A271" t="s">
        <v>344</v>
      </c>
      <c r="B271">
        <v>45289</v>
      </c>
      <c r="C271" t="s">
        <v>1282</v>
      </c>
      <c r="D271" t="s">
        <v>69</v>
      </c>
      <c r="E271" t="s">
        <v>32</v>
      </c>
      <c r="F271" t="s">
        <v>23</v>
      </c>
      <c r="G271">
        <v>149365.81105000002</v>
      </c>
      <c r="H271">
        <v>112349.86</v>
      </c>
      <c r="I271">
        <v>37015.949999999997</v>
      </c>
      <c r="J271">
        <v>56277.39</v>
      </c>
      <c r="K271">
        <v>132029.84</v>
      </c>
      <c r="L271">
        <v>126917.75</v>
      </c>
      <c r="M271">
        <v>806</v>
      </c>
      <c r="N271">
        <v>3.0200000000000001E-2</v>
      </c>
      <c r="O271">
        <f t="shared" si="8"/>
        <v>0.24779999999999999</v>
      </c>
      <c r="P271">
        <f t="shared" si="9"/>
        <v>1.0403</v>
      </c>
      <c r="Q271" t="s">
        <v>44</v>
      </c>
      <c r="R271">
        <v>2023</v>
      </c>
      <c r="S271" t="s">
        <v>82</v>
      </c>
    </row>
    <row r="272" spans="1:19" x14ac:dyDescent="0.3">
      <c r="A272" t="s">
        <v>345</v>
      </c>
      <c r="B272">
        <v>45452</v>
      </c>
      <c r="C272" t="s">
        <v>30</v>
      </c>
      <c r="D272" t="s">
        <v>31</v>
      </c>
      <c r="E272" t="s">
        <v>51</v>
      </c>
      <c r="F272" t="s">
        <v>23</v>
      </c>
      <c r="G272">
        <v>82591.05</v>
      </c>
      <c r="H272">
        <v>66117.97</v>
      </c>
      <c r="I272">
        <v>16473.080000000002</v>
      </c>
      <c r="J272">
        <v>38597.72</v>
      </c>
      <c r="K272">
        <v>8173.72</v>
      </c>
      <c r="L272">
        <v>166777.51999999999</v>
      </c>
      <c r="M272">
        <v>900</v>
      </c>
      <c r="N272">
        <v>0.1115</v>
      </c>
      <c r="O272">
        <f t="shared" si="8"/>
        <v>0.19950000000000001</v>
      </c>
      <c r="P272">
        <f t="shared" si="9"/>
        <v>4.9000000000000002E-2</v>
      </c>
      <c r="Q272" t="s">
        <v>111</v>
      </c>
      <c r="R272">
        <v>2024</v>
      </c>
      <c r="S272" t="s">
        <v>25</v>
      </c>
    </row>
    <row r="273" spans="1:19" x14ac:dyDescent="0.3">
      <c r="A273" t="s">
        <v>346</v>
      </c>
      <c r="B273">
        <v>44936</v>
      </c>
      <c r="C273" t="s">
        <v>102</v>
      </c>
      <c r="D273" t="s">
        <v>103</v>
      </c>
      <c r="E273" t="s">
        <v>38</v>
      </c>
      <c r="F273" t="s">
        <v>23</v>
      </c>
      <c r="G273">
        <v>160775.39000000001</v>
      </c>
      <c r="H273">
        <v>142326.76999999999</v>
      </c>
      <c r="I273">
        <v>18448.62</v>
      </c>
      <c r="J273">
        <v>39453.39</v>
      </c>
      <c r="K273">
        <v>28446.99</v>
      </c>
      <c r="L273">
        <v>76509.06</v>
      </c>
      <c r="M273">
        <v>571</v>
      </c>
      <c r="N273">
        <v>-7.2599999999999998E-2</v>
      </c>
      <c r="O273">
        <f t="shared" si="8"/>
        <v>0.1147</v>
      </c>
      <c r="P273">
        <f t="shared" si="9"/>
        <v>0.37180000000000002</v>
      </c>
      <c r="Q273" t="s">
        <v>118</v>
      </c>
      <c r="R273">
        <v>2023</v>
      </c>
      <c r="S273" t="s">
        <v>40</v>
      </c>
    </row>
    <row r="274" spans="1:19" x14ac:dyDescent="0.3">
      <c r="A274" t="s">
        <v>347</v>
      </c>
      <c r="B274">
        <v>45463</v>
      </c>
      <c r="C274" t="s">
        <v>54</v>
      </c>
      <c r="D274" t="s">
        <v>55</v>
      </c>
      <c r="E274" t="s">
        <v>32</v>
      </c>
      <c r="F274" t="s">
        <v>23</v>
      </c>
      <c r="G274">
        <v>184783.68385</v>
      </c>
      <c r="H274">
        <v>129288.55</v>
      </c>
      <c r="I274">
        <v>55495.14</v>
      </c>
      <c r="J274">
        <v>20485.97</v>
      </c>
      <c r="K274">
        <v>20065.62</v>
      </c>
      <c r="L274">
        <v>39537.19</v>
      </c>
      <c r="M274">
        <v>543</v>
      </c>
      <c r="N274">
        <v>0.1027</v>
      </c>
      <c r="O274">
        <f t="shared" si="8"/>
        <v>0.30030000000000001</v>
      </c>
      <c r="P274">
        <f t="shared" si="9"/>
        <v>0.50749999999999995</v>
      </c>
      <c r="Q274" t="s">
        <v>111</v>
      </c>
      <c r="R274">
        <v>2024</v>
      </c>
      <c r="S274" t="s">
        <v>40</v>
      </c>
    </row>
    <row r="275" spans="1:19" x14ac:dyDescent="0.3">
      <c r="A275" t="s">
        <v>348</v>
      </c>
      <c r="B275">
        <v>45013</v>
      </c>
      <c r="C275" t="s">
        <v>1282</v>
      </c>
      <c r="D275" t="s">
        <v>69</v>
      </c>
      <c r="E275" t="s">
        <v>38</v>
      </c>
      <c r="F275" t="s">
        <v>23</v>
      </c>
      <c r="G275">
        <v>50850.92</v>
      </c>
      <c r="H275">
        <v>42662.32</v>
      </c>
      <c r="I275">
        <v>8188.6</v>
      </c>
      <c r="J275">
        <v>41691.040000000001</v>
      </c>
      <c r="K275">
        <v>39288.93</v>
      </c>
      <c r="L275">
        <v>204729.59</v>
      </c>
      <c r="M275">
        <v>886</v>
      </c>
      <c r="N275">
        <v>-0.01</v>
      </c>
      <c r="O275">
        <f t="shared" si="8"/>
        <v>0.161</v>
      </c>
      <c r="P275">
        <f t="shared" si="9"/>
        <v>0.19189999999999999</v>
      </c>
      <c r="Q275" t="s">
        <v>118</v>
      </c>
      <c r="R275">
        <v>2023</v>
      </c>
      <c r="S275" t="s">
        <v>25</v>
      </c>
    </row>
    <row r="276" spans="1:19" x14ac:dyDescent="0.3">
      <c r="A276" t="s">
        <v>349</v>
      </c>
      <c r="B276">
        <v>45079</v>
      </c>
      <c r="C276" t="s">
        <v>61</v>
      </c>
      <c r="D276" t="s">
        <v>74</v>
      </c>
      <c r="E276" t="s">
        <v>38</v>
      </c>
      <c r="F276" t="s">
        <v>23</v>
      </c>
      <c r="G276">
        <v>94118.57</v>
      </c>
      <c r="H276">
        <v>71109.72</v>
      </c>
      <c r="I276">
        <v>23008.85</v>
      </c>
      <c r="J276">
        <v>33762.6</v>
      </c>
      <c r="K276">
        <v>35344.629999999997</v>
      </c>
      <c r="L276">
        <v>56559.06</v>
      </c>
      <c r="M276" t="s">
        <v>1281</v>
      </c>
      <c r="N276">
        <v>-9.8299999999999998E-2</v>
      </c>
      <c r="O276">
        <f t="shared" si="8"/>
        <v>0.2445</v>
      </c>
      <c r="P276">
        <f t="shared" si="9"/>
        <v>0.62490000000000001</v>
      </c>
      <c r="Q276" t="s">
        <v>39</v>
      </c>
      <c r="R276">
        <v>2023</v>
      </c>
      <c r="S276" t="s">
        <v>82</v>
      </c>
    </row>
    <row r="277" spans="1:19" x14ac:dyDescent="0.3">
      <c r="A277" t="s">
        <v>350</v>
      </c>
      <c r="B277">
        <v>45339</v>
      </c>
      <c r="C277" t="s">
        <v>20</v>
      </c>
      <c r="D277" t="s">
        <v>21</v>
      </c>
      <c r="E277" t="s">
        <v>38</v>
      </c>
      <c r="F277" t="s">
        <v>23</v>
      </c>
      <c r="G277">
        <v>221608.57</v>
      </c>
      <c r="H277">
        <v>173599.11</v>
      </c>
      <c r="I277">
        <v>48009.46</v>
      </c>
      <c r="J277">
        <v>35720.15</v>
      </c>
      <c r="K277">
        <v>120258.43</v>
      </c>
      <c r="L277">
        <v>122137.35</v>
      </c>
      <c r="M277">
        <v>1021</v>
      </c>
      <c r="N277">
        <v>-7.0000000000000007E-2</v>
      </c>
      <c r="O277">
        <f t="shared" si="8"/>
        <v>0.21659999999999999</v>
      </c>
      <c r="P277">
        <f t="shared" si="9"/>
        <v>0.98460000000000003</v>
      </c>
      <c r="Q277" t="s">
        <v>80</v>
      </c>
      <c r="R277">
        <v>2024</v>
      </c>
      <c r="S277" t="s">
        <v>82</v>
      </c>
    </row>
    <row r="278" spans="1:19" x14ac:dyDescent="0.3">
      <c r="A278" t="s">
        <v>351</v>
      </c>
      <c r="B278">
        <v>44791</v>
      </c>
      <c r="C278" t="s">
        <v>54</v>
      </c>
      <c r="D278" t="s">
        <v>55</v>
      </c>
      <c r="E278" t="s">
        <v>38</v>
      </c>
      <c r="F278" t="s">
        <v>23</v>
      </c>
      <c r="G278">
        <v>67791.39</v>
      </c>
      <c r="H278">
        <v>54737.83</v>
      </c>
      <c r="I278">
        <v>13053.56</v>
      </c>
      <c r="J278">
        <v>19807.95</v>
      </c>
      <c r="K278">
        <v>13243.16</v>
      </c>
      <c r="L278">
        <v>75724.7</v>
      </c>
      <c r="M278">
        <v>2254</v>
      </c>
      <c r="N278">
        <v>6.7799999999999999E-2</v>
      </c>
      <c r="O278">
        <f t="shared" si="8"/>
        <v>0.19259999999999999</v>
      </c>
      <c r="P278">
        <f t="shared" si="9"/>
        <v>0.1749</v>
      </c>
      <c r="Q278" t="s">
        <v>76</v>
      </c>
      <c r="R278">
        <v>2022</v>
      </c>
      <c r="S278" t="s">
        <v>25</v>
      </c>
    </row>
    <row r="279" spans="1:19" x14ac:dyDescent="0.3">
      <c r="A279" t="s">
        <v>352</v>
      </c>
      <c r="B279">
        <v>45868</v>
      </c>
      <c r="C279" t="s">
        <v>85</v>
      </c>
      <c r="D279" t="s">
        <v>86</v>
      </c>
      <c r="E279" t="s">
        <v>51</v>
      </c>
      <c r="F279" t="s">
        <v>23</v>
      </c>
      <c r="G279">
        <v>158489.31</v>
      </c>
      <c r="H279">
        <v>122940.59</v>
      </c>
      <c r="I279">
        <v>35548.720000000001</v>
      </c>
      <c r="J279">
        <v>66807.66</v>
      </c>
      <c r="K279">
        <v>10959.52</v>
      </c>
      <c r="L279">
        <v>96895.39</v>
      </c>
      <c r="M279">
        <v>1419</v>
      </c>
      <c r="N279">
        <v>3.04E-2</v>
      </c>
      <c r="O279">
        <f t="shared" si="8"/>
        <v>0.2243</v>
      </c>
      <c r="P279">
        <f t="shared" si="9"/>
        <v>0.11310000000000001</v>
      </c>
      <c r="Q279" t="s">
        <v>24</v>
      </c>
      <c r="R279">
        <v>2025</v>
      </c>
      <c r="S279" t="s">
        <v>25</v>
      </c>
    </row>
    <row r="280" spans="1:19" x14ac:dyDescent="0.3">
      <c r="A280" t="s">
        <v>353</v>
      </c>
      <c r="B280">
        <v>44827</v>
      </c>
      <c r="C280" t="s">
        <v>48</v>
      </c>
      <c r="D280" t="s">
        <v>49</v>
      </c>
      <c r="E280" t="s">
        <v>38</v>
      </c>
      <c r="F280" t="s">
        <v>23</v>
      </c>
      <c r="G280">
        <v>31495.02</v>
      </c>
      <c r="H280">
        <v>28265.24</v>
      </c>
      <c r="I280">
        <v>3229.78</v>
      </c>
      <c r="J280">
        <v>46861.74</v>
      </c>
      <c r="K280">
        <v>8470.85</v>
      </c>
      <c r="L280">
        <v>221900.02</v>
      </c>
      <c r="M280">
        <v>957</v>
      </c>
      <c r="N280">
        <v>-2.76E-2</v>
      </c>
      <c r="O280">
        <f t="shared" si="8"/>
        <v>0.10249999999999999</v>
      </c>
      <c r="P280">
        <f t="shared" si="9"/>
        <v>3.8199999999999998E-2</v>
      </c>
      <c r="Q280" t="s">
        <v>76</v>
      </c>
      <c r="R280">
        <v>2022</v>
      </c>
      <c r="S280" t="s">
        <v>25</v>
      </c>
    </row>
    <row r="281" spans="1:19" x14ac:dyDescent="0.3">
      <c r="A281" t="s">
        <v>354</v>
      </c>
      <c r="B281">
        <v>45722</v>
      </c>
      <c r="C281" t="s">
        <v>42</v>
      </c>
      <c r="D281" t="s">
        <v>43</v>
      </c>
      <c r="E281" t="s">
        <v>51</v>
      </c>
      <c r="F281" t="s">
        <v>23</v>
      </c>
      <c r="G281">
        <v>106068.18</v>
      </c>
      <c r="H281">
        <v>73997.73</v>
      </c>
      <c r="I281">
        <v>32070.45</v>
      </c>
      <c r="J281">
        <v>31459.81</v>
      </c>
      <c r="K281">
        <v>19765.5</v>
      </c>
      <c r="L281">
        <v>113530.76</v>
      </c>
      <c r="M281">
        <v>608</v>
      </c>
      <c r="N281">
        <v>-5.9999999999999995E-4</v>
      </c>
      <c r="O281">
        <f t="shared" si="8"/>
        <v>0.3024</v>
      </c>
      <c r="P281">
        <f t="shared" si="9"/>
        <v>0.1741</v>
      </c>
      <c r="Q281" t="s">
        <v>106</v>
      </c>
      <c r="R281">
        <v>2025</v>
      </c>
      <c r="S281" t="s">
        <v>25</v>
      </c>
    </row>
    <row r="282" spans="1:19" x14ac:dyDescent="0.3">
      <c r="A282" t="s">
        <v>355</v>
      </c>
      <c r="B282">
        <v>45994</v>
      </c>
      <c r="C282" t="s">
        <v>54</v>
      </c>
      <c r="D282" t="s">
        <v>55</v>
      </c>
      <c r="E282" t="s">
        <v>38</v>
      </c>
      <c r="F282" t="s">
        <v>23</v>
      </c>
      <c r="G282" t="s">
        <v>1281</v>
      </c>
      <c r="H282">
        <v>18306</v>
      </c>
      <c r="I282" t="s">
        <v>1281</v>
      </c>
      <c r="J282">
        <v>24165.85</v>
      </c>
      <c r="K282">
        <v>109061.49</v>
      </c>
      <c r="L282">
        <v>192901.84</v>
      </c>
      <c r="M282">
        <v>501</v>
      </c>
      <c r="N282">
        <v>6.1699999999999998E-2</v>
      </c>
      <c r="O282" t="s">
        <v>1281</v>
      </c>
      <c r="P282">
        <f t="shared" si="9"/>
        <v>0.56540000000000001</v>
      </c>
      <c r="Q282" t="s">
        <v>66</v>
      </c>
      <c r="R282">
        <v>2025</v>
      </c>
      <c r="S282" t="s">
        <v>40</v>
      </c>
    </row>
    <row r="283" spans="1:19" x14ac:dyDescent="0.3">
      <c r="A283" t="s">
        <v>356</v>
      </c>
      <c r="B283">
        <v>44600</v>
      </c>
      <c r="C283" t="s">
        <v>42</v>
      </c>
      <c r="D283" t="s">
        <v>43</v>
      </c>
      <c r="E283" t="s">
        <v>38</v>
      </c>
      <c r="F283" t="s">
        <v>23</v>
      </c>
      <c r="G283">
        <v>88543.19</v>
      </c>
      <c r="H283">
        <v>72900.05</v>
      </c>
      <c r="I283">
        <v>15643.14</v>
      </c>
      <c r="J283">
        <v>27886.959999999999</v>
      </c>
      <c r="K283">
        <v>15384.51</v>
      </c>
      <c r="L283">
        <v>59053.87</v>
      </c>
      <c r="M283" t="s">
        <v>1281</v>
      </c>
      <c r="N283">
        <v>-1.26E-2</v>
      </c>
      <c r="O283">
        <f t="shared" si="8"/>
        <v>0.1767</v>
      </c>
      <c r="P283">
        <f t="shared" si="9"/>
        <v>0.26050000000000001</v>
      </c>
      <c r="Q283" t="s">
        <v>90</v>
      </c>
      <c r="R283">
        <v>2022</v>
      </c>
      <c r="S283" t="s">
        <v>25</v>
      </c>
    </row>
    <row r="284" spans="1:19" x14ac:dyDescent="0.3">
      <c r="A284" t="s">
        <v>357</v>
      </c>
      <c r="B284">
        <v>44899</v>
      </c>
      <c r="C284" t="s">
        <v>61</v>
      </c>
      <c r="D284" t="s">
        <v>74</v>
      </c>
      <c r="E284" t="s">
        <v>32</v>
      </c>
      <c r="F284" t="s">
        <v>23</v>
      </c>
      <c r="G284">
        <v>32035.794700000002</v>
      </c>
      <c r="H284">
        <v>28109.38</v>
      </c>
      <c r="I284">
        <v>3926.41</v>
      </c>
      <c r="J284">
        <v>17041.64</v>
      </c>
      <c r="K284">
        <v>27671.75</v>
      </c>
      <c r="L284">
        <v>28311.599999999999</v>
      </c>
      <c r="M284">
        <v>1356</v>
      </c>
      <c r="N284">
        <v>-4.2000000000000003E-2</v>
      </c>
      <c r="O284">
        <f t="shared" si="8"/>
        <v>0.1226</v>
      </c>
      <c r="P284">
        <f t="shared" si="9"/>
        <v>0.97740000000000005</v>
      </c>
      <c r="Q284" t="s">
        <v>46</v>
      </c>
      <c r="R284">
        <v>2022</v>
      </c>
      <c r="S284" t="s">
        <v>82</v>
      </c>
    </row>
    <row r="285" spans="1:19" x14ac:dyDescent="0.3">
      <c r="A285" t="s">
        <v>358</v>
      </c>
      <c r="B285">
        <v>45394</v>
      </c>
      <c r="C285" t="s">
        <v>30</v>
      </c>
      <c r="D285" t="s">
        <v>31</v>
      </c>
      <c r="E285" t="s">
        <v>22</v>
      </c>
      <c r="F285" t="s">
        <v>23</v>
      </c>
      <c r="G285">
        <v>138056.63</v>
      </c>
      <c r="H285">
        <v>97768.03</v>
      </c>
      <c r="I285">
        <v>40288.6</v>
      </c>
      <c r="J285">
        <v>19399.62</v>
      </c>
      <c r="K285">
        <v>43395.98</v>
      </c>
      <c r="L285">
        <v>57985.37</v>
      </c>
      <c r="M285">
        <v>1318</v>
      </c>
      <c r="N285">
        <v>-1.9199999999999998E-2</v>
      </c>
      <c r="O285">
        <f t="shared" si="8"/>
        <v>0.2918</v>
      </c>
      <c r="P285">
        <f t="shared" si="9"/>
        <v>0.74839999999999995</v>
      </c>
      <c r="Q285" t="s">
        <v>111</v>
      </c>
      <c r="R285">
        <v>2024</v>
      </c>
      <c r="S285" t="s">
        <v>82</v>
      </c>
    </row>
    <row r="286" spans="1:19" x14ac:dyDescent="0.3">
      <c r="A286" t="s">
        <v>359</v>
      </c>
      <c r="B286" s="4">
        <v>45210</v>
      </c>
      <c r="C286" t="s">
        <v>48</v>
      </c>
      <c r="D286" t="s">
        <v>49</v>
      </c>
      <c r="E286" t="s">
        <v>22</v>
      </c>
      <c r="F286" t="s">
        <v>23</v>
      </c>
      <c r="G286">
        <v>140023.32999999999</v>
      </c>
      <c r="H286">
        <v>110064.37</v>
      </c>
      <c r="I286">
        <v>29958.959999999999</v>
      </c>
      <c r="J286">
        <v>27834.91</v>
      </c>
      <c r="K286">
        <v>26856.6</v>
      </c>
      <c r="L286">
        <v>183279.44</v>
      </c>
      <c r="M286">
        <v>534</v>
      </c>
      <c r="N286">
        <v>1.8499999999999999E-2</v>
      </c>
      <c r="O286">
        <f t="shared" si="8"/>
        <v>0.214</v>
      </c>
      <c r="P286">
        <f t="shared" si="9"/>
        <v>0.14649999999999999</v>
      </c>
      <c r="Q286" t="s">
        <v>44</v>
      </c>
      <c r="R286">
        <v>2023</v>
      </c>
      <c r="S286" t="s">
        <v>25</v>
      </c>
    </row>
    <row r="287" spans="1:19" x14ac:dyDescent="0.3">
      <c r="A287" t="s">
        <v>360</v>
      </c>
      <c r="B287">
        <v>44624</v>
      </c>
      <c r="C287" t="s">
        <v>36</v>
      </c>
      <c r="D287" t="s">
        <v>37</v>
      </c>
      <c r="E287" t="s">
        <v>32</v>
      </c>
      <c r="F287" t="s">
        <v>23</v>
      </c>
      <c r="G287">
        <v>61329.818200000002</v>
      </c>
      <c r="H287">
        <v>34228.65</v>
      </c>
      <c r="I287">
        <v>27101.17</v>
      </c>
      <c r="J287">
        <v>10872.06</v>
      </c>
      <c r="K287">
        <v>31436.2</v>
      </c>
      <c r="L287">
        <v>27118.83</v>
      </c>
      <c r="M287">
        <v>892</v>
      </c>
      <c r="N287">
        <v>-4.1700000000000001E-2</v>
      </c>
      <c r="O287">
        <f t="shared" si="8"/>
        <v>0.44190000000000002</v>
      </c>
      <c r="P287">
        <f t="shared" si="9"/>
        <v>1.1592</v>
      </c>
      <c r="Q287" t="s">
        <v>90</v>
      </c>
      <c r="R287">
        <v>2022</v>
      </c>
      <c r="S287" t="s">
        <v>82</v>
      </c>
    </row>
    <row r="288" spans="1:19" x14ac:dyDescent="0.3">
      <c r="A288" t="s">
        <v>361</v>
      </c>
      <c r="B288">
        <v>45714</v>
      </c>
      <c r="C288" t="s">
        <v>42</v>
      </c>
      <c r="D288" t="s">
        <v>43</v>
      </c>
      <c r="E288" t="s">
        <v>38</v>
      </c>
      <c r="F288" t="s">
        <v>23</v>
      </c>
      <c r="G288">
        <v>53075.47</v>
      </c>
      <c r="H288">
        <v>42057.760000000002</v>
      </c>
      <c r="I288">
        <v>11017.71</v>
      </c>
      <c r="J288">
        <v>90268.37</v>
      </c>
      <c r="K288">
        <v>15376.71</v>
      </c>
      <c r="L288">
        <v>131655.76</v>
      </c>
      <c r="M288">
        <v>1146</v>
      </c>
      <c r="N288">
        <v>-6.7900000000000002E-2</v>
      </c>
      <c r="O288">
        <f t="shared" si="8"/>
        <v>0.20760000000000001</v>
      </c>
      <c r="P288">
        <f t="shared" si="9"/>
        <v>0.1168</v>
      </c>
      <c r="Q288" t="s">
        <v>106</v>
      </c>
      <c r="R288">
        <v>2025</v>
      </c>
      <c r="S288" t="s">
        <v>25</v>
      </c>
    </row>
    <row r="289" spans="1:19" x14ac:dyDescent="0.3">
      <c r="A289" t="s">
        <v>362</v>
      </c>
      <c r="B289">
        <v>44864</v>
      </c>
      <c r="C289" t="s">
        <v>20</v>
      </c>
      <c r="D289" t="s">
        <v>21</v>
      </c>
      <c r="E289" t="s">
        <v>22</v>
      </c>
      <c r="F289" t="s">
        <v>23</v>
      </c>
      <c r="G289">
        <v>46567.93</v>
      </c>
      <c r="H289">
        <v>30595.1</v>
      </c>
      <c r="I289">
        <v>15972.83</v>
      </c>
      <c r="J289">
        <v>41397.910000000003</v>
      </c>
      <c r="K289">
        <v>11292.34</v>
      </c>
      <c r="L289">
        <v>73637.23</v>
      </c>
      <c r="M289">
        <v>3384</v>
      </c>
      <c r="N289">
        <v>0.10340000000000001</v>
      </c>
      <c r="O289">
        <f t="shared" si="8"/>
        <v>0.34300000000000003</v>
      </c>
      <c r="P289">
        <f t="shared" si="9"/>
        <v>0.15340000000000001</v>
      </c>
      <c r="Q289" t="s">
        <v>46</v>
      </c>
      <c r="R289">
        <v>2022</v>
      </c>
      <c r="S289" t="s">
        <v>25</v>
      </c>
    </row>
    <row r="290" spans="1:19" x14ac:dyDescent="0.3">
      <c r="A290" t="s">
        <v>363</v>
      </c>
      <c r="B290">
        <v>44613</v>
      </c>
      <c r="C290" t="s">
        <v>27</v>
      </c>
      <c r="D290" t="s">
        <v>28</v>
      </c>
      <c r="E290" t="s">
        <v>22</v>
      </c>
      <c r="F290" t="s">
        <v>23</v>
      </c>
      <c r="G290">
        <v>78585.58</v>
      </c>
      <c r="H290">
        <v>49504.38</v>
      </c>
      <c r="I290">
        <v>29081.200000000001</v>
      </c>
      <c r="J290">
        <v>35881.96</v>
      </c>
      <c r="K290">
        <v>42155.55</v>
      </c>
      <c r="L290">
        <v>130237.1</v>
      </c>
      <c r="M290">
        <v>481</v>
      </c>
      <c r="N290">
        <v>0.1187</v>
      </c>
      <c r="O290">
        <f t="shared" si="8"/>
        <v>0.37009999999999998</v>
      </c>
      <c r="P290">
        <f t="shared" si="9"/>
        <v>0.32369999999999999</v>
      </c>
      <c r="Q290" t="s">
        <v>90</v>
      </c>
      <c r="R290">
        <v>2022</v>
      </c>
      <c r="S290" t="s">
        <v>40</v>
      </c>
    </row>
    <row r="291" spans="1:19" x14ac:dyDescent="0.3">
      <c r="A291" t="s">
        <v>364</v>
      </c>
      <c r="B291">
        <v>44658</v>
      </c>
      <c r="C291" t="s">
        <v>61</v>
      </c>
      <c r="D291" t="s">
        <v>74</v>
      </c>
      <c r="E291" t="s">
        <v>51</v>
      </c>
      <c r="F291" t="s">
        <v>23</v>
      </c>
      <c r="G291">
        <v>110705.95</v>
      </c>
      <c r="H291">
        <v>64068.53</v>
      </c>
      <c r="I291">
        <v>46637.42</v>
      </c>
      <c r="J291">
        <v>26884.23</v>
      </c>
      <c r="K291">
        <v>18402.5</v>
      </c>
      <c r="L291">
        <v>156825.63</v>
      </c>
      <c r="M291">
        <v>1722</v>
      </c>
      <c r="N291">
        <v>1.7999999999999999E-2</v>
      </c>
      <c r="O291">
        <f t="shared" si="8"/>
        <v>0.42130000000000001</v>
      </c>
      <c r="P291">
        <f t="shared" si="9"/>
        <v>0.1173</v>
      </c>
      <c r="Q291" t="s">
        <v>58</v>
      </c>
      <c r="R291">
        <v>2022</v>
      </c>
      <c r="S291" t="s">
        <v>25</v>
      </c>
    </row>
    <row r="292" spans="1:19" x14ac:dyDescent="0.3">
      <c r="A292" t="s">
        <v>365</v>
      </c>
      <c r="B292">
        <v>45032</v>
      </c>
      <c r="C292" t="s">
        <v>20</v>
      </c>
      <c r="D292" t="s">
        <v>21</v>
      </c>
      <c r="E292" t="s">
        <v>22</v>
      </c>
      <c r="F292" t="s">
        <v>23</v>
      </c>
      <c r="G292">
        <v>15731.5</v>
      </c>
      <c r="H292">
        <v>8729.4599999999991</v>
      </c>
      <c r="I292">
        <v>7002.04</v>
      </c>
      <c r="J292">
        <v>15699.36</v>
      </c>
      <c r="K292">
        <v>20054.66</v>
      </c>
      <c r="L292">
        <v>30805.69</v>
      </c>
      <c r="M292">
        <v>1840</v>
      </c>
      <c r="N292">
        <v>-3.7900000000000003E-2</v>
      </c>
      <c r="O292">
        <f t="shared" si="8"/>
        <v>0.4451</v>
      </c>
      <c r="P292">
        <f t="shared" si="9"/>
        <v>0.65100000000000002</v>
      </c>
      <c r="Q292" t="s">
        <v>39</v>
      </c>
      <c r="R292">
        <v>2023</v>
      </c>
      <c r="S292" t="s">
        <v>82</v>
      </c>
    </row>
    <row r="293" spans="1:19" x14ac:dyDescent="0.3">
      <c r="A293" t="s">
        <v>366</v>
      </c>
      <c r="B293">
        <v>45630</v>
      </c>
      <c r="C293" t="s">
        <v>42</v>
      </c>
      <c r="D293" t="s">
        <v>43</v>
      </c>
      <c r="E293" t="s">
        <v>38</v>
      </c>
      <c r="F293" t="s">
        <v>23</v>
      </c>
      <c r="G293">
        <v>137899.56</v>
      </c>
      <c r="H293">
        <v>102118.12</v>
      </c>
      <c r="I293">
        <v>35781.440000000002</v>
      </c>
      <c r="J293">
        <v>62499.77</v>
      </c>
      <c r="K293">
        <v>21486.59</v>
      </c>
      <c r="L293">
        <v>144849.01</v>
      </c>
      <c r="M293">
        <v>632</v>
      </c>
      <c r="N293">
        <v>-1.1599999999999999E-2</v>
      </c>
      <c r="O293">
        <f t="shared" si="8"/>
        <v>0.25950000000000001</v>
      </c>
      <c r="P293">
        <f t="shared" si="9"/>
        <v>0.14829999999999999</v>
      </c>
      <c r="Q293" t="s">
        <v>52</v>
      </c>
      <c r="R293">
        <v>2024</v>
      </c>
      <c r="S293" t="s">
        <v>25</v>
      </c>
    </row>
    <row r="294" spans="1:19" x14ac:dyDescent="0.3">
      <c r="A294" t="s">
        <v>367</v>
      </c>
      <c r="B294">
        <v>45819</v>
      </c>
      <c r="C294" t="s">
        <v>42</v>
      </c>
      <c r="D294" t="s">
        <v>43</v>
      </c>
      <c r="E294" t="s">
        <v>38</v>
      </c>
      <c r="F294" t="s">
        <v>23</v>
      </c>
      <c r="G294">
        <v>29101.48</v>
      </c>
      <c r="H294">
        <v>16627.45</v>
      </c>
      <c r="I294">
        <v>12474.03</v>
      </c>
      <c r="J294">
        <v>50006.16</v>
      </c>
      <c r="K294">
        <v>8936.56</v>
      </c>
      <c r="L294">
        <v>89205.67</v>
      </c>
      <c r="M294">
        <v>1421</v>
      </c>
      <c r="N294">
        <v>0.1666</v>
      </c>
      <c r="O294">
        <f t="shared" si="8"/>
        <v>0.42859999999999998</v>
      </c>
      <c r="P294">
        <f t="shared" si="9"/>
        <v>0.1002</v>
      </c>
      <c r="Q294" t="s">
        <v>34</v>
      </c>
      <c r="R294">
        <v>2025</v>
      </c>
      <c r="S294" t="s">
        <v>25</v>
      </c>
    </row>
    <row r="295" spans="1:19" x14ac:dyDescent="0.3">
      <c r="A295" t="s">
        <v>368</v>
      </c>
      <c r="B295">
        <v>44580</v>
      </c>
      <c r="C295" t="s">
        <v>48</v>
      </c>
      <c r="D295" t="s">
        <v>49</v>
      </c>
      <c r="E295" t="s">
        <v>32</v>
      </c>
      <c r="F295" t="s">
        <v>23</v>
      </c>
      <c r="G295">
        <v>48286.711000000003</v>
      </c>
      <c r="H295">
        <v>40021.47</v>
      </c>
      <c r="I295">
        <v>8265.24</v>
      </c>
      <c r="J295">
        <v>1.1499999999999999</v>
      </c>
      <c r="K295">
        <v>18790.189999999999</v>
      </c>
      <c r="L295">
        <v>156321.38</v>
      </c>
      <c r="M295">
        <v>2456</v>
      </c>
      <c r="N295">
        <v>0.1138</v>
      </c>
      <c r="O295">
        <f t="shared" si="8"/>
        <v>0.17119999999999999</v>
      </c>
      <c r="P295">
        <f t="shared" si="9"/>
        <v>0.1202</v>
      </c>
      <c r="Q295" t="s">
        <v>90</v>
      </c>
      <c r="R295">
        <v>2022</v>
      </c>
      <c r="S295" t="s">
        <v>25</v>
      </c>
    </row>
    <row r="296" spans="1:19" x14ac:dyDescent="0.3">
      <c r="A296" t="s">
        <v>369</v>
      </c>
      <c r="B296">
        <v>45902</v>
      </c>
      <c r="C296" t="s">
        <v>48</v>
      </c>
      <c r="D296" t="s">
        <v>49</v>
      </c>
      <c r="E296" t="s">
        <v>32</v>
      </c>
      <c r="F296" t="s">
        <v>23</v>
      </c>
      <c r="G296">
        <v>46790.2189</v>
      </c>
      <c r="H296">
        <v>37716.07</v>
      </c>
      <c r="I296">
        <v>9074.15</v>
      </c>
      <c r="J296">
        <v>1.1499999999999999</v>
      </c>
      <c r="K296">
        <v>21102.01</v>
      </c>
      <c r="L296">
        <v>54437.5</v>
      </c>
      <c r="M296">
        <v>846</v>
      </c>
      <c r="N296">
        <v>2.3300000000000001E-2</v>
      </c>
      <c r="O296">
        <f t="shared" si="8"/>
        <v>0.19389999999999999</v>
      </c>
      <c r="P296">
        <f t="shared" si="9"/>
        <v>0.3876</v>
      </c>
      <c r="Q296" t="s">
        <v>24</v>
      </c>
      <c r="R296">
        <v>2025</v>
      </c>
      <c r="S296" t="s">
        <v>40</v>
      </c>
    </row>
    <row r="297" spans="1:19" x14ac:dyDescent="0.3">
      <c r="A297" t="s">
        <v>370</v>
      </c>
      <c r="B297">
        <v>44754</v>
      </c>
      <c r="C297" t="s">
        <v>48</v>
      </c>
      <c r="D297" t="s">
        <v>49</v>
      </c>
      <c r="E297" t="s">
        <v>51</v>
      </c>
      <c r="F297" t="s">
        <v>23</v>
      </c>
      <c r="G297">
        <v>70990.039999999994</v>
      </c>
      <c r="H297">
        <v>53771.47</v>
      </c>
      <c r="I297">
        <v>17218.57</v>
      </c>
      <c r="J297">
        <v>19235.36</v>
      </c>
      <c r="K297">
        <v>86798.25</v>
      </c>
      <c r="L297">
        <v>145690.65</v>
      </c>
      <c r="M297">
        <v>1018</v>
      </c>
      <c r="N297">
        <v>0.1419</v>
      </c>
      <c r="O297">
        <f t="shared" si="8"/>
        <v>0.24249999999999999</v>
      </c>
      <c r="P297">
        <f t="shared" si="9"/>
        <v>0.5958</v>
      </c>
      <c r="Q297" t="s">
        <v>76</v>
      </c>
      <c r="R297">
        <v>2022</v>
      </c>
      <c r="S297" t="s">
        <v>40</v>
      </c>
    </row>
    <row r="298" spans="1:19" x14ac:dyDescent="0.3">
      <c r="A298" t="s">
        <v>371</v>
      </c>
      <c r="B298">
        <v>44897</v>
      </c>
      <c r="C298" t="s">
        <v>48</v>
      </c>
      <c r="D298" t="s">
        <v>49</v>
      </c>
      <c r="E298" t="s">
        <v>32</v>
      </c>
      <c r="F298" t="s">
        <v>23</v>
      </c>
      <c r="G298">
        <v>66896.304400000008</v>
      </c>
      <c r="H298">
        <v>43859.77</v>
      </c>
      <c r="I298">
        <v>23036.53</v>
      </c>
      <c r="J298">
        <v>31038.25</v>
      </c>
      <c r="K298">
        <v>71022.899999999994</v>
      </c>
      <c r="L298">
        <v>743746.42</v>
      </c>
      <c r="M298" t="s">
        <v>1281</v>
      </c>
      <c r="N298">
        <v>0.1011</v>
      </c>
      <c r="O298">
        <f t="shared" si="8"/>
        <v>0.34439999999999998</v>
      </c>
      <c r="P298">
        <f t="shared" si="9"/>
        <v>9.5500000000000002E-2</v>
      </c>
      <c r="Q298" t="s">
        <v>46</v>
      </c>
      <c r="R298">
        <v>2022</v>
      </c>
      <c r="S298" t="s">
        <v>25</v>
      </c>
    </row>
    <row r="299" spans="1:19" x14ac:dyDescent="0.3">
      <c r="A299" t="s">
        <v>372</v>
      </c>
      <c r="B299">
        <v>45503</v>
      </c>
      <c r="C299" t="s">
        <v>30</v>
      </c>
      <c r="D299" t="s">
        <v>31</v>
      </c>
      <c r="E299" t="s">
        <v>38</v>
      </c>
      <c r="F299" t="s">
        <v>23</v>
      </c>
      <c r="G299">
        <v>163461.82999999999</v>
      </c>
      <c r="H299">
        <v>144444.09</v>
      </c>
      <c r="I299">
        <v>19017.740000000002</v>
      </c>
      <c r="J299">
        <v>23858.33</v>
      </c>
      <c r="K299">
        <v>21578.19</v>
      </c>
      <c r="L299">
        <v>145097.70000000001</v>
      </c>
      <c r="M299">
        <v>1122</v>
      </c>
      <c r="N299">
        <v>1.3299999999999999E-2</v>
      </c>
      <c r="O299">
        <f t="shared" si="8"/>
        <v>0.1163</v>
      </c>
      <c r="P299">
        <f t="shared" si="9"/>
        <v>0.1487</v>
      </c>
      <c r="Q299" t="s">
        <v>72</v>
      </c>
      <c r="R299">
        <v>2024</v>
      </c>
      <c r="S299" t="s">
        <v>25</v>
      </c>
    </row>
    <row r="300" spans="1:19" x14ac:dyDescent="0.3">
      <c r="A300" t="s">
        <v>373</v>
      </c>
      <c r="B300">
        <v>45634</v>
      </c>
      <c r="C300" t="s">
        <v>36</v>
      </c>
      <c r="D300" t="s">
        <v>37</v>
      </c>
      <c r="E300" t="s">
        <v>32</v>
      </c>
      <c r="F300" t="s">
        <v>23</v>
      </c>
      <c r="G300">
        <v>73816.501199999999</v>
      </c>
      <c r="H300">
        <v>62552.94</v>
      </c>
      <c r="I300">
        <v>11263.56</v>
      </c>
      <c r="J300">
        <v>1.1499999999999999</v>
      </c>
      <c r="K300">
        <v>6864.8</v>
      </c>
      <c r="L300">
        <v>132767.71</v>
      </c>
      <c r="M300">
        <v>674</v>
      </c>
      <c r="N300">
        <v>-7.9200000000000007E-2</v>
      </c>
      <c r="O300">
        <f t="shared" si="8"/>
        <v>0.15260000000000001</v>
      </c>
      <c r="P300">
        <f t="shared" si="9"/>
        <v>5.1700000000000003E-2</v>
      </c>
      <c r="Q300" t="s">
        <v>52</v>
      </c>
      <c r="R300">
        <v>2024</v>
      </c>
      <c r="S300" t="s">
        <v>25</v>
      </c>
    </row>
    <row r="301" spans="1:19" x14ac:dyDescent="0.3">
      <c r="A301" t="s">
        <v>374</v>
      </c>
      <c r="B301">
        <v>45135</v>
      </c>
      <c r="C301" t="s">
        <v>102</v>
      </c>
      <c r="D301" t="s">
        <v>103</v>
      </c>
      <c r="E301" t="s">
        <v>38</v>
      </c>
      <c r="F301" t="s">
        <v>23</v>
      </c>
      <c r="G301">
        <v>28443.72</v>
      </c>
      <c r="H301">
        <v>16120.99</v>
      </c>
      <c r="I301">
        <v>12322.73</v>
      </c>
      <c r="J301">
        <v>12357.14</v>
      </c>
      <c r="K301">
        <v>42836.51</v>
      </c>
      <c r="L301">
        <v>63766.37</v>
      </c>
      <c r="M301">
        <v>1479</v>
      </c>
      <c r="N301">
        <v>-2.0299999999999999E-2</v>
      </c>
      <c r="O301">
        <f t="shared" si="8"/>
        <v>0.43319999999999997</v>
      </c>
      <c r="P301">
        <f t="shared" si="9"/>
        <v>0.67179999999999995</v>
      </c>
      <c r="Q301" t="s">
        <v>56</v>
      </c>
      <c r="R301">
        <v>2023</v>
      </c>
      <c r="S301" t="s">
        <v>82</v>
      </c>
    </row>
    <row r="302" spans="1:19" x14ac:dyDescent="0.3">
      <c r="A302" t="s">
        <v>375</v>
      </c>
      <c r="B302">
        <v>45232</v>
      </c>
      <c r="C302" t="s">
        <v>48</v>
      </c>
      <c r="D302" t="s">
        <v>49</v>
      </c>
      <c r="E302" t="s">
        <v>32</v>
      </c>
      <c r="F302" t="s">
        <v>23</v>
      </c>
      <c r="G302">
        <v>123577.15925</v>
      </c>
      <c r="H302">
        <v>93043.1</v>
      </c>
      <c r="I302">
        <v>30534.06</v>
      </c>
      <c r="J302">
        <v>60068.62</v>
      </c>
      <c r="K302">
        <v>94153.54</v>
      </c>
      <c r="L302">
        <v>153631.66</v>
      </c>
      <c r="M302">
        <v>1258</v>
      </c>
      <c r="N302">
        <v>5.6800000000000003E-2</v>
      </c>
      <c r="O302">
        <f t="shared" si="8"/>
        <v>0.24709999999999999</v>
      </c>
      <c r="P302">
        <f t="shared" si="9"/>
        <v>0.6129</v>
      </c>
      <c r="Q302" t="s">
        <v>44</v>
      </c>
      <c r="R302">
        <v>2023</v>
      </c>
      <c r="S302" t="s">
        <v>82</v>
      </c>
    </row>
    <row r="303" spans="1:19" x14ac:dyDescent="0.3">
      <c r="A303" t="s">
        <v>376</v>
      </c>
      <c r="B303">
        <v>45940</v>
      </c>
      <c r="C303" t="s">
        <v>61</v>
      </c>
      <c r="D303" t="s">
        <v>74</v>
      </c>
      <c r="E303" t="s">
        <v>22</v>
      </c>
      <c r="F303" t="s">
        <v>23</v>
      </c>
      <c r="G303">
        <v>147010.71</v>
      </c>
      <c r="H303">
        <v>121229.98</v>
      </c>
      <c r="I303">
        <v>25780.73</v>
      </c>
      <c r="J303">
        <v>95638.47</v>
      </c>
      <c r="K303">
        <v>18874.46</v>
      </c>
      <c r="L303">
        <v>137427.13</v>
      </c>
      <c r="M303">
        <v>1026</v>
      </c>
      <c r="N303">
        <v>4.4699999999999997E-2</v>
      </c>
      <c r="O303">
        <f t="shared" si="8"/>
        <v>0.1754</v>
      </c>
      <c r="P303">
        <f t="shared" si="9"/>
        <v>0.13730000000000001</v>
      </c>
      <c r="Q303" t="s">
        <v>66</v>
      </c>
      <c r="R303">
        <v>2025</v>
      </c>
      <c r="S303" t="s">
        <v>25</v>
      </c>
    </row>
    <row r="304" spans="1:19" x14ac:dyDescent="0.3">
      <c r="A304" t="s">
        <v>377</v>
      </c>
      <c r="B304">
        <v>45552</v>
      </c>
      <c r="C304" t="s">
        <v>48</v>
      </c>
      <c r="D304" t="s">
        <v>49</v>
      </c>
      <c r="E304" t="s">
        <v>38</v>
      </c>
      <c r="F304" t="s">
        <v>23</v>
      </c>
      <c r="G304">
        <v>220791.1</v>
      </c>
      <c r="H304">
        <v>194070.37</v>
      </c>
      <c r="I304">
        <v>26720.73</v>
      </c>
      <c r="J304">
        <v>69569.41</v>
      </c>
      <c r="K304">
        <v>119575.12</v>
      </c>
      <c r="L304">
        <v>207216.34</v>
      </c>
      <c r="M304">
        <v>861</v>
      </c>
      <c r="N304">
        <v>-8.1299999999999997E-2</v>
      </c>
      <c r="O304">
        <f t="shared" si="8"/>
        <v>0.121</v>
      </c>
      <c r="P304">
        <f t="shared" si="9"/>
        <v>0.57709999999999995</v>
      </c>
      <c r="Q304" t="s">
        <v>72</v>
      </c>
      <c r="R304">
        <v>2024</v>
      </c>
      <c r="S304" t="s">
        <v>40</v>
      </c>
    </row>
    <row r="305" spans="1:19" x14ac:dyDescent="0.3">
      <c r="A305" t="s">
        <v>378</v>
      </c>
      <c r="B305">
        <v>45177</v>
      </c>
      <c r="C305" t="s">
        <v>54</v>
      </c>
      <c r="D305" t="s">
        <v>55</v>
      </c>
      <c r="E305" t="s">
        <v>38</v>
      </c>
      <c r="F305" t="s">
        <v>23</v>
      </c>
      <c r="G305">
        <v>36016.720000000001</v>
      </c>
      <c r="H305">
        <v>22673.16</v>
      </c>
      <c r="I305">
        <v>13343.56</v>
      </c>
      <c r="J305">
        <v>18971</v>
      </c>
      <c r="K305">
        <v>53131.12</v>
      </c>
      <c r="L305">
        <v>72204.509999999995</v>
      </c>
      <c r="M305">
        <v>484</v>
      </c>
      <c r="N305">
        <v>1.23E-2</v>
      </c>
      <c r="O305">
        <f t="shared" si="8"/>
        <v>0.3705</v>
      </c>
      <c r="P305">
        <f t="shared" si="9"/>
        <v>0.73580000000000001</v>
      </c>
      <c r="Q305" t="s">
        <v>56</v>
      </c>
      <c r="R305">
        <v>2023</v>
      </c>
      <c r="S305" t="s">
        <v>82</v>
      </c>
    </row>
    <row r="306" spans="1:19" x14ac:dyDescent="0.3">
      <c r="A306" t="s">
        <v>379</v>
      </c>
      <c r="B306">
        <v>45763</v>
      </c>
      <c r="C306" t="s">
        <v>48</v>
      </c>
      <c r="D306" t="s">
        <v>49</v>
      </c>
      <c r="E306" t="s">
        <v>32</v>
      </c>
      <c r="F306" t="s">
        <v>23</v>
      </c>
      <c r="G306">
        <v>177500.71669999999</v>
      </c>
      <c r="H306">
        <v>140938.94</v>
      </c>
      <c r="I306">
        <v>36561.769999999997</v>
      </c>
      <c r="J306">
        <v>28022.07</v>
      </c>
      <c r="K306">
        <v>18199.27</v>
      </c>
      <c r="L306">
        <v>158153.26999999999</v>
      </c>
      <c r="M306">
        <v>549</v>
      </c>
      <c r="N306">
        <v>7.6799999999999993E-2</v>
      </c>
      <c r="O306">
        <f t="shared" si="8"/>
        <v>0.20599999999999999</v>
      </c>
      <c r="P306">
        <f t="shared" si="9"/>
        <v>0.11509999999999999</v>
      </c>
      <c r="Q306" t="s">
        <v>34</v>
      </c>
      <c r="R306">
        <v>2025</v>
      </c>
      <c r="S306" t="s">
        <v>25</v>
      </c>
    </row>
    <row r="307" spans="1:19" x14ac:dyDescent="0.3">
      <c r="A307" t="s">
        <v>380</v>
      </c>
      <c r="B307">
        <v>44622</v>
      </c>
      <c r="C307" t="s">
        <v>85</v>
      </c>
      <c r="D307" t="s">
        <v>86</v>
      </c>
      <c r="E307" t="s">
        <v>22</v>
      </c>
      <c r="F307" t="s">
        <v>23</v>
      </c>
      <c r="G307">
        <v>34059.47</v>
      </c>
      <c r="H307">
        <v>21138.77</v>
      </c>
      <c r="I307">
        <v>12920.7</v>
      </c>
      <c r="J307">
        <v>17561.27</v>
      </c>
      <c r="K307">
        <v>11960.29</v>
      </c>
      <c r="L307">
        <v>118866.14</v>
      </c>
      <c r="M307">
        <v>451</v>
      </c>
      <c r="N307">
        <v>5.6300000000000003E-2</v>
      </c>
      <c r="O307">
        <f t="shared" si="8"/>
        <v>0.37940000000000002</v>
      </c>
      <c r="P307">
        <f t="shared" si="9"/>
        <v>0.10059999999999999</v>
      </c>
      <c r="Q307" t="s">
        <v>90</v>
      </c>
      <c r="R307">
        <v>2022</v>
      </c>
      <c r="S307" t="s">
        <v>25</v>
      </c>
    </row>
    <row r="308" spans="1:19" x14ac:dyDescent="0.3">
      <c r="A308" t="s">
        <v>381</v>
      </c>
      <c r="B308">
        <v>45792</v>
      </c>
      <c r="C308" t="s">
        <v>20</v>
      </c>
      <c r="D308" t="s">
        <v>21</v>
      </c>
      <c r="E308" t="s">
        <v>22</v>
      </c>
      <c r="F308" t="s">
        <v>23</v>
      </c>
      <c r="G308">
        <v>116216.31</v>
      </c>
      <c r="H308">
        <v>71991.039999999994</v>
      </c>
      <c r="I308">
        <v>44225.27</v>
      </c>
      <c r="J308">
        <v>55920.29</v>
      </c>
      <c r="K308">
        <v>33135.279999999999</v>
      </c>
      <c r="L308">
        <v>95889.65</v>
      </c>
      <c r="M308">
        <v>570</v>
      </c>
      <c r="N308">
        <v>-0.13719999999999999</v>
      </c>
      <c r="O308">
        <f t="shared" si="8"/>
        <v>0.3805</v>
      </c>
      <c r="P308">
        <f t="shared" si="9"/>
        <v>0.34560000000000002</v>
      </c>
      <c r="Q308" t="s">
        <v>34</v>
      </c>
      <c r="R308">
        <v>2025</v>
      </c>
      <c r="S308" t="s">
        <v>40</v>
      </c>
    </row>
    <row r="309" spans="1:19" x14ac:dyDescent="0.3">
      <c r="A309" t="s">
        <v>382</v>
      </c>
      <c r="B309">
        <v>45095</v>
      </c>
      <c r="C309" t="s">
        <v>48</v>
      </c>
      <c r="D309" t="s">
        <v>49</v>
      </c>
      <c r="E309" t="s">
        <v>32</v>
      </c>
      <c r="F309" t="s">
        <v>23</v>
      </c>
      <c r="G309">
        <v>105101.0156</v>
      </c>
      <c r="H309">
        <v>59321.36</v>
      </c>
      <c r="I309">
        <v>45779.65</v>
      </c>
      <c r="J309">
        <v>12582.26</v>
      </c>
      <c r="K309">
        <v>11465.87</v>
      </c>
      <c r="L309">
        <v>176792.61</v>
      </c>
      <c r="M309">
        <v>1214</v>
      </c>
      <c r="N309">
        <v>-1.1900000000000001E-2</v>
      </c>
      <c r="O309">
        <f t="shared" si="8"/>
        <v>0.43559999999999999</v>
      </c>
      <c r="P309">
        <f t="shared" si="9"/>
        <v>6.4899999999999999E-2</v>
      </c>
      <c r="Q309" t="s">
        <v>39</v>
      </c>
      <c r="R309">
        <v>2023</v>
      </c>
      <c r="S309" t="s">
        <v>25</v>
      </c>
    </row>
    <row r="310" spans="1:19" x14ac:dyDescent="0.3">
      <c r="A310" t="s">
        <v>383</v>
      </c>
      <c r="B310">
        <v>45843</v>
      </c>
      <c r="C310" t="s">
        <v>102</v>
      </c>
      <c r="D310" t="s">
        <v>103</v>
      </c>
      <c r="E310" t="s">
        <v>22</v>
      </c>
      <c r="F310" t="s">
        <v>23</v>
      </c>
      <c r="G310">
        <v>118600.95</v>
      </c>
      <c r="H310">
        <v>96248.23</v>
      </c>
      <c r="I310">
        <v>22352.720000000001</v>
      </c>
      <c r="J310">
        <v>49660.44</v>
      </c>
      <c r="K310">
        <v>43563.41</v>
      </c>
      <c r="L310">
        <v>180455.78</v>
      </c>
      <c r="M310">
        <v>892</v>
      </c>
      <c r="N310">
        <v>-4.3E-3</v>
      </c>
      <c r="O310">
        <f t="shared" si="8"/>
        <v>0.1885</v>
      </c>
      <c r="P310">
        <f t="shared" si="9"/>
        <v>0.2414</v>
      </c>
      <c r="Q310" t="s">
        <v>24</v>
      </c>
      <c r="R310">
        <v>2025</v>
      </c>
      <c r="S310" t="s">
        <v>25</v>
      </c>
    </row>
    <row r="311" spans="1:19" x14ac:dyDescent="0.3">
      <c r="A311" t="s">
        <v>384</v>
      </c>
      <c r="B311">
        <v>45020</v>
      </c>
      <c r="C311" t="s">
        <v>48</v>
      </c>
      <c r="D311" t="s">
        <v>49</v>
      </c>
      <c r="E311" t="s">
        <v>51</v>
      </c>
      <c r="F311" t="s">
        <v>23</v>
      </c>
      <c r="G311">
        <v>161073.82999999999</v>
      </c>
      <c r="H311">
        <v>122333.45</v>
      </c>
      <c r="I311">
        <v>38740.379999999997</v>
      </c>
      <c r="J311">
        <v>21627.09</v>
      </c>
      <c r="K311">
        <v>63921.65</v>
      </c>
      <c r="L311">
        <v>44005.13</v>
      </c>
      <c r="M311">
        <v>1187</v>
      </c>
      <c r="N311">
        <v>0.10970000000000001</v>
      </c>
      <c r="O311">
        <f t="shared" si="8"/>
        <v>0.24049999999999999</v>
      </c>
      <c r="P311">
        <f t="shared" si="9"/>
        <v>1.4525999999999999</v>
      </c>
      <c r="Q311" t="s">
        <v>39</v>
      </c>
      <c r="R311">
        <v>2023</v>
      </c>
      <c r="S311" t="s">
        <v>82</v>
      </c>
    </row>
    <row r="312" spans="1:19" x14ac:dyDescent="0.3">
      <c r="A312" t="s">
        <v>385</v>
      </c>
      <c r="B312">
        <v>44768</v>
      </c>
      <c r="C312" t="s">
        <v>42</v>
      </c>
      <c r="D312" t="s">
        <v>43</v>
      </c>
      <c r="E312" t="s">
        <v>22</v>
      </c>
      <c r="F312" t="s">
        <v>23</v>
      </c>
      <c r="G312">
        <v>64022.879999999997</v>
      </c>
      <c r="H312">
        <v>57442.17</v>
      </c>
      <c r="I312">
        <v>6580.71</v>
      </c>
      <c r="J312">
        <v>32970.53</v>
      </c>
      <c r="K312">
        <v>6626.98</v>
      </c>
      <c r="L312">
        <v>52011</v>
      </c>
      <c r="M312">
        <v>665</v>
      </c>
      <c r="N312">
        <v>-2.7000000000000001E-3</v>
      </c>
      <c r="O312">
        <f t="shared" si="8"/>
        <v>0.1028</v>
      </c>
      <c r="P312">
        <f t="shared" si="9"/>
        <v>0.12740000000000001</v>
      </c>
      <c r="Q312" t="s">
        <v>76</v>
      </c>
      <c r="R312">
        <v>2022</v>
      </c>
      <c r="S312" t="s">
        <v>25</v>
      </c>
    </row>
    <row r="313" spans="1:19" x14ac:dyDescent="0.3">
      <c r="A313" t="s">
        <v>386</v>
      </c>
      <c r="B313">
        <v>44635</v>
      </c>
      <c r="C313" t="s">
        <v>30</v>
      </c>
      <c r="D313" t="s">
        <v>31</v>
      </c>
      <c r="E313" t="s">
        <v>32</v>
      </c>
      <c r="F313" t="s">
        <v>23</v>
      </c>
      <c r="G313">
        <v>97473.941600000006</v>
      </c>
      <c r="H313">
        <v>74149.33</v>
      </c>
      <c r="I313">
        <v>23324.61</v>
      </c>
      <c r="J313">
        <v>17765.650000000001</v>
      </c>
      <c r="K313">
        <v>23953.74</v>
      </c>
      <c r="L313">
        <v>158428.47</v>
      </c>
      <c r="M313">
        <v>1678</v>
      </c>
      <c r="N313">
        <v>-0.10299999999999999</v>
      </c>
      <c r="O313">
        <f t="shared" si="8"/>
        <v>0.23930000000000001</v>
      </c>
      <c r="P313">
        <f t="shared" si="9"/>
        <v>0.1512</v>
      </c>
      <c r="Q313" t="s">
        <v>90</v>
      </c>
      <c r="R313">
        <v>2022</v>
      </c>
      <c r="S313" t="s">
        <v>25</v>
      </c>
    </row>
    <row r="314" spans="1:19" x14ac:dyDescent="0.3">
      <c r="A314" t="s">
        <v>387</v>
      </c>
      <c r="B314">
        <v>45341</v>
      </c>
      <c r="C314" t="s">
        <v>54</v>
      </c>
      <c r="D314" t="s">
        <v>55</v>
      </c>
      <c r="E314" t="s">
        <v>32</v>
      </c>
      <c r="F314" t="s">
        <v>23</v>
      </c>
      <c r="G314">
        <v>175775.12155000001</v>
      </c>
      <c r="H314">
        <v>126669.13</v>
      </c>
      <c r="I314">
        <v>49105.99</v>
      </c>
      <c r="J314">
        <v>1.1499999999999999</v>
      </c>
      <c r="K314">
        <v>30965</v>
      </c>
      <c r="L314">
        <v>154374.42000000001</v>
      </c>
      <c r="M314">
        <v>1369</v>
      </c>
      <c r="N314">
        <v>-1.66E-2</v>
      </c>
      <c r="O314">
        <f t="shared" si="8"/>
        <v>0.27939999999999998</v>
      </c>
      <c r="P314">
        <f t="shared" si="9"/>
        <v>0.2006</v>
      </c>
      <c r="Q314" t="s">
        <v>80</v>
      </c>
      <c r="R314">
        <v>2024</v>
      </c>
      <c r="S314" t="s">
        <v>25</v>
      </c>
    </row>
    <row r="315" spans="1:19" x14ac:dyDescent="0.3">
      <c r="A315" t="s">
        <v>388</v>
      </c>
      <c r="B315">
        <v>44838</v>
      </c>
      <c r="C315" t="s">
        <v>102</v>
      </c>
      <c r="D315" t="s">
        <v>103</v>
      </c>
      <c r="E315" t="s">
        <v>51</v>
      </c>
      <c r="F315" t="s">
        <v>23</v>
      </c>
      <c r="G315">
        <v>52176.87</v>
      </c>
      <c r="H315">
        <v>41134.94</v>
      </c>
      <c r="I315">
        <v>11041.93</v>
      </c>
      <c r="J315">
        <v>36585.550000000003</v>
      </c>
      <c r="K315">
        <v>97412.66</v>
      </c>
      <c r="L315">
        <v>114723.12</v>
      </c>
      <c r="M315">
        <v>765</v>
      </c>
      <c r="N315">
        <v>0.10589999999999999</v>
      </c>
      <c r="O315">
        <f t="shared" si="8"/>
        <v>0.21160000000000001</v>
      </c>
      <c r="P315">
        <f t="shared" si="9"/>
        <v>0.84909999999999997</v>
      </c>
      <c r="Q315" t="s">
        <v>46</v>
      </c>
      <c r="R315">
        <v>2022</v>
      </c>
      <c r="S315" t="s">
        <v>82</v>
      </c>
    </row>
    <row r="316" spans="1:19" x14ac:dyDescent="0.3">
      <c r="A316" t="s">
        <v>389</v>
      </c>
      <c r="B316">
        <v>45504</v>
      </c>
      <c r="C316" t="s">
        <v>102</v>
      </c>
      <c r="D316" t="s">
        <v>103</v>
      </c>
      <c r="E316" t="s">
        <v>22</v>
      </c>
      <c r="F316" t="s">
        <v>23</v>
      </c>
      <c r="G316">
        <v>110668.2</v>
      </c>
      <c r="H316">
        <v>63349.11</v>
      </c>
      <c r="I316">
        <v>47319.09</v>
      </c>
      <c r="J316">
        <v>31356.67</v>
      </c>
      <c r="K316">
        <v>23310.99</v>
      </c>
      <c r="L316">
        <v>54489.06</v>
      </c>
      <c r="M316">
        <v>2116</v>
      </c>
      <c r="N316">
        <v>-2.47E-2</v>
      </c>
      <c r="O316">
        <f t="shared" si="8"/>
        <v>0.42759999999999998</v>
      </c>
      <c r="P316">
        <f t="shared" si="9"/>
        <v>0.42780000000000001</v>
      </c>
      <c r="Q316" t="s">
        <v>72</v>
      </c>
      <c r="R316">
        <v>2024</v>
      </c>
      <c r="S316" t="s">
        <v>40</v>
      </c>
    </row>
    <row r="317" spans="1:19" x14ac:dyDescent="0.3">
      <c r="A317" t="s">
        <v>390</v>
      </c>
      <c r="B317">
        <v>45769</v>
      </c>
      <c r="C317" t="s">
        <v>85</v>
      </c>
      <c r="D317" t="s">
        <v>86</v>
      </c>
      <c r="E317" t="s">
        <v>32</v>
      </c>
      <c r="F317" t="s">
        <v>23</v>
      </c>
      <c r="G317">
        <v>180794.584</v>
      </c>
      <c r="H317">
        <v>142421.6</v>
      </c>
      <c r="I317">
        <v>38372.980000000003</v>
      </c>
      <c r="J317">
        <v>46408.91</v>
      </c>
      <c r="K317">
        <v>35333.050000000003</v>
      </c>
      <c r="L317">
        <v>101136.24</v>
      </c>
      <c r="M317">
        <v>979</v>
      </c>
      <c r="N317">
        <v>-5.2699999999999997E-2</v>
      </c>
      <c r="O317">
        <f t="shared" si="8"/>
        <v>0.2122</v>
      </c>
      <c r="P317">
        <f t="shared" si="9"/>
        <v>0.34939999999999999</v>
      </c>
      <c r="Q317" t="s">
        <v>34</v>
      </c>
      <c r="R317">
        <v>2025</v>
      </c>
      <c r="S317" t="s">
        <v>40</v>
      </c>
    </row>
    <row r="318" spans="1:19" x14ac:dyDescent="0.3">
      <c r="A318" t="s">
        <v>391</v>
      </c>
      <c r="B318">
        <v>44857</v>
      </c>
      <c r="C318" t="s">
        <v>42</v>
      </c>
      <c r="D318" t="s">
        <v>43</v>
      </c>
      <c r="E318" t="s">
        <v>38</v>
      </c>
      <c r="F318" t="s">
        <v>23</v>
      </c>
      <c r="G318">
        <v>81373.66</v>
      </c>
      <c r="H318">
        <v>63311.67</v>
      </c>
      <c r="I318">
        <v>18061.990000000002</v>
      </c>
      <c r="J318">
        <v>30500.76</v>
      </c>
      <c r="K318">
        <v>51434.5</v>
      </c>
      <c r="L318">
        <v>57178.75</v>
      </c>
      <c r="M318">
        <v>914</v>
      </c>
      <c r="N318">
        <v>0.20219999999999999</v>
      </c>
      <c r="O318">
        <f t="shared" si="8"/>
        <v>0.222</v>
      </c>
      <c r="P318">
        <f t="shared" si="9"/>
        <v>0.89949999999999997</v>
      </c>
      <c r="Q318" t="s">
        <v>46</v>
      </c>
      <c r="R318">
        <v>2022</v>
      </c>
      <c r="S318" t="s">
        <v>82</v>
      </c>
    </row>
    <row r="319" spans="1:19" x14ac:dyDescent="0.3">
      <c r="A319" t="s">
        <v>392</v>
      </c>
      <c r="B319">
        <v>45505</v>
      </c>
      <c r="C319" t="s">
        <v>54</v>
      </c>
      <c r="D319" t="s">
        <v>55</v>
      </c>
      <c r="E319" t="s">
        <v>22</v>
      </c>
      <c r="F319" t="s">
        <v>23</v>
      </c>
      <c r="G319">
        <v>160867.07</v>
      </c>
      <c r="H319">
        <v>141128.01</v>
      </c>
      <c r="I319">
        <v>19739.060000000001</v>
      </c>
      <c r="J319">
        <v>23100.17</v>
      </c>
      <c r="K319">
        <v>21955.11</v>
      </c>
      <c r="L319">
        <v>70270.61</v>
      </c>
      <c r="M319">
        <v>1223</v>
      </c>
      <c r="N319">
        <v>-6.6600000000000006E-2</v>
      </c>
      <c r="O319">
        <f t="shared" si="8"/>
        <v>0.1227</v>
      </c>
      <c r="P319">
        <f t="shared" si="9"/>
        <v>0.31240000000000001</v>
      </c>
      <c r="Q319" t="s">
        <v>72</v>
      </c>
      <c r="R319">
        <v>2024</v>
      </c>
      <c r="S319" t="s">
        <v>40</v>
      </c>
    </row>
    <row r="320" spans="1:19" x14ac:dyDescent="0.3">
      <c r="A320" t="s">
        <v>393</v>
      </c>
      <c r="B320">
        <v>45792</v>
      </c>
      <c r="C320" t="s">
        <v>20</v>
      </c>
      <c r="D320" t="s">
        <v>21</v>
      </c>
      <c r="E320" t="s">
        <v>22</v>
      </c>
      <c r="F320" t="s">
        <v>23</v>
      </c>
      <c r="G320">
        <v>52277.47</v>
      </c>
      <c r="H320">
        <v>47618.34</v>
      </c>
      <c r="I320">
        <v>4659.13</v>
      </c>
      <c r="J320">
        <v>28637.53</v>
      </c>
      <c r="K320">
        <v>35399.519999999997</v>
      </c>
      <c r="L320">
        <v>104095.99</v>
      </c>
      <c r="M320">
        <v>665</v>
      </c>
      <c r="N320">
        <v>-3.3E-3</v>
      </c>
      <c r="O320">
        <f t="shared" si="8"/>
        <v>8.9099999999999999E-2</v>
      </c>
      <c r="P320">
        <f t="shared" si="9"/>
        <v>0.34010000000000001</v>
      </c>
      <c r="Q320" t="s">
        <v>34</v>
      </c>
      <c r="R320">
        <v>2025</v>
      </c>
      <c r="S320" t="s">
        <v>40</v>
      </c>
    </row>
    <row r="321" spans="1:19" x14ac:dyDescent="0.3">
      <c r="A321" t="s">
        <v>394</v>
      </c>
      <c r="B321">
        <v>45324</v>
      </c>
      <c r="C321" t="s">
        <v>36</v>
      </c>
      <c r="D321" t="s">
        <v>37</v>
      </c>
      <c r="E321" t="s">
        <v>38</v>
      </c>
      <c r="F321" t="s">
        <v>23</v>
      </c>
      <c r="G321">
        <v>23755.43</v>
      </c>
      <c r="H321">
        <v>13953.03</v>
      </c>
      <c r="I321">
        <v>9802.4</v>
      </c>
      <c r="J321">
        <v>27955.32</v>
      </c>
      <c r="K321">
        <v>21917.84</v>
      </c>
      <c r="L321">
        <v>77910.27</v>
      </c>
      <c r="M321">
        <v>873</v>
      </c>
      <c r="N321">
        <v>4.5999999999999999E-2</v>
      </c>
      <c r="O321">
        <f t="shared" si="8"/>
        <v>0.41260000000000002</v>
      </c>
      <c r="P321">
        <f t="shared" si="9"/>
        <v>0.28129999999999999</v>
      </c>
      <c r="Q321" t="s">
        <v>80</v>
      </c>
      <c r="R321">
        <v>2024</v>
      </c>
      <c r="S321" t="s">
        <v>25</v>
      </c>
    </row>
    <row r="322" spans="1:19" x14ac:dyDescent="0.3">
      <c r="A322" t="s">
        <v>395</v>
      </c>
      <c r="B322">
        <v>44671</v>
      </c>
      <c r="C322" t="s">
        <v>102</v>
      </c>
      <c r="D322" t="s">
        <v>103</v>
      </c>
      <c r="E322" t="s">
        <v>38</v>
      </c>
      <c r="F322" t="s">
        <v>23</v>
      </c>
      <c r="G322">
        <v>32309.13</v>
      </c>
      <c r="H322">
        <v>18015.330000000002</v>
      </c>
      <c r="I322">
        <v>14293.8</v>
      </c>
      <c r="J322">
        <v>49505.72</v>
      </c>
      <c r="K322">
        <v>18789</v>
      </c>
      <c r="L322">
        <v>185154.7</v>
      </c>
      <c r="M322">
        <v>488</v>
      </c>
      <c r="N322">
        <v>-6.5199999999999994E-2</v>
      </c>
      <c r="O322">
        <f t="shared" si="8"/>
        <v>0.44240000000000002</v>
      </c>
      <c r="P322">
        <f t="shared" si="9"/>
        <v>0.10150000000000001</v>
      </c>
      <c r="Q322" t="s">
        <v>58</v>
      </c>
      <c r="R322">
        <v>2022</v>
      </c>
      <c r="S322" t="s">
        <v>25</v>
      </c>
    </row>
    <row r="323" spans="1:19" x14ac:dyDescent="0.3">
      <c r="A323" t="s">
        <v>396</v>
      </c>
      <c r="B323">
        <v>45671</v>
      </c>
      <c r="C323" t="s">
        <v>42</v>
      </c>
      <c r="D323" t="s">
        <v>43</v>
      </c>
      <c r="E323" t="s">
        <v>38</v>
      </c>
      <c r="F323" t="s">
        <v>23</v>
      </c>
      <c r="G323">
        <v>83244.990000000005</v>
      </c>
      <c r="H323">
        <v>48140.38</v>
      </c>
      <c r="I323">
        <v>35104.61</v>
      </c>
      <c r="J323">
        <v>40163.379999999997</v>
      </c>
      <c r="K323">
        <v>53149.04</v>
      </c>
      <c r="L323">
        <v>224667.77</v>
      </c>
      <c r="M323">
        <v>867</v>
      </c>
      <c r="N323">
        <v>-8.1299999999999997E-2</v>
      </c>
      <c r="O323">
        <f t="shared" ref="O323:O386" si="10">(ROUND(I323/G323,4))</f>
        <v>0.42170000000000002</v>
      </c>
      <c r="P323">
        <f t="shared" ref="P323:P386" si="11">ROUND(K323/L323,4)</f>
        <v>0.2366</v>
      </c>
      <c r="Q323" t="s">
        <v>106</v>
      </c>
      <c r="R323">
        <v>2025</v>
      </c>
      <c r="S323" t="s">
        <v>25</v>
      </c>
    </row>
    <row r="324" spans="1:19" x14ac:dyDescent="0.3">
      <c r="A324" t="s">
        <v>397</v>
      </c>
      <c r="B324">
        <v>44799</v>
      </c>
      <c r="C324" t="s">
        <v>61</v>
      </c>
      <c r="D324" t="s">
        <v>74</v>
      </c>
      <c r="E324" t="s">
        <v>32</v>
      </c>
      <c r="F324" t="s">
        <v>23</v>
      </c>
      <c r="G324">
        <v>90317.77175</v>
      </c>
      <c r="H324">
        <v>64436.87</v>
      </c>
      <c r="I324">
        <v>25880.9</v>
      </c>
      <c r="J324">
        <v>35055.14</v>
      </c>
      <c r="K324">
        <v>29815.98</v>
      </c>
      <c r="L324">
        <v>114065.05</v>
      </c>
      <c r="M324">
        <v>573</v>
      </c>
      <c r="N324">
        <v>8.3699999999999997E-2</v>
      </c>
      <c r="O324">
        <f t="shared" si="10"/>
        <v>0.28660000000000002</v>
      </c>
      <c r="P324">
        <f t="shared" si="11"/>
        <v>0.26140000000000002</v>
      </c>
      <c r="Q324" t="s">
        <v>76</v>
      </c>
      <c r="R324">
        <v>2022</v>
      </c>
      <c r="S324" t="s">
        <v>25</v>
      </c>
    </row>
    <row r="325" spans="1:19" x14ac:dyDescent="0.3">
      <c r="A325" t="s">
        <v>398</v>
      </c>
      <c r="B325">
        <v>45674</v>
      </c>
      <c r="C325" t="s">
        <v>1282</v>
      </c>
      <c r="D325" t="s">
        <v>69</v>
      </c>
      <c r="E325" t="s">
        <v>32</v>
      </c>
      <c r="F325" t="s">
        <v>23</v>
      </c>
      <c r="G325">
        <v>275561.66544999997</v>
      </c>
      <c r="H325">
        <v>230785.17</v>
      </c>
      <c r="I325">
        <v>44776.5</v>
      </c>
      <c r="J325">
        <v>66523.53</v>
      </c>
      <c r="K325">
        <v>22117.13</v>
      </c>
      <c r="L325">
        <v>191993.57</v>
      </c>
      <c r="M325">
        <v>1557</v>
      </c>
      <c r="N325">
        <v>2.0299999999999999E-2</v>
      </c>
      <c r="O325">
        <f t="shared" si="10"/>
        <v>0.16250000000000001</v>
      </c>
      <c r="P325">
        <f t="shared" si="11"/>
        <v>0.1152</v>
      </c>
      <c r="Q325" t="s">
        <v>106</v>
      </c>
      <c r="R325">
        <v>2025</v>
      </c>
      <c r="S325" t="s">
        <v>25</v>
      </c>
    </row>
    <row r="326" spans="1:19" x14ac:dyDescent="0.3">
      <c r="A326" t="s">
        <v>399</v>
      </c>
      <c r="B326" s="4">
        <v>44601</v>
      </c>
      <c r="C326" t="s">
        <v>48</v>
      </c>
      <c r="D326" t="s">
        <v>49</v>
      </c>
      <c r="E326" t="s">
        <v>22</v>
      </c>
      <c r="F326" t="s">
        <v>23</v>
      </c>
      <c r="G326">
        <v>33865.97</v>
      </c>
      <c r="H326">
        <v>24758.57</v>
      </c>
      <c r="I326">
        <v>9107.4</v>
      </c>
      <c r="J326">
        <v>23165.77</v>
      </c>
      <c r="K326">
        <v>25798.62</v>
      </c>
      <c r="L326">
        <v>238098.23</v>
      </c>
      <c r="M326">
        <v>1573</v>
      </c>
      <c r="N326">
        <v>5.3E-3</v>
      </c>
      <c r="O326">
        <f t="shared" si="10"/>
        <v>0.26889999999999997</v>
      </c>
      <c r="P326">
        <f t="shared" si="11"/>
        <v>0.1084</v>
      </c>
      <c r="Q326" t="s">
        <v>90</v>
      </c>
      <c r="R326">
        <v>2022</v>
      </c>
      <c r="S326" t="s">
        <v>25</v>
      </c>
    </row>
    <row r="327" spans="1:19" x14ac:dyDescent="0.3">
      <c r="A327" t="s">
        <v>400</v>
      </c>
      <c r="B327">
        <v>44609</v>
      </c>
      <c r="C327" t="s">
        <v>20</v>
      </c>
      <c r="D327" t="s">
        <v>21</v>
      </c>
      <c r="E327" t="s">
        <v>38</v>
      </c>
      <c r="F327" t="s">
        <v>23</v>
      </c>
      <c r="G327">
        <v>24160.720000000001</v>
      </c>
      <c r="H327">
        <v>17346.82</v>
      </c>
      <c r="I327">
        <v>6813.9</v>
      </c>
      <c r="J327">
        <v>17203.599999999999</v>
      </c>
      <c r="K327">
        <v>18155.900000000001</v>
      </c>
      <c r="L327">
        <v>94755.97</v>
      </c>
      <c r="M327">
        <v>1010</v>
      </c>
      <c r="N327">
        <v>-8.4099999999999994E-2</v>
      </c>
      <c r="O327">
        <f t="shared" si="10"/>
        <v>0.28199999999999997</v>
      </c>
      <c r="P327">
        <f t="shared" si="11"/>
        <v>0.19159999999999999</v>
      </c>
      <c r="Q327" t="s">
        <v>90</v>
      </c>
      <c r="R327">
        <v>2022</v>
      </c>
      <c r="S327" t="s">
        <v>25</v>
      </c>
    </row>
    <row r="328" spans="1:19" x14ac:dyDescent="0.3">
      <c r="A328" t="s">
        <v>401</v>
      </c>
      <c r="B328">
        <v>44831</v>
      </c>
      <c r="C328" t="s">
        <v>78</v>
      </c>
      <c r="D328" t="s">
        <v>79</v>
      </c>
      <c r="E328" t="s">
        <v>32</v>
      </c>
      <c r="F328" t="s">
        <v>23</v>
      </c>
      <c r="G328">
        <v>37563.190600000002</v>
      </c>
      <c r="H328">
        <v>28340.87</v>
      </c>
      <c r="I328">
        <v>9222.32</v>
      </c>
      <c r="J328">
        <v>59749.19</v>
      </c>
      <c r="K328">
        <v>100403.48</v>
      </c>
      <c r="L328">
        <v>88303.71</v>
      </c>
      <c r="M328">
        <v>989</v>
      </c>
      <c r="N328">
        <v>-7.2300000000000003E-2</v>
      </c>
      <c r="O328">
        <f t="shared" si="10"/>
        <v>0.2455</v>
      </c>
      <c r="P328">
        <f t="shared" si="11"/>
        <v>1.137</v>
      </c>
      <c r="Q328" t="s">
        <v>76</v>
      </c>
      <c r="R328">
        <v>2022</v>
      </c>
      <c r="S328" t="s">
        <v>82</v>
      </c>
    </row>
    <row r="329" spans="1:19" x14ac:dyDescent="0.3">
      <c r="A329" t="s">
        <v>402</v>
      </c>
      <c r="B329">
        <v>45997</v>
      </c>
      <c r="C329" t="s">
        <v>36</v>
      </c>
      <c r="D329" t="s">
        <v>37</v>
      </c>
      <c r="E329" t="s">
        <v>38</v>
      </c>
      <c r="F329" t="s">
        <v>23</v>
      </c>
      <c r="G329">
        <v>13725.03</v>
      </c>
      <c r="H329">
        <v>12135.41</v>
      </c>
      <c r="I329">
        <v>1589.62</v>
      </c>
      <c r="J329">
        <v>27499.86</v>
      </c>
      <c r="K329">
        <v>81261.460000000006</v>
      </c>
      <c r="L329">
        <v>271461.3</v>
      </c>
      <c r="M329">
        <v>357</v>
      </c>
      <c r="N329">
        <v>7.9899999999999999E-2</v>
      </c>
      <c r="O329">
        <f t="shared" si="10"/>
        <v>0.1158</v>
      </c>
      <c r="P329">
        <f t="shared" si="11"/>
        <v>0.29930000000000001</v>
      </c>
      <c r="Q329" t="s">
        <v>66</v>
      </c>
      <c r="R329">
        <v>2025</v>
      </c>
      <c r="S329" t="s">
        <v>25</v>
      </c>
    </row>
    <row r="330" spans="1:19" x14ac:dyDescent="0.3">
      <c r="A330" t="s">
        <v>403</v>
      </c>
      <c r="B330">
        <v>45467</v>
      </c>
      <c r="C330" t="s">
        <v>85</v>
      </c>
      <c r="D330" t="s">
        <v>86</v>
      </c>
      <c r="E330" t="s">
        <v>32</v>
      </c>
      <c r="F330" t="s">
        <v>23</v>
      </c>
      <c r="G330">
        <v>52509.917550000006</v>
      </c>
      <c r="H330">
        <v>39698.04</v>
      </c>
      <c r="I330">
        <v>12811.87</v>
      </c>
      <c r="J330">
        <v>32017.49</v>
      </c>
      <c r="K330">
        <v>42474.239999999998</v>
      </c>
      <c r="L330">
        <v>129423.31</v>
      </c>
      <c r="M330">
        <v>1134</v>
      </c>
      <c r="N330">
        <v>-6.3299999999999995E-2</v>
      </c>
      <c r="O330">
        <f t="shared" si="10"/>
        <v>0.24399999999999999</v>
      </c>
      <c r="P330">
        <f t="shared" si="11"/>
        <v>0.32819999999999999</v>
      </c>
      <c r="Q330" t="s">
        <v>111</v>
      </c>
      <c r="R330">
        <v>2024</v>
      </c>
      <c r="S330" t="s">
        <v>40</v>
      </c>
    </row>
    <row r="331" spans="1:19" x14ac:dyDescent="0.3">
      <c r="A331" t="s">
        <v>404</v>
      </c>
      <c r="B331">
        <v>45286</v>
      </c>
      <c r="C331" t="s">
        <v>78</v>
      </c>
      <c r="D331" t="s">
        <v>79</v>
      </c>
      <c r="E331" t="s">
        <v>38</v>
      </c>
      <c r="F331" t="s">
        <v>23</v>
      </c>
      <c r="G331">
        <v>57848.27</v>
      </c>
      <c r="H331">
        <v>37451.06</v>
      </c>
      <c r="I331">
        <v>20397.21</v>
      </c>
      <c r="J331">
        <v>47917.85</v>
      </c>
      <c r="K331">
        <v>41268.46</v>
      </c>
      <c r="L331">
        <v>198420.41</v>
      </c>
      <c r="M331">
        <v>673</v>
      </c>
      <c r="N331">
        <v>4.4400000000000002E-2</v>
      </c>
      <c r="O331">
        <f t="shared" si="10"/>
        <v>0.35260000000000002</v>
      </c>
      <c r="P331">
        <f t="shared" si="11"/>
        <v>0.20799999999999999</v>
      </c>
      <c r="Q331" t="s">
        <v>44</v>
      </c>
      <c r="R331">
        <v>2023</v>
      </c>
      <c r="S331" t="s">
        <v>25</v>
      </c>
    </row>
    <row r="332" spans="1:19" x14ac:dyDescent="0.3">
      <c r="A332" t="s">
        <v>405</v>
      </c>
      <c r="B332">
        <v>45858</v>
      </c>
      <c r="C332" t="s">
        <v>48</v>
      </c>
      <c r="D332" t="s">
        <v>49</v>
      </c>
      <c r="E332" t="s">
        <v>32</v>
      </c>
      <c r="F332" t="s">
        <v>23</v>
      </c>
      <c r="G332">
        <v>43720.18765</v>
      </c>
      <c r="H332">
        <v>39389.53</v>
      </c>
      <c r="I332">
        <v>4330.6499999999996</v>
      </c>
      <c r="J332">
        <v>21740.65</v>
      </c>
      <c r="K332">
        <v>34512.559999999998</v>
      </c>
      <c r="L332">
        <v>127236.89</v>
      </c>
      <c r="M332">
        <v>1253</v>
      </c>
      <c r="N332">
        <v>8.4900000000000003E-2</v>
      </c>
      <c r="O332">
        <f t="shared" si="10"/>
        <v>9.9099999999999994E-2</v>
      </c>
      <c r="P332">
        <f t="shared" si="11"/>
        <v>0.2712</v>
      </c>
      <c r="Q332" t="s">
        <v>24</v>
      </c>
      <c r="R332">
        <v>2025</v>
      </c>
      <c r="S332" t="s">
        <v>25</v>
      </c>
    </row>
    <row r="333" spans="1:19" x14ac:dyDescent="0.3">
      <c r="A333" t="s">
        <v>406</v>
      </c>
      <c r="B333">
        <v>45283</v>
      </c>
      <c r="C333" t="s">
        <v>20</v>
      </c>
      <c r="D333" t="s">
        <v>21</v>
      </c>
      <c r="E333" t="s">
        <v>32</v>
      </c>
      <c r="F333" t="s">
        <v>23</v>
      </c>
      <c r="G333">
        <v>285550.1531</v>
      </c>
      <c r="H333">
        <v>255856.85</v>
      </c>
      <c r="I333">
        <v>29693.31</v>
      </c>
      <c r="J333">
        <v>40906.99</v>
      </c>
      <c r="K333">
        <v>99173.45</v>
      </c>
      <c r="L333">
        <v>76549.33</v>
      </c>
      <c r="M333">
        <v>2231</v>
      </c>
      <c r="N333">
        <v>-1.12E-2</v>
      </c>
      <c r="O333">
        <f t="shared" si="10"/>
        <v>0.104</v>
      </c>
      <c r="P333">
        <f t="shared" si="11"/>
        <v>1.2955000000000001</v>
      </c>
      <c r="Q333" t="s">
        <v>44</v>
      </c>
      <c r="R333">
        <v>2023</v>
      </c>
      <c r="S333" t="s">
        <v>82</v>
      </c>
    </row>
    <row r="334" spans="1:19" x14ac:dyDescent="0.3">
      <c r="A334" t="s">
        <v>407</v>
      </c>
      <c r="B334">
        <v>45410</v>
      </c>
      <c r="C334" t="s">
        <v>27</v>
      </c>
      <c r="D334" t="s">
        <v>28</v>
      </c>
      <c r="E334" t="s">
        <v>22</v>
      </c>
      <c r="F334" t="s">
        <v>23</v>
      </c>
      <c r="G334">
        <v>350295.24</v>
      </c>
      <c r="H334">
        <v>310685.3</v>
      </c>
      <c r="I334">
        <v>39609.94</v>
      </c>
      <c r="J334">
        <v>38370.5</v>
      </c>
      <c r="K334">
        <v>40401.21</v>
      </c>
      <c r="L334">
        <v>1176251.45</v>
      </c>
      <c r="M334">
        <v>351</v>
      </c>
      <c r="N334">
        <v>0.1394</v>
      </c>
      <c r="O334">
        <f t="shared" si="10"/>
        <v>0.11310000000000001</v>
      </c>
      <c r="P334">
        <f t="shared" si="11"/>
        <v>3.4299999999999997E-2</v>
      </c>
      <c r="Q334" t="s">
        <v>111</v>
      </c>
      <c r="R334">
        <v>2024</v>
      </c>
      <c r="S334" t="s">
        <v>25</v>
      </c>
    </row>
    <row r="335" spans="1:19" x14ac:dyDescent="0.3">
      <c r="A335" t="s">
        <v>408</v>
      </c>
      <c r="B335">
        <v>45629</v>
      </c>
      <c r="C335" t="s">
        <v>85</v>
      </c>
      <c r="D335" t="s">
        <v>86</v>
      </c>
      <c r="E335" t="s">
        <v>51</v>
      </c>
      <c r="F335" t="s">
        <v>23</v>
      </c>
      <c r="G335">
        <v>70998.710000000006</v>
      </c>
      <c r="H335">
        <v>45287.74</v>
      </c>
      <c r="I335">
        <v>25710.97</v>
      </c>
      <c r="J335">
        <v>24416.99</v>
      </c>
      <c r="K335">
        <v>32838.04</v>
      </c>
      <c r="L335">
        <v>55051.43</v>
      </c>
      <c r="M335">
        <v>622</v>
      </c>
      <c r="N335">
        <v>-3.1E-2</v>
      </c>
      <c r="O335">
        <f t="shared" si="10"/>
        <v>0.36209999999999998</v>
      </c>
      <c r="P335">
        <f t="shared" si="11"/>
        <v>0.59650000000000003</v>
      </c>
      <c r="Q335" t="s">
        <v>52</v>
      </c>
      <c r="R335">
        <v>2024</v>
      </c>
      <c r="S335" t="s">
        <v>40</v>
      </c>
    </row>
    <row r="336" spans="1:19" x14ac:dyDescent="0.3">
      <c r="A336" t="s">
        <v>409</v>
      </c>
      <c r="B336" s="4">
        <v>45627</v>
      </c>
      <c r="C336" t="s">
        <v>48</v>
      </c>
      <c r="D336" t="s">
        <v>49</v>
      </c>
      <c r="E336" t="s">
        <v>22</v>
      </c>
      <c r="F336" t="s">
        <v>23</v>
      </c>
      <c r="G336">
        <v>185150.83</v>
      </c>
      <c r="H336">
        <v>110429.5</v>
      </c>
      <c r="I336">
        <v>74721.33</v>
      </c>
      <c r="J336">
        <v>21365.54</v>
      </c>
      <c r="K336">
        <v>14991.44</v>
      </c>
      <c r="L336">
        <v>127074.13</v>
      </c>
      <c r="M336">
        <v>1222</v>
      </c>
      <c r="N336">
        <v>0.14860000000000001</v>
      </c>
      <c r="O336">
        <f t="shared" si="10"/>
        <v>0.40360000000000001</v>
      </c>
      <c r="P336">
        <f t="shared" si="11"/>
        <v>0.11799999999999999</v>
      </c>
      <c r="Q336" t="s">
        <v>52</v>
      </c>
      <c r="R336">
        <v>2024</v>
      </c>
      <c r="S336" t="s">
        <v>25</v>
      </c>
    </row>
    <row r="337" spans="1:19" x14ac:dyDescent="0.3">
      <c r="A337" t="s">
        <v>410</v>
      </c>
      <c r="B337">
        <v>44903</v>
      </c>
      <c r="C337" t="s">
        <v>20</v>
      </c>
      <c r="D337" t="s">
        <v>21</v>
      </c>
      <c r="E337" t="s">
        <v>51</v>
      </c>
      <c r="F337" t="s">
        <v>23</v>
      </c>
      <c r="G337">
        <v>77943.839999999997</v>
      </c>
      <c r="H337">
        <v>65226.55</v>
      </c>
      <c r="I337">
        <v>12717.29</v>
      </c>
      <c r="J337">
        <v>81398.350000000006</v>
      </c>
      <c r="K337">
        <v>15333.84</v>
      </c>
      <c r="L337">
        <v>105655.82</v>
      </c>
      <c r="M337">
        <v>1127</v>
      </c>
      <c r="N337">
        <v>2.47E-2</v>
      </c>
      <c r="O337">
        <f t="shared" si="10"/>
        <v>0.16320000000000001</v>
      </c>
      <c r="P337">
        <f t="shared" si="11"/>
        <v>0.14510000000000001</v>
      </c>
      <c r="Q337" t="s">
        <v>46</v>
      </c>
      <c r="R337">
        <v>2022</v>
      </c>
      <c r="S337" t="s">
        <v>25</v>
      </c>
    </row>
    <row r="338" spans="1:19" x14ac:dyDescent="0.3">
      <c r="A338" t="s">
        <v>411</v>
      </c>
      <c r="B338">
        <v>45591</v>
      </c>
      <c r="C338" t="s">
        <v>36</v>
      </c>
      <c r="D338" t="s">
        <v>37</v>
      </c>
      <c r="E338" t="s">
        <v>32</v>
      </c>
      <c r="F338" t="s">
        <v>23</v>
      </c>
      <c r="G338">
        <v>39082.70865</v>
      </c>
      <c r="H338">
        <v>33759.660000000003</v>
      </c>
      <c r="I338">
        <v>5323.05</v>
      </c>
      <c r="J338">
        <v>83970.44</v>
      </c>
      <c r="K338">
        <v>15123.61</v>
      </c>
      <c r="L338">
        <v>224318.39</v>
      </c>
      <c r="M338">
        <v>1331</v>
      </c>
      <c r="N338">
        <v>0.1205</v>
      </c>
      <c r="O338">
        <f t="shared" si="10"/>
        <v>0.13619999999999999</v>
      </c>
      <c r="P338">
        <f t="shared" si="11"/>
        <v>6.7400000000000002E-2</v>
      </c>
      <c r="Q338" t="s">
        <v>52</v>
      </c>
      <c r="R338">
        <v>2024</v>
      </c>
      <c r="S338" t="s">
        <v>25</v>
      </c>
    </row>
    <row r="339" spans="1:19" x14ac:dyDescent="0.3">
      <c r="A339" t="s">
        <v>412</v>
      </c>
      <c r="B339">
        <v>45940</v>
      </c>
      <c r="C339" t="s">
        <v>30</v>
      </c>
      <c r="D339" t="s">
        <v>31</v>
      </c>
      <c r="E339" t="s">
        <v>38</v>
      </c>
      <c r="F339" t="s">
        <v>23</v>
      </c>
      <c r="G339">
        <v>55352.38</v>
      </c>
      <c r="H339">
        <v>47842.6</v>
      </c>
      <c r="I339">
        <v>7509.78</v>
      </c>
      <c r="J339">
        <v>18502.71</v>
      </c>
      <c r="K339">
        <v>34996.67</v>
      </c>
      <c r="L339">
        <v>79638.460000000006</v>
      </c>
      <c r="M339">
        <v>867</v>
      </c>
      <c r="N339">
        <v>6.2600000000000003E-2</v>
      </c>
      <c r="O339">
        <f t="shared" si="10"/>
        <v>0.13569999999999999</v>
      </c>
      <c r="P339">
        <f t="shared" si="11"/>
        <v>0.43940000000000001</v>
      </c>
      <c r="Q339" t="s">
        <v>66</v>
      </c>
      <c r="R339">
        <v>2025</v>
      </c>
      <c r="S339" t="s">
        <v>40</v>
      </c>
    </row>
    <row r="340" spans="1:19" x14ac:dyDescent="0.3">
      <c r="A340" t="s">
        <v>413</v>
      </c>
      <c r="B340">
        <v>44698</v>
      </c>
      <c r="C340" t="s">
        <v>85</v>
      </c>
      <c r="D340" t="s">
        <v>86</v>
      </c>
      <c r="E340" t="s">
        <v>38</v>
      </c>
      <c r="F340" t="s">
        <v>23</v>
      </c>
      <c r="G340">
        <v>122815.91</v>
      </c>
      <c r="H340">
        <v>79952.11</v>
      </c>
      <c r="I340">
        <v>42863.8</v>
      </c>
      <c r="J340">
        <v>16467.64</v>
      </c>
      <c r="K340">
        <v>16066.48</v>
      </c>
      <c r="L340">
        <v>29878.11</v>
      </c>
      <c r="M340">
        <v>1011</v>
      </c>
      <c r="N340">
        <v>6.4399999999999999E-2</v>
      </c>
      <c r="O340">
        <f t="shared" si="10"/>
        <v>0.34899999999999998</v>
      </c>
      <c r="P340">
        <f t="shared" si="11"/>
        <v>0.53769999999999996</v>
      </c>
      <c r="Q340" t="s">
        <v>58</v>
      </c>
      <c r="R340">
        <v>2022</v>
      </c>
      <c r="S340" t="s">
        <v>40</v>
      </c>
    </row>
    <row r="341" spans="1:19" x14ac:dyDescent="0.3">
      <c r="A341" t="s">
        <v>414</v>
      </c>
      <c r="B341">
        <v>44713</v>
      </c>
      <c r="C341" t="s">
        <v>102</v>
      </c>
      <c r="D341" t="s">
        <v>103</v>
      </c>
      <c r="E341" t="s">
        <v>32</v>
      </c>
      <c r="F341" t="s">
        <v>23</v>
      </c>
      <c r="G341">
        <v>120977.58560000001</v>
      </c>
      <c r="H341">
        <v>69026.67</v>
      </c>
      <c r="I341">
        <v>51950.92</v>
      </c>
      <c r="J341">
        <v>61372.32</v>
      </c>
      <c r="K341">
        <v>14418.56</v>
      </c>
      <c r="L341">
        <v>315585.13</v>
      </c>
      <c r="M341">
        <v>1365</v>
      </c>
      <c r="N341">
        <v>-7.7000000000000002E-3</v>
      </c>
      <c r="O341">
        <f t="shared" si="10"/>
        <v>0.4294</v>
      </c>
      <c r="P341">
        <f t="shared" si="11"/>
        <v>4.5699999999999998E-2</v>
      </c>
      <c r="Q341" t="s">
        <v>58</v>
      </c>
      <c r="R341">
        <v>2022</v>
      </c>
      <c r="S341" t="s">
        <v>25</v>
      </c>
    </row>
    <row r="342" spans="1:19" x14ac:dyDescent="0.3">
      <c r="A342" t="s">
        <v>415</v>
      </c>
      <c r="B342">
        <v>45717</v>
      </c>
      <c r="C342" t="s">
        <v>42</v>
      </c>
      <c r="D342" t="s">
        <v>43</v>
      </c>
      <c r="E342" t="s">
        <v>22</v>
      </c>
      <c r="F342" t="s">
        <v>23</v>
      </c>
      <c r="G342">
        <v>152993.85999999999</v>
      </c>
      <c r="H342">
        <v>99523.16</v>
      </c>
      <c r="I342">
        <v>53470.7</v>
      </c>
      <c r="J342">
        <v>15147.56</v>
      </c>
      <c r="K342">
        <v>18000.95</v>
      </c>
      <c r="L342">
        <v>56522.62</v>
      </c>
      <c r="M342">
        <v>616</v>
      </c>
      <c r="N342">
        <v>-0.13139999999999999</v>
      </c>
      <c r="O342">
        <f t="shared" si="10"/>
        <v>0.34949999999999998</v>
      </c>
      <c r="P342">
        <f t="shared" si="11"/>
        <v>0.31850000000000001</v>
      </c>
      <c r="Q342" t="s">
        <v>106</v>
      </c>
      <c r="R342">
        <v>2025</v>
      </c>
      <c r="S342" t="s">
        <v>40</v>
      </c>
    </row>
    <row r="343" spans="1:19" x14ac:dyDescent="0.3">
      <c r="A343" t="s">
        <v>416</v>
      </c>
      <c r="B343" s="4">
        <v>45007</v>
      </c>
      <c r="C343" t="s">
        <v>48</v>
      </c>
      <c r="D343" t="s">
        <v>49</v>
      </c>
      <c r="E343" t="s">
        <v>22</v>
      </c>
      <c r="F343" t="s">
        <v>23</v>
      </c>
      <c r="G343">
        <v>37435.47</v>
      </c>
      <c r="H343">
        <v>30038.1</v>
      </c>
      <c r="I343">
        <v>7397.37</v>
      </c>
      <c r="J343">
        <v>31993.93</v>
      </c>
      <c r="K343">
        <v>50041.79</v>
      </c>
      <c r="L343">
        <v>199545.44</v>
      </c>
      <c r="M343">
        <v>398</v>
      </c>
      <c r="N343">
        <v>0.113</v>
      </c>
      <c r="O343">
        <f t="shared" si="10"/>
        <v>0.1976</v>
      </c>
      <c r="P343">
        <f t="shared" si="11"/>
        <v>0.25080000000000002</v>
      </c>
      <c r="Q343" t="s">
        <v>118</v>
      </c>
      <c r="R343">
        <v>2023</v>
      </c>
      <c r="S343" t="s">
        <v>25</v>
      </c>
    </row>
    <row r="344" spans="1:19" x14ac:dyDescent="0.3">
      <c r="A344" t="s">
        <v>417</v>
      </c>
      <c r="B344">
        <v>45697</v>
      </c>
      <c r="C344" t="s">
        <v>85</v>
      </c>
      <c r="D344" t="s">
        <v>86</v>
      </c>
      <c r="E344" t="s">
        <v>51</v>
      </c>
      <c r="F344" t="s">
        <v>23</v>
      </c>
      <c r="G344">
        <v>40414.67</v>
      </c>
      <c r="H344">
        <v>35282.699999999997</v>
      </c>
      <c r="I344">
        <v>5131.97</v>
      </c>
      <c r="J344">
        <v>37493.67</v>
      </c>
      <c r="K344">
        <v>122654.89</v>
      </c>
      <c r="L344">
        <v>108097.4</v>
      </c>
      <c r="M344">
        <v>1680</v>
      </c>
      <c r="N344">
        <v>-0.14369999999999999</v>
      </c>
      <c r="O344">
        <f t="shared" si="10"/>
        <v>0.127</v>
      </c>
      <c r="P344">
        <f t="shared" si="11"/>
        <v>1.1347</v>
      </c>
      <c r="Q344" t="s">
        <v>106</v>
      </c>
      <c r="R344">
        <v>2025</v>
      </c>
      <c r="S344" t="s">
        <v>82</v>
      </c>
    </row>
    <row r="345" spans="1:19" x14ac:dyDescent="0.3">
      <c r="A345" t="s">
        <v>418</v>
      </c>
      <c r="B345">
        <v>45064</v>
      </c>
      <c r="C345" t="s">
        <v>42</v>
      </c>
      <c r="D345" t="s">
        <v>43</v>
      </c>
      <c r="E345" t="s">
        <v>38</v>
      </c>
      <c r="F345" t="s">
        <v>23</v>
      </c>
      <c r="G345">
        <v>124145.58</v>
      </c>
      <c r="H345">
        <v>72815.45</v>
      </c>
      <c r="I345">
        <v>51330.13</v>
      </c>
      <c r="J345">
        <v>19913.2</v>
      </c>
      <c r="K345">
        <v>22760.91</v>
      </c>
      <c r="L345">
        <v>56947.62</v>
      </c>
      <c r="M345">
        <v>971</v>
      </c>
      <c r="N345">
        <v>-5.2699999999999997E-2</v>
      </c>
      <c r="O345">
        <f t="shared" si="10"/>
        <v>0.41349999999999998</v>
      </c>
      <c r="P345">
        <f t="shared" si="11"/>
        <v>0.3997</v>
      </c>
      <c r="Q345" t="s">
        <v>39</v>
      </c>
      <c r="R345">
        <v>2023</v>
      </c>
      <c r="S345" t="s">
        <v>40</v>
      </c>
    </row>
    <row r="346" spans="1:19" x14ac:dyDescent="0.3">
      <c r="A346" t="s">
        <v>419</v>
      </c>
      <c r="B346">
        <v>45313</v>
      </c>
      <c r="C346" t="s">
        <v>27</v>
      </c>
      <c r="D346" t="s">
        <v>28</v>
      </c>
      <c r="E346" t="s">
        <v>38</v>
      </c>
      <c r="F346" t="s">
        <v>23</v>
      </c>
      <c r="G346">
        <v>115021.59</v>
      </c>
      <c r="H346">
        <v>89517.77</v>
      </c>
      <c r="I346">
        <v>25503.82</v>
      </c>
      <c r="J346">
        <v>65667.009999999995</v>
      </c>
      <c r="K346">
        <v>20111.18</v>
      </c>
      <c r="L346">
        <v>151316.01999999999</v>
      </c>
      <c r="M346">
        <v>1024</v>
      </c>
      <c r="N346">
        <v>3.8300000000000001E-2</v>
      </c>
      <c r="O346">
        <f t="shared" si="10"/>
        <v>0.22170000000000001</v>
      </c>
      <c r="P346">
        <f t="shared" si="11"/>
        <v>0.13289999999999999</v>
      </c>
      <c r="Q346" t="s">
        <v>80</v>
      </c>
      <c r="R346">
        <v>2024</v>
      </c>
      <c r="S346" t="s">
        <v>25</v>
      </c>
    </row>
    <row r="347" spans="1:19" x14ac:dyDescent="0.3">
      <c r="A347" t="s">
        <v>420</v>
      </c>
      <c r="B347">
        <v>45454</v>
      </c>
      <c r="C347" t="s">
        <v>102</v>
      </c>
      <c r="D347" t="s">
        <v>103</v>
      </c>
      <c r="E347" t="s">
        <v>38</v>
      </c>
      <c r="F347" t="s">
        <v>23</v>
      </c>
      <c r="G347">
        <v>21161.21</v>
      </c>
      <c r="H347">
        <v>12032.88</v>
      </c>
      <c r="I347">
        <v>9128.33</v>
      </c>
      <c r="J347">
        <v>17992.86</v>
      </c>
      <c r="K347">
        <v>29839.86</v>
      </c>
      <c r="L347">
        <v>65744.789999999994</v>
      </c>
      <c r="M347">
        <v>452</v>
      </c>
      <c r="N347">
        <v>-7.4999999999999997E-3</v>
      </c>
      <c r="O347">
        <f t="shared" si="10"/>
        <v>0.43140000000000001</v>
      </c>
      <c r="P347">
        <f t="shared" si="11"/>
        <v>0.45390000000000003</v>
      </c>
      <c r="Q347" t="s">
        <v>111</v>
      </c>
      <c r="R347">
        <v>2024</v>
      </c>
      <c r="S347" t="s">
        <v>40</v>
      </c>
    </row>
    <row r="348" spans="1:19" x14ac:dyDescent="0.3">
      <c r="A348" t="s">
        <v>421</v>
      </c>
      <c r="B348">
        <v>45776</v>
      </c>
      <c r="C348" t="s">
        <v>48</v>
      </c>
      <c r="D348" t="s">
        <v>49</v>
      </c>
      <c r="E348" t="s">
        <v>38</v>
      </c>
      <c r="F348" t="s">
        <v>23</v>
      </c>
      <c r="G348" t="s">
        <v>1281</v>
      </c>
      <c r="H348">
        <v>91805.29</v>
      </c>
      <c r="I348" t="s">
        <v>1281</v>
      </c>
      <c r="J348">
        <v>40705.17</v>
      </c>
      <c r="K348">
        <v>18202</v>
      </c>
      <c r="L348">
        <v>122755.53</v>
      </c>
      <c r="M348">
        <v>931</v>
      </c>
      <c r="N348">
        <v>-3.73E-2</v>
      </c>
      <c r="O348" t="s">
        <v>1281</v>
      </c>
      <c r="P348">
        <f t="shared" si="11"/>
        <v>0.14829999999999999</v>
      </c>
      <c r="Q348" t="s">
        <v>34</v>
      </c>
      <c r="R348">
        <v>2025</v>
      </c>
      <c r="S348" t="s">
        <v>25</v>
      </c>
    </row>
    <row r="349" spans="1:19" x14ac:dyDescent="0.3">
      <c r="A349" t="s">
        <v>422</v>
      </c>
      <c r="B349" s="4">
        <v>45057</v>
      </c>
      <c r="C349" t="s">
        <v>48</v>
      </c>
      <c r="D349" t="s">
        <v>49</v>
      </c>
      <c r="E349" t="s">
        <v>22</v>
      </c>
      <c r="F349" t="s">
        <v>23</v>
      </c>
      <c r="G349">
        <v>163077.56</v>
      </c>
      <c r="H349">
        <v>103041.91</v>
      </c>
      <c r="I349">
        <v>60035.65</v>
      </c>
      <c r="J349">
        <v>31405.32</v>
      </c>
      <c r="K349">
        <v>70277.67</v>
      </c>
      <c r="L349">
        <v>73708.990000000005</v>
      </c>
      <c r="M349">
        <v>746</v>
      </c>
      <c r="N349">
        <v>9.6500000000000002E-2</v>
      </c>
      <c r="O349">
        <f t="shared" si="10"/>
        <v>0.36809999999999998</v>
      </c>
      <c r="P349">
        <f t="shared" si="11"/>
        <v>0.95340000000000003</v>
      </c>
      <c r="Q349" t="s">
        <v>39</v>
      </c>
      <c r="R349">
        <v>2023</v>
      </c>
      <c r="S349" t="s">
        <v>82</v>
      </c>
    </row>
    <row r="350" spans="1:19" x14ac:dyDescent="0.3">
      <c r="A350" t="s">
        <v>423</v>
      </c>
      <c r="B350">
        <v>45577</v>
      </c>
      <c r="C350" t="s">
        <v>48</v>
      </c>
      <c r="D350" t="s">
        <v>49</v>
      </c>
      <c r="E350" t="s">
        <v>38</v>
      </c>
      <c r="F350" t="s">
        <v>23</v>
      </c>
      <c r="G350" t="s">
        <v>1281</v>
      </c>
      <c r="H350" t="s">
        <v>1281</v>
      </c>
      <c r="I350" t="s">
        <v>1281</v>
      </c>
      <c r="J350">
        <v>45001.59</v>
      </c>
      <c r="K350">
        <v>26331.85</v>
      </c>
      <c r="L350">
        <v>85727.55</v>
      </c>
      <c r="M350">
        <v>535</v>
      </c>
      <c r="N350">
        <v>-1.34E-2</v>
      </c>
      <c r="O350" t="s">
        <v>1281</v>
      </c>
      <c r="P350">
        <f t="shared" si="11"/>
        <v>0.30719999999999997</v>
      </c>
      <c r="Q350" t="s">
        <v>52</v>
      </c>
      <c r="R350">
        <v>2024</v>
      </c>
      <c r="S350" t="s">
        <v>40</v>
      </c>
    </row>
    <row r="351" spans="1:19" x14ac:dyDescent="0.3">
      <c r="A351" t="s">
        <v>424</v>
      </c>
      <c r="B351">
        <v>45346</v>
      </c>
      <c r="C351" t="s">
        <v>1282</v>
      </c>
      <c r="D351" t="s">
        <v>69</v>
      </c>
      <c r="E351" t="s">
        <v>51</v>
      </c>
      <c r="F351" t="s">
        <v>23</v>
      </c>
      <c r="G351">
        <v>45785.85</v>
      </c>
      <c r="H351">
        <v>33860.980000000003</v>
      </c>
      <c r="I351">
        <v>11924.87</v>
      </c>
      <c r="J351">
        <v>19271.88</v>
      </c>
      <c r="K351">
        <v>61420.22</v>
      </c>
      <c r="L351">
        <v>183555.97</v>
      </c>
      <c r="M351">
        <v>1251</v>
      </c>
      <c r="N351">
        <v>-7.1900000000000006E-2</v>
      </c>
      <c r="O351">
        <f t="shared" si="10"/>
        <v>0.26040000000000002</v>
      </c>
      <c r="P351">
        <f t="shared" si="11"/>
        <v>0.33460000000000001</v>
      </c>
      <c r="Q351" t="s">
        <v>80</v>
      </c>
      <c r="R351">
        <v>2024</v>
      </c>
      <c r="S351" t="s">
        <v>40</v>
      </c>
    </row>
    <row r="352" spans="1:19" x14ac:dyDescent="0.3">
      <c r="A352" t="s">
        <v>425</v>
      </c>
      <c r="B352">
        <v>45902</v>
      </c>
      <c r="C352" t="s">
        <v>61</v>
      </c>
      <c r="D352" t="s">
        <v>74</v>
      </c>
      <c r="E352" t="s">
        <v>22</v>
      </c>
      <c r="F352" t="s">
        <v>23</v>
      </c>
      <c r="G352">
        <v>132337.96</v>
      </c>
      <c r="H352">
        <v>119903.05</v>
      </c>
      <c r="I352">
        <v>12434.91</v>
      </c>
      <c r="J352">
        <v>29765.19</v>
      </c>
      <c r="K352">
        <v>96455.67</v>
      </c>
      <c r="L352">
        <v>75583.820000000007</v>
      </c>
      <c r="M352">
        <v>2565</v>
      </c>
      <c r="N352">
        <v>0.15659999999999999</v>
      </c>
      <c r="O352">
        <f t="shared" si="10"/>
        <v>9.4E-2</v>
      </c>
      <c r="P352">
        <f t="shared" si="11"/>
        <v>1.2761</v>
      </c>
      <c r="Q352" t="s">
        <v>24</v>
      </c>
      <c r="R352">
        <v>2025</v>
      </c>
      <c r="S352" t="s">
        <v>82</v>
      </c>
    </row>
    <row r="353" spans="1:19" x14ac:dyDescent="0.3">
      <c r="A353" t="s">
        <v>426</v>
      </c>
      <c r="B353">
        <v>45369</v>
      </c>
      <c r="C353" t="s">
        <v>27</v>
      </c>
      <c r="D353" t="s">
        <v>28</v>
      </c>
      <c r="E353" t="s">
        <v>38</v>
      </c>
      <c r="F353" t="s">
        <v>23</v>
      </c>
      <c r="G353">
        <v>89890.240000000005</v>
      </c>
      <c r="H353">
        <v>50833.7</v>
      </c>
      <c r="I353">
        <v>39056.54</v>
      </c>
      <c r="J353">
        <v>26029.81</v>
      </c>
      <c r="K353">
        <v>10302.19</v>
      </c>
      <c r="L353">
        <v>74118.8</v>
      </c>
      <c r="M353">
        <v>961</v>
      </c>
      <c r="N353">
        <v>8.6400000000000005E-2</v>
      </c>
      <c r="O353">
        <f t="shared" si="10"/>
        <v>0.4345</v>
      </c>
      <c r="P353">
        <f t="shared" si="11"/>
        <v>0.13900000000000001</v>
      </c>
      <c r="Q353" t="s">
        <v>80</v>
      </c>
      <c r="R353">
        <v>2024</v>
      </c>
      <c r="S353" t="s">
        <v>25</v>
      </c>
    </row>
    <row r="354" spans="1:19" x14ac:dyDescent="0.3">
      <c r="A354" t="s">
        <v>427</v>
      </c>
      <c r="B354">
        <v>44732</v>
      </c>
      <c r="C354" t="s">
        <v>85</v>
      </c>
      <c r="D354" t="s">
        <v>86</v>
      </c>
      <c r="E354" t="s">
        <v>38</v>
      </c>
      <c r="F354" t="s">
        <v>23</v>
      </c>
      <c r="G354">
        <v>41356.93</v>
      </c>
      <c r="H354" t="s">
        <v>1281</v>
      </c>
      <c r="I354" t="s">
        <v>1281</v>
      </c>
      <c r="J354">
        <v>15057.8</v>
      </c>
      <c r="K354">
        <v>25842.45</v>
      </c>
      <c r="L354">
        <v>52131.28</v>
      </c>
      <c r="M354">
        <v>453</v>
      </c>
      <c r="N354">
        <v>-6.4699999999999994E-2</v>
      </c>
      <c r="O354" t="s">
        <v>1281</v>
      </c>
      <c r="P354">
        <f t="shared" si="11"/>
        <v>0.49569999999999997</v>
      </c>
      <c r="Q354" t="s">
        <v>58</v>
      </c>
      <c r="R354">
        <v>2022</v>
      </c>
      <c r="S354" t="s">
        <v>40</v>
      </c>
    </row>
    <row r="355" spans="1:19" x14ac:dyDescent="0.3">
      <c r="A355" t="s">
        <v>428</v>
      </c>
      <c r="B355">
        <v>45815</v>
      </c>
      <c r="C355" t="s">
        <v>30</v>
      </c>
      <c r="D355" t="s">
        <v>31</v>
      </c>
      <c r="E355" t="s">
        <v>38</v>
      </c>
      <c r="F355" t="s">
        <v>23</v>
      </c>
      <c r="G355">
        <v>266573.64</v>
      </c>
      <c r="H355">
        <v>188875.27</v>
      </c>
      <c r="I355">
        <v>77698.37</v>
      </c>
      <c r="J355">
        <v>42009.87</v>
      </c>
      <c r="K355">
        <v>50017.31</v>
      </c>
      <c r="L355">
        <v>132661.57</v>
      </c>
      <c r="M355">
        <v>997</v>
      </c>
      <c r="N355">
        <v>-8.6E-3</v>
      </c>
      <c r="O355">
        <f t="shared" si="10"/>
        <v>0.29149999999999998</v>
      </c>
      <c r="P355">
        <f t="shared" si="11"/>
        <v>0.377</v>
      </c>
      <c r="Q355" t="s">
        <v>34</v>
      </c>
      <c r="R355">
        <v>2025</v>
      </c>
      <c r="S355" t="s">
        <v>40</v>
      </c>
    </row>
    <row r="356" spans="1:19" x14ac:dyDescent="0.3">
      <c r="A356" t="s">
        <v>429</v>
      </c>
      <c r="B356">
        <v>45055</v>
      </c>
      <c r="C356" t="s">
        <v>85</v>
      </c>
      <c r="D356" t="s">
        <v>86</v>
      </c>
      <c r="E356" t="s">
        <v>51</v>
      </c>
      <c r="F356" t="s">
        <v>23</v>
      </c>
      <c r="G356">
        <v>86272.65</v>
      </c>
      <c r="H356">
        <v>63425.63</v>
      </c>
      <c r="I356">
        <v>22847.02</v>
      </c>
      <c r="J356">
        <v>25324.77</v>
      </c>
      <c r="K356">
        <v>7675.85</v>
      </c>
      <c r="L356">
        <v>69201.210000000006</v>
      </c>
      <c r="M356">
        <v>413</v>
      </c>
      <c r="N356">
        <v>3.7199999999999997E-2</v>
      </c>
      <c r="O356">
        <f t="shared" si="10"/>
        <v>0.26479999999999998</v>
      </c>
      <c r="P356">
        <f t="shared" si="11"/>
        <v>0.1109</v>
      </c>
      <c r="Q356" t="s">
        <v>39</v>
      </c>
      <c r="R356">
        <v>2023</v>
      </c>
      <c r="S356" t="s">
        <v>25</v>
      </c>
    </row>
    <row r="357" spans="1:19" x14ac:dyDescent="0.3">
      <c r="A357" t="s">
        <v>430</v>
      </c>
      <c r="B357">
        <v>45185</v>
      </c>
      <c r="C357" t="s">
        <v>61</v>
      </c>
      <c r="D357" t="s">
        <v>74</v>
      </c>
      <c r="E357" t="s">
        <v>32</v>
      </c>
      <c r="F357" t="s">
        <v>23</v>
      </c>
      <c r="G357">
        <v>92497.256350000011</v>
      </c>
      <c r="H357">
        <v>79227.66</v>
      </c>
      <c r="I357">
        <v>13269.6</v>
      </c>
      <c r="J357">
        <v>75274.77</v>
      </c>
      <c r="K357">
        <v>68688.55</v>
      </c>
      <c r="L357">
        <v>229929.34</v>
      </c>
      <c r="M357">
        <v>542</v>
      </c>
      <c r="N357">
        <v>-4.5400000000000003E-2</v>
      </c>
      <c r="O357">
        <f t="shared" si="10"/>
        <v>0.14349999999999999</v>
      </c>
      <c r="P357">
        <f t="shared" si="11"/>
        <v>0.29870000000000002</v>
      </c>
      <c r="Q357" t="s">
        <v>56</v>
      </c>
      <c r="R357">
        <v>2023</v>
      </c>
      <c r="S357" t="s">
        <v>25</v>
      </c>
    </row>
    <row r="358" spans="1:19" x14ac:dyDescent="0.3">
      <c r="A358" t="s">
        <v>431</v>
      </c>
      <c r="B358">
        <v>45287</v>
      </c>
      <c r="C358" t="s">
        <v>30</v>
      </c>
      <c r="D358" t="s">
        <v>31</v>
      </c>
      <c r="E358" t="s">
        <v>38</v>
      </c>
      <c r="F358" t="s">
        <v>23</v>
      </c>
      <c r="G358">
        <v>62624.11</v>
      </c>
      <c r="H358">
        <v>37511.199999999997</v>
      </c>
      <c r="I358">
        <v>25112.91</v>
      </c>
      <c r="J358">
        <v>80869.77</v>
      </c>
      <c r="K358">
        <v>88484.99</v>
      </c>
      <c r="L358">
        <v>100775.2</v>
      </c>
      <c r="M358">
        <v>1751</v>
      </c>
      <c r="N358">
        <v>-8.0999999999999996E-3</v>
      </c>
      <c r="O358">
        <f t="shared" si="10"/>
        <v>0.40100000000000002</v>
      </c>
      <c r="P358">
        <f t="shared" si="11"/>
        <v>0.878</v>
      </c>
      <c r="Q358" t="s">
        <v>44</v>
      </c>
      <c r="R358">
        <v>2023</v>
      </c>
      <c r="S358" t="s">
        <v>82</v>
      </c>
    </row>
    <row r="359" spans="1:19" x14ac:dyDescent="0.3">
      <c r="A359" t="s">
        <v>432</v>
      </c>
      <c r="B359">
        <v>45160</v>
      </c>
      <c r="C359" t="s">
        <v>78</v>
      </c>
      <c r="D359" t="s">
        <v>79</v>
      </c>
      <c r="E359" t="s">
        <v>22</v>
      </c>
      <c r="F359" t="s">
        <v>23</v>
      </c>
      <c r="G359">
        <v>16001.85</v>
      </c>
      <c r="H359">
        <v>10603.82</v>
      </c>
      <c r="I359">
        <v>5398.03</v>
      </c>
      <c r="J359">
        <v>12623.15</v>
      </c>
      <c r="K359">
        <v>22989.26</v>
      </c>
      <c r="L359">
        <v>134635.82999999999</v>
      </c>
      <c r="M359">
        <v>1317</v>
      </c>
      <c r="N359">
        <v>9.4999999999999998E-3</v>
      </c>
      <c r="O359">
        <f t="shared" si="10"/>
        <v>0.33729999999999999</v>
      </c>
      <c r="P359">
        <f t="shared" si="11"/>
        <v>0.17080000000000001</v>
      </c>
      <c r="Q359" t="s">
        <v>56</v>
      </c>
      <c r="R359">
        <v>2023</v>
      </c>
      <c r="S359" t="s">
        <v>25</v>
      </c>
    </row>
    <row r="360" spans="1:19" x14ac:dyDescent="0.3">
      <c r="A360" t="s">
        <v>433</v>
      </c>
      <c r="B360">
        <v>45822</v>
      </c>
      <c r="C360" t="s">
        <v>78</v>
      </c>
      <c r="D360" t="s">
        <v>79</v>
      </c>
      <c r="E360" t="s">
        <v>38</v>
      </c>
      <c r="F360" t="s">
        <v>23</v>
      </c>
      <c r="G360">
        <v>23466.17</v>
      </c>
      <c r="H360">
        <v>19828.16</v>
      </c>
      <c r="I360">
        <v>3638.01</v>
      </c>
      <c r="J360">
        <v>131499.28</v>
      </c>
      <c r="K360">
        <v>57198.16</v>
      </c>
      <c r="L360">
        <v>269189.51</v>
      </c>
      <c r="M360">
        <v>1461</v>
      </c>
      <c r="N360">
        <v>-3.2500000000000001E-2</v>
      </c>
      <c r="O360">
        <f t="shared" si="10"/>
        <v>0.155</v>
      </c>
      <c r="P360">
        <f t="shared" si="11"/>
        <v>0.21249999999999999</v>
      </c>
      <c r="Q360" t="s">
        <v>34</v>
      </c>
      <c r="R360">
        <v>2025</v>
      </c>
      <c r="S360" t="s">
        <v>25</v>
      </c>
    </row>
    <row r="361" spans="1:19" x14ac:dyDescent="0.3">
      <c r="A361" t="s">
        <v>434</v>
      </c>
      <c r="B361">
        <v>44677</v>
      </c>
      <c r="C361" t="s">
        <v>78</v>
      </c>
      <c r="D361" t="s">
        <v>79</v>
      </c>
      <c r="E361" t="s">
        <v>22</v>
      </c>
      <c r="F361" t="s">
        <v>23</v>
      </c>
      <c r="G361">
        <v>50187.43</v>
      </c>
      <c r="H361">
        <v>31966.78</v>
      </c>
      <c r="I361">
        <v>18220.650000000001</v>
      </c>
      <c r="J361">
        <v>28071.74</v>
      </c>
      <c r="K361">
        <v>11352.24</v>
      </c>
      <c r="L361">
        <v>58673.02</v>
      </c>
      <c r="M361">
        <v>579</v>
      </c>
      <c r="N361">
        <v>-6.2300000000000001E-2</v>
      </c>
      <c r="O361">
        <f t="shared" si="10"/>
        <v>0.36309999999999998</v>
      </c>
      <c r="P361">
        <f t="shared" si="11"/>
        <v>0.19350000000000001</v>
      </c>
      <c r="Q361" t="s">
        <v>58</v>
      </c>
      <c r="R361">
        <v>2022</v>
      </c>
      <c r="S361" t="s">
        <v>25</v>
      </c>
    </row>
    <row r="362" spans="1:19" x14ac:dyDescent="0.3">
      <c r="A362" t="s">
        <v>435</v>
      </c>
      <c r="B362">
        <v>44615</v>
      </c>
      <c r="C362" t="s">
        <v>78</v>
      </c>
      <c r="D362" t="s">
        <v>79</v>
      </c>
      <c r="E362" t="s">
        <v>32</v>
      </c>
      <c r="F362" t="s">
        <v>23</v>
      </c>
      <c r="G362">
        <v>65064.934150000001</v>
      </c>
      <c r="H362">
        <v>36018.92</v>
      </c>
      <c r="I362">
        <v>29046.02</v>
      </c>
      <c r="J362">
        <v>14230.11</v>
      </c>
      <c r="K362">
        <v>43586.94</v>
      </c>
      <c r="L362">
        <v>127703.03</v>
      </c>
      <c r="M362">
        <v>547</v>
      </c>
      <c r="N362">
        <v>-5.0900000000000001E-2</v>
      </c>
      <c r="O362">
        <f t="shared" si="10"/>
        <v>0.44640000000000002</v>
      </c>
      <c r="P362">
        <f t="shared" si="11"/>
        <v>0.34129999999999999</v>
      </c>
      <c r="Q362" t="s">
        <v>90</v>
      </c>
      <c r="R362">
        <v>2022</v>
      </c>
      <c r="S362" t="s">
        <v>40</v>
      </c>
    </row>
    <row r="363" spans="1:19" x14ac:dyDescent="0.3">
      <c r="A363" t="s">
        <v>436</v>
      </c>
      <c r="B363">
        <v>45918</v>
      </c>
      <c r="C363" t="s">
        <v>61</v>
      </c>
      <c r="D363" t="s">
        <v>74</v>
      </c>
      <c r="E363" t="s">
        <v>32</v>
      </c>
      <c r="F363" t="s">
        <v>23</v>
      </c>
      <c r="G363">
        <v>77437.678200000009</v>
      </c>
      <c r="H363">
        <v>44363.87</v>
      </c>
      <c r="I363">
        <v>33073.81</v>
      </c>
      <c r="J363">
        <v>38051.480000000003</v>
      </c>
      <c r="K363">
        <v>215070.27</v>
      </c>
      <c r="L363">
        <v>219847.31</v>
      </c>
      <c r="M363">
        <v>697</v>
      </c>
      <c r="N363">
        <v>3.8699999999999998E-2</v>
      </c>
      <c r="O363">
        <f t="shared" si="10"/>
        <v>0.42709999999999998</v>
      </c>
      <c r="P363">
        <f t="shared" si="11"/>
        <v>0.97829999999999995</v>
      </c>
      <c r="Q363" t="s">
        <v>24</v>
      </c>
      <c r="R363">
        <v>2025</v>
      </c>
      <c r="S363" t="s">
        <v>82</v>
      </c>
    </row>
    <row r="364" spans="1:19" x14ac:dyDescent="0.3">
      <c r="A364" t="s">
        <v>437</v>
      </c>
      <c r="B364">
        <v>45561</v>
      </c>
      <c r="C364" t="s">
        <v>20</v>
      </c>
      <c r="D364" t="s">
        <v>21</v>
      </c>
      <c r="E364" t="s">
        <v>32</v>
      </c>
      <c r="F364" t="s">
        <v>23</v>
      </c>
      <c r="G364">
        <v>74311.702250000002</v>
      </c>
      <c r="H364">
        <v>45362.43</v>
      </c>
      <c r="I364">
        <v>28949.279999999999</v>
      </c>
      <c r="J364">
        <v>20974.66</v>
      </c>
      <c r="K364">
        <v>17595.72</v>
      </c>
      <c r="L364">
        <v>51760.85</v>
      </c>
      <c r="M364">
        <v>759</v>
      </c>
      <c r="N364">
        <v>-6.1999999999999998E-3</v>
      </c>
      <c r="O364">
        <f t="shared" si="10"/>
        <v>0.3896</v>
      </c>
      <c r="P364">
        <f t="shared" si="11"/>
        <v>0.33989999999999998</v>
      </c>
      <c r="Q364" t="s">
        <v>72</v>
      </c>
      <c r="R364">
        <v>2024</v>
      </c>
      <c r="S364" t="s">
        <v>40</v>
      </c>
    </row>
    <row r="365" spans="1:19" x14ac:dyDescent="0.3">
      <c r="A365" t="s">
        <v>438</v>
      </c>
      <c r="B365">
        <v>45357</v>
      </c>
      <c r="C365" t="s">
        <v>61</v>
      </c>
      <c r="D365" t="s">
        <v>74</v>
      </c>
      <c r="E365" t="s">
        <v>38</v>
      </c>
      <c r="F365" t="s">
        <v>23</v>
      </c>
      <c r="G365">
        <v>80190.52</v>
      </c>
      <c r="H365">
        <v>52629.91</v>
      </c>
      <c r="I365">
        <v>27560.61</v>
      </c>
      <c r="J365">
        <v>23092.34</v>
      </c>
      <c r="K365">
        <v>12763.05</v>
      </c>
      <c r="L365">
        <v>47036.61</v>
      </c>
      <c r="M365">
        <v>1311</v>
      </c>
      <c r="N365">
        <v>3.7699999999999997E-2</v>
      </c>
      <c r="O365">
        <f t="shared" si="10"/>
        <v>0.34370000000000001</v>
      </c>
      <c r="P365">
        <f t="shared" si="11"/>
        <v>0.27129999999999999</v>
      </c>
      <c r="Q365" t="s">
        <v>80</v>
      </c>
      <c r="R365">
        <v>2024</v>
      </c>
      <c r="S365" t="s">
        <v>25</v>
      </c>
    </row>
    <row r="366" spans="1:19" x14ac:dyDescent="0.3">
      <c r="A366" t="s">
        <v>439</v>
      </c>
      <c r="B366">
        <v>44789</v>
      </c>
      <c r="C366" t="s">
        <v>27</v>
      </c>
      <c r="D366" t="s">
        <v>28</v>
      </c>
      <c r="E366" t="s">
        <v>22</v>
      </c>
      <c r="F366" t="s">
        <v>23</v>
      </c>
      <c r="G366">
        <v>101327.93</v>
      </c>
      <c r="H366">
        <v>63837.88</v>
      </c>
      <c r="I366">
        <v>37490.050000000003</v>
      </c>
      <c r="J366">
        <v>119375.84</v>
      </c>
      <c r="K366">
        <v>15753.16</v>
      </c>
      <c r="L366">
        <v>148574.29999999999</v>
      </c>
      <c r="M366">
        <v>939</v>
      </c>
      <c r="N366">
        <v>7.4899999999999994E-2</v>
      </c>
      <c r="O366">
        <f t="shared" si="10"/>
        <v>0.37</v>
      </c>
      <c r="P366">
        <f t="shared" si="11"/>
        <v>0.106</v>
      </c>
      <c r="Q366" t="s">
        <v>76</v>
      </c>
      <c r="R366">
        <v>2022</v>
      </c>
      <c r="S366" t="s">
        <v>25</v>
      </c>
    </row>
    <row r="367" spans="1:19" x14ac:dyDescent="0.3">
      <c r="A367" t="s">
        <v>440</v>
      </c>
      <c r="B367">
        <v>45749</v>
      </c>
      <c r="C367" t="s">
        <v>78</v>
      </c>
      <c r="D367" t="s">
        <v>79</v>
      </c>
      <c r="E367" t="s">
        <v>38</v>
      </c>
      <c r="F367" t="s">
        <v>23</v>
      </c>
      <c r="G367">
        <v>38436.04</v>
      </c>
      <c r="H367">
        <v>23575.87</v>
      </c>
      <c r="I367">
        <v>14860.17</v>
      </c>
      <c r="J367">
        <v>27702.22</v>
      </c>
      <c r="K367">
        <v>34579.379999999997</v>
      </c>
      <c r="L367">
        <v>176154.36</v>
      </c>
      <c r="M367">
        <v>1459</v>
      </c>
      <c r="N367">
        <v>-3.3399999999999999E-2</v>
      </c>
      <c r="O367">
        <f t="shared" si="10"/>
        <v>0.3866</v>
      </c>
      <c r="P367">
        <f t="shared" si="11"/>
        <v>0.1963</v>
      </c>
      <c r="Q367" t="s">
        <v>34</v>
      </c>
      <c r="R367">
        <v>2025</v>
      </c>
      <c r="S367" t="s">
        <v>25</v>
      </c>
    </row>
    <row r="368" spans="1:19" x14ac:dyDescent="0.3">
      <c r="A368" t="s">
        <v>441</v>
      </c>
      <c r="B368">
        <v>44782</v>
      </c>
      <c r="C368" t="s">
        <v>54</v>
      </c>
      <c r="D368" t="s">
        <v>55</v>
      </c>
      <c r="E368" t="s">
        <v>22</v>
      </c>
      <c r="F368" t="s">
        <v>23</v>
      </c>
      <c r="G368">
        <v>31540.17</v>
      </c>
      <c r="H368">
        <v>20987.07</v>
      </c>
      <c r="I368">
        <v>10553.1</v>
      </c>
      <c r="J368">
        <v>13851.03</v>
      </c>
      <c r="K368">
        <v>53634.44</v>
      </c>
      <c r="L368">
        <v>91145.77</v>
      </c>
      <c r="M368">
        <v>737</v>
      </c>
      <c r="N368">
        <v>3.6600000000000001E-2</v>
      </c>
      <c r="O368">
        <f t="shared" si="10"/>
        <v>0.33460000000000001</v>
      </c>
      <c r="P368">
        <f t="shared" si="11"/>
        <v>0.58840000000000003</v>
      </c>
      <c r="Q368" t="s">
        <v>76</v>
      </c>
      <c r="R368">
        <v>2022</v>
      </c>
      <c r="S368" t="s">
        <v>40</v>
      </c>
    </row>
    <row r="369" spans="1:19" x14ac:dyDescent="0.3">
      <c r="A369" t="s">
        <v>442</v>
      </c>
      <c r="B369">
        <v>45477</v>
      </c>
      <c r="C369" t="s">
        <v>42</v>
      </c>
      <c r="D369" t="s">
        <v>43</v>
      </c>
      <c r="E369" t="s">
        <v>38</v>
      </c>
      <c r="F369" t="s">
        <v>23</v>
      </c>
      <c r="G369">
        <v>99120.08</v>
      </c>
      <c r="H369">
        <v>57524.22</v>
      </c>
      <c r="I369">
        <v>41595.86</v>
      </c>
      <c r="J369">
        <v>141052.68</v>
      </c>
      <c r="K369">
        <v>25745.5</v>
      </c>
      <c r="L369">
        <v>183272.01</v>
      </c>
      <c r="M369">
        <v>563</v>
      </c>
      <c r="N369">
        <v>1.09E-2</v>
      </c>
      <c r="O369">
        <f t="shared" si="10"/>
        <v>0.41970000000000002</v>
      </c>
      <c r="P369">
        <f t="shared" si="11"/>
        <v>0.14050000000000001</v>
      </c>
      <c r="Q369" t="s">
        <v>72</v>
      </c>
      <c r="R369">
        <v>2024</v>
      </c>
      <c r="S369" t="s">
        <v>25</v>
      </c>
    </row>
    <row r="370" spans="1:19" x14ac:dyDescent="0.3">
      <c r="A370" t="s">
        <v>443</v>
      </c>
      <c r="B370">
        <v>44945</v>
      </c>
      <c r="C370" t="s">
        <v>61</v>
      </c>
      <c r="D370" t="s">
        <v>74</v>
      </c>
      <c r="E370" t="s">
        <v>22</v>
      </c>
      <c r="F370" t="s">
        <v>23</v>
      </c>
      <c r="G370">
        <v>75229.17</v>
      </c>
      <c r="H370">
        <v>59131.91</v>
      </c>
      <c r="I370">
        <v>16097.26</v>
      </c>
      <c r="J370">
        <v>101297.18</v>
      </c>
      <c r="K370">
        <v>6990.03</v>
      </c>
      <c r="L370">
        <v>114024.13</v>
      </c>
      <c r="M370">
        <v>1795</v>
      </c>
      <c r="N370">
        <v>9.2899999999999996E-2</v>
      </c>
      <c r="O370">
        <f t="shared" si="10"/>
        <v>0.214</v>
      </c>
      <c r="P370">
        <f t="shared" si="11"/>
        <v>6.13E-2</v>
      </c>
      <c r="Q370" t="s">
        <v>118</v>
      </c>
      <c r="R370">
        <v>2023</v>
      </c>
      <c r="S370" t="s">
        <v>25</v>
      </c>
    </row>
    <row r="371" spans="1:19" x14ac:dyDescent="0.3">
      <c r="A371" t="s">
        <v>444</v>
      </c>
      <c r="B371">
        <v>45692</v>
      </c>
      <c r="C371" t="s">
        <v>20</v>
      </c>
      <c r="D371" t="s">
        <v>21</v>
      </c>
      <c r="E371" t="s">
        <v>51</v>
      </c>
      <c r="F371" t="s">
        <v>23</v>
      </c>
      <c r="G371">
        <v>47672.56</v>
      </c>
      <c r="H371">
        <v>27975.8</v>
      </c>
      <c r="I371">
        <v>19696.759999999998</v>
      </c>
      <c r="J371">
        <v>24966.73</v>
      </c>
      <c r="K371">
        <v>41959.95</v>
      </c>
      <c r="L371">
        <v>395227.19</v>
      </c>
      <c r="M371">
        <v>822</v>
      </c>
      <c r="N371">
        <v>-0.1147</v>
      </c>
      <c r="O371">
        <f t="shared" si="10"/>
        <v>0.41320000000000001</v>
      </c>
      <c r="P371">
        <f t="shared" si="11"/>
        <v>0.1062</v>
      </c>
      <c r="Q371" t="s">
        <v>106</v>
      </c>
      <c r="R371">
        <v>2025</v>
      </c>
      <c r="S371" t="s">
        <v>25</v>
      </c>
    </row>
    <row r="372" spans="1:19" x14ac:dyDescent="0.3">
      <c r="A372" t="s">
        <v>445</v>
      </c>
      <c r="B372">
        <v>44882</v>
      </c>
      <c r="C372" t="s">
        <v>54</v>
      </c>
      <c r="D372" t="s">
        <v>55</v>
      </c>
      <c r="E372" t="s">
        <v>51</v>
      </c>
      <c r="F372" t="s">
        <v>23</v>
      </c>
      <c r="G372">
        <v>157185.89000000001</v>
      </c>
      <c r="H372">
        <v>132482.79999999999</v>
      </c>
      <c r="I372">
        <v>24703.09</v>
      </c>
      <c r="J372">
        <v>51336</v>
      </c>
      <c r="K372">
        <v>33754.6</v>
      </c>
      <c r="L372">
        <v>440833.76</v>
      </c>
      <c r="M372">
        <v>843</v>
      </c>
      <c r="N372">
        <v>-1.14E-2</v>
      </c>
      <c r="O372">
        <f t="shared" si="10"/>
        <v>0.15720000000000001</v>
      </c>
      <c r="P372">
        <f t="shared" si="11"/>
        <v>7.6600000000000001E-2</v>
      </c>
      <c r="Q372" t="s">
        <v>46</v>
      </c>
      <c r="R372">
        <v>2022</v>
      </c>
      <c r="S372" t="s">
        <v>25</v>
      </c>
    </row>
    <row r="373" spans="1:19" x14ac:dyDescent="0.3">
      <c r="A373" t="s">
        <v>446</v>
      </c>
      <c r="B373">
        <v>45054</v>
      </c>
      <c r="C373" t="s">
        <v>1282</v>
      </c>
      <c r="D373" t="s">
        <v>69</v>
      </c>
      <c r="E373" t="s">
        <v>22</v>
      </c>
      <c r="F373" t="s">
        <v>23</v>
      </c>
      <c r="G373">
        <v>114049.41</v>
      </c>
      <c r="H373">
        <v>76391.81</v>
      </c>
      <c r="I373">
        <v>37657.599999999999</v>
      </c>
      <c r="J373">
        <v>31608.67</v>
      </c>
      <c r="K373">
        <v>72472.08</v>
      </c>
      <c r="L373">
        <v>191678.74</v>
      </c>
      <c r="M373">
        <v>1264</v>
      </c>
      <c r="N373">
        <v>-8.4500000000000006E-2</v>
      </c>
      <c r="O373">
        <f t="shared" si="10"/>
        <v>0.33019999999999999</v>
      </c>
      <c r="P373">
        <f t="shared" si="11"/>
        <v>0.37809999999999999</v>
      </c>
      <c r="Q373" t="s">
        <v>39</v>
      </c>
      <c r="R373">
        <v>2023</v>
      </c>
      <c r="S373" t="s">
        <v>40</v>
      </c>
    </row>
    <row r="374" spans="1:19" x14ac:dyDescent="0.3">
      <c r="A374" t="s">
        <v>447</v>
      </c>
      <c r="B374">
        <v>45315</v>
      </c>
      <c r="C374" t="s">
        <v>85</v>
      </c>
      <c r="D374" t="s">
        <v>86</v>
      </c>
      <c r="E374" t="s">
        <v>38</v>
      </c>
      <c r="F374" t="s">
        <v>23</v>
      </c>
      <c r="G374">
        <v>60717.69</v>
      </c>
      <c r="H374">
        <v>54262.07</v>
      </c>
      <c r="I374">
        <v>6455.62</v>
      </c>
      <c r="J374">
        <v>7477.05</v>
      </c>
      <c r="K374">
        <v>19257.82</v>
      </c>
      <c r="L374">
        <v>20580.669999999998</v>
      </c>
      <c r="M374">
        <v>554</v>
      </c>
      <c r="N374">
        <v>0.15340000000000001</v>
      </c>
      <c r="O374">
        <f t="shared" si="10"/>
        <v>0.10630000000000001</v>
      </c>
      <c r="P374">
        <f t="shared" si="11"/>
        <v>0.93569999999999998</v>
      </c>
      <c r="Q374" t="s">
        <v>80</v>
      </c>
      <c r="R374">
        <v>2024</v>
      </c>
      <c r="S374" t="s">
        <v>82</v>
      </c>
    </row>
    <row r="375" spans="1:19" x14ac:dyDescent="0.3">
      <c r="A375" t="s">
        <v>448</v>
      </c>
      <c r="B375">
        <v>45484</v>
      </c>
      <c r="C375" t="s">
        <v>36</v>
      </c>
      <c r="D375" t="s">
        <v>37</v>
      </c>
      <c r="E375" t="s">
        <v>22</v>
      </c>
      <c r="F375" t="s">
        <v>23</v>
      </c>
      <c r="G375">
        <v>156135.13</v>
      </c>
      <c r="H375">
        <v>108860.09</v>
      </c>
      <c r="I375">
        <v>47275.040000000001</v>
      </c>
      <c r="J375">
        <v>46942.34</v>
      </c>
      <c r="K375">
        <v>36619.86</v>
      </c>
      <c r="L375">
        <v>203510.14</v>
      </c>
      <c r="M375">
        <v>1239</v>
      </c>
      <c r="N375">
        <v>-0.14799999999999999</v>
      </c>
      <c r="O375">
        <f t="shared" si="10"/>
        <v>0.30280000000000001</v>
      </c>
      <c r="P375">
        <f t="shared" si="11"/>
        <v>0.1799</v>
      </c>
      <c r="Q375" t="s">
        <v>72</v>
      </c>
      <c r="R375">
        <v>2024</v>
      </c>
      <c r="S375" t="s">
        <v>25</v>
      </c>
    </row>
    <row r="376" spans="1:19" x14ac:dyDescent="0.3">
      <c r="A376" t="s">
        <v>449</v>
      </c>
      <c r="B376">
        <v>45235</v>
      </c>
      <c r="C376" t="s">
        <v>27</v>
      </c>
      <c r="D376" t="s">
        <v>28</v>
      </c>
      <c r="E376" t="s">
        <v>22</v>
      </c>
      <c r="F376" t="s">
        <v>23</v>
      </c>
      <c r="G376">
        <v>65360.86</v>
      </c>
      <c r="H376">
        <v>39413.519999999997</v>
      </c>
      <c r="I376">
        <v>25947.34</v>
      </c>
      <c r="J376">
        <v>56406.75</v>
      </c>
      <c r="K376">
        <v>12110.89</v>
      </c>
      <c r="L376">
        <v>186692.46</v>
      </c>
      <c r="M376">
        <v>2112</v>
      </c>
      <c r="N376">
        <v>2.8400000000000002E-2</v>
      </c>
      <c r="O376">
        <f t="shared" si="10"/>
        <v>0.39700000000000002</v>
      </c>
      <c r="P376">
        <f t="shared" si="11"/>
        <v>6.4899999999999999E-2</v>
      </c>
      <c r="Q376" t="s">
        <v>44</v>
      </c>
      <c r="R376">
        <v>2023</v>
      </c>
      <c r="S376" t="s">
        <v>25</v>
      </c>
    </row>
    <row r="377" spans="1:19" x14ac:dyDescent="0.3">
      <c r="A377" t="s">
        <v>450</v>
      </c>
      <c r="B377">
        <v>45681</v>
      </c>
      <c r="C377" t="s">
        <v>42</v>
      </c>
      <c r="D377" t="s">
        <v>43</v>
      </c>
      <c r="E377" t="s">
        <v>22</v>
      </c>
      <c r="F377" t="s">
        <v>23</v>
      </c>
      <c r="G377">
        <v>157700.37</v>
      </c>
      <c r="H377">
        <v>141929.09</v>
      </c>
      <c r="I377">
        <v>15771.28</v>
      </c>
      <c r="J377">
        <v>74049.52</v>
      </c>
      <c r="K377">
        <v>13295.03</v>
      </c>
      <c r="L377">
        <v>109145.24</v>
      </c>
      <c r="M377">
        <v>1531</v>
      </c>
      <c r="N377">
        <v>0.1177</v>
      </c>
      <c r="O377">
        <f t="shared" si="10"/>
        <v>0.1</v>
      </c>
      <c r="P377">
        <f t="shared" si="11"/>
        <v>0.12180000000000001</v>
      </c>
      <c r="Q377" t="s">
        <v>106</v>
      </c>
      <c r="R377">
        <v>2025</v>
      </c>
      <c r="S377" t="s">
        <v>25</v>
      </c>
    </row>
    <row r="378" spans="1:19" x14ac:dyDescent="0.3">
      <c r="A378" t="s">
        <v>451</v>
      </c>
      <c r="B378">
        <v>45271</v>
      </c>
      <c r="C378" t="s">
        <v>20</v>
      </c>
      <c r="D378" t="s">
        <v>21</v>
      </c>
      <c r="E378" t="s">
        <v>38</v>
      </c>
      <c r="F378" t="s">
        <v>23</v>
      </c>
      <c r="G378">
        <v>110314.16</v>
      </c>
      <c r="H378">
        <v>94846.720000000001</v>
      </c>
      <c r="I378">
        <v>15467.44</v>
      </c>
      <c r="J378">
        <v>40254.080000000002</v>
      </c>
      <c r="K378">
        <v>25166.9</v>
      </c>
      <c r="L378">
        <v>45735.62</v>
      </c>
      <c r="M378">
        <v>1220</v>
      </c>
      <c r="N378">
        <v>-1.3599999999999999E-2</v>
      </c>
      <c r="O378">
        <f t="shared" si="10"/>
        <v>0.14019999999999999</v>
      </c>
      <c r="P378">
        <f t="shared" si="11"/>
        <v>0.55030000000000001</v>
      </c>
      <c r="Q378" t="s">
        <v>44</v>
      </c>
      <c r="R378">
        <v>2023</v>
      </c>
      <c r="S378" t="s">
        <v>40</v>
      </c>
    </row>
    <row r="379" spans="1:19" x14ac:dyDescent="0.3">
      <c r="A379" t="s">
        <v>452</v>
      </c>
      <c r="B379">
        <v>44767</v>
      </c>
      <c r="C379" t="s">
        <v>20</v>
      </c>
      <c r="D379" t="s">
        <v>21</v>
      </c>
      <c r="E379" t="s">
        <v>22</v>
      </c>
      <c r="F379" t="s">
        <v>23</v>
      </c>
      <c r="G379">
        <v>40312.699999999997</v>
      </c>
      <c r="H379">
        <v>25967.75</v>
      </c>
      <c r="I379">
        <v>14344.95</v>
      </c>
      <c r="J379">
        <v>84864.4</v>
      </c>
      <c r="K379">
        <v>27443.54</v>
      </c>
      <c r="L379">
        <v>132658.56</v>
      </c>
      <c r="M379">
        <v>1180</v>
      </c>
      <c r="N379">
        <v>0.21740000000000001</v>
      </c>
      <c r="O379">
        <f t="shared" si="10"/>
        <v>0.35580000000000001</v>
      </c>
      <c r="P379">
        <f t="shared" si="11"/>
        <v>0.2069</v>
      </c>
      <c r="Q379" t="s">
        <v>76</v>
      </c>
      <c r="R379">
        <v>2022</v>
      </c>
      <c r="S379" t="s">
        <v>25</v>
      </c>
    </row>
    <row r="380" spans="1:19" x14ac:dyDescent="0.3">
      <c r="A380" t="s">
        <v>453</v>
      </c>
      <c r="B380">
        <v>45398</v>
      </c>
      <c r="C380" t="s">
        <v>85</v>
      </c>
      <c r="D380" t="s">
        <v>86</v>
      </c>
      <c r="E380" t="s">
        <v>22</v>
      </c>
      <c r="F380" t="s">
        <v>23</v>
      </c>
      <c r="G380">
        <v>29649.77</v>
      </c>
      <c r="H380">
        <v>17349.18</v>
      </c>
      <c r="I380">
        <v>12300.59</v>
      </c>
      <c r="J380">
        <v>21664.44</v>
      </c>
      <c r="K380">
        <v>16281.96</v>
      </c>
      <c r="L380">
        <v>69905.75</v>
      </c>
      <c r="M380">
        <v>1699</v>
      </c>
      <c r="N380">
        <v>-0.17660000000000001</v>
      </c>
      <c r="O380">
        <f t="shared" si="10"/>
        <v>0.41489999999999999</v>
      </c>
      <c r="P380">
        <f t="shared" si="11"/>
        <v>0.2329</v>
      </c>
      <c r="Q380" t="s">
        <v>111</v>
      </c>
      <c r="R380">
        <v>2024</v>
      </c>
      <c r="S380" t="s">
        <v>25</v>
      </c>
    </row>
    <row r="381" spans="1:19" x14ac:dyDescent="0.3">
      <c r="A381" t="s">
        <v>454</v>
      </c>
      <c r="B381">
        <v>44754</v>
      </c>
      <c r="C381" t="s">
        <v>61</v>
      </c>
      <c r="D381" t="s">
        <v>74</v>
      </c>
      <c r="E381" t="s">
        <v>38</v>
      </c>
      <c r="F381" t="s">
        <v>23</v>
      </c>
      <c r="G381">
        <v>61715.4</v>
      </c>
      <c r="H381">
        <v>41211.85</v>
      </c>
      <c r="I381">
        <v>20503.55</v>
      </c>
      <c r="J381">
        <v>8124.23</v>
      </c>
      <c r="K381">
        <v>67352.11</v>
      </c>
      <c r="L381">
        <v>66448.009999999995</v>
      </c>
      <c r="M381">
        <v>1893</v>
      </c>
      <c r="N381">
        <v>6.9000000000000006E-2</v>
      </c>
      <c r="O381">
        <f t="shared" si="10"/>
        <v>0.3322</v>
      </c>
      <c r="P381">
        <f t="shared" si="11"/>
        <v>1.0136000000000001</v>
      </c>
      <c r="Q381" t="s">
        <v>76</v>
      </c>
      <c r="R381">
        <v>2022</v>
      </c>
      <c r="S381" t="s">
        <v>82</v>
      </c>
    </row>
    <row r="382" spans="1:19" x14ac:dyDescent="0.3">
      <c r="A382" t="s">
        <v>455</v>
      </c>
      <c r="B382" s="4">
        <v>45270</v>
      </c>
      <c r="C382" t="s">
        <v>48</v>
      </c>
      <c r="D382" t="s">
        <v>49</v>
      </c>
      <c r="E382" t="s">
        <v>22</v>
      </c>
      <c r="F382" t="s">
        <v>23</v>
      </c>
      <c r="G382">
        <v>225445.12</v>
      </c>
      <c r="H382">
        <v>182436.11</v>
      </c>
      <c r="I382">
        <v>43009.01</v>
      </c>
      <c r="J382">
        <v>53745.61</v>
      </c>
      <c r="K382">
        <v>41175.760000000002</v>
      </c>
      <c r="L382">
        <v>132276.38</v>
      </c>
      <c r="M382">
        <v>1983</v>
      </c>
      <c r="N382">
        <v>0.01</v>
      </c>
      <c r="O382">
        <f t="shared" si="10"/>
        <v>0.1908</v>
      </c>
      <c r="P382">
        <f t="shared" si="11"/>
        <v>0.31130000000000002</v>
      </c>
      <c r="Q382" t="s">
        <v>44</v>
      </c>
      <c r="R382">
        <v>2023</v>
      </c>
      <c r="S382" t="s">
        <v>40</v>
      </c>
    </row>
    <row r="383" spans="1:19" x14ac:dyDescent="0.3">
      <c r="A383" t="s">
        <v>456</v>
      </c>
      <c r="B383">
        <v>44749</v>
      </c>
      <c r="C383" t="s">
        <v>54</v>
      </c>
      <c r="D383" t="s">
        <v>55</v>
      </c>
      <c r="E383" t="s">
        <v>38</v>
      </c>
      <c r="F383" t="s">
        <v>23</v>
      </c>
      <c r="G383">
        <v>44791.16</v>
      </c>
      <c r="H383">
        <v>32789.82</v>
      </c>
      <c r="I383">
        <v>12001.34</v>
      </c>
      <c r="J383">
        <v>68442.36</v>
      </c>
      <c r="K383">
        <v>16184.64</v>
      </c>
      <c r="L383">
        <v>169978.16</v>
      </c>
      <c r="M383">
        <v>1018</v>
      </c>
      <c r="N383">
        <v>-0.1027</v>
      </c>
      <c r="O383">
        <f t="shared" si="10"/>
        <v>0.26790000000000003</v>
      </c>
      <c r="P383">
        <f t="shared" si="11"/>
        <v>9.5200000000000007E-2</v>
      </c>
      <c r="Q383" t="s">
        <v>76</v>
      </c>
      <c r="R383">
        <v>2022</v>
      </c>
      <c r="S383" t="s">
        <v>25</v>
      </c>
    </row>
    <row r="384" spans="1:19" x14ac:dyDescent="0.3">
      <c r="A384" t="s">
        <v>457</v>
      </c>
      <c r="B384">
        <v>45611</v>
      </c>
      <c r="C384" t="s">
        <v>61</v>
      </c>
      <c r="D384" t="s">
        <v>74</v>
      </c>
      <c r="E384" t="s">
        <v>38</v>
      </c>
      <c r="F384" t="s">
        <v>23</v>
      </c>
      <c r="G384">
        <v>36787.480000000003</v>
      </c>
      <c r="H384">
        <v>30734.45</v>
      </c>
      <c r="I384">
        <v>6053.03</v>
      </c>
      <c r="J384">
        <v>16771.599999999999</v>
      </c>
      <c r="K384">
        <v>60759.839999999997</v>
      </c>
      <c r="L384">
        <v>101652.95</v>
      </c>
      <c r="M384" t="s">
        <v>1281</v>
      </c>
      <c r="N384">
        <v>4.3099999999999999E-2</v>
      </c>
      <c r="O384">
        <f t="shared" si="10"/>
        <v>0.16450000000000001</v>
      </c>
      <c r="P384">
        <f t="shared" si="11"/>
        <v>0.59770000000000001</v>
      </c>
      <c r="Q384" t="s">
        <v>52</v>
      </c>
      <c r="R384">
        <v>2024</v>
      </c>
      <c r="S384" t="s">
        <v>40</v>
      </c>
    </row>
    <row r="385" spans="1:19" x14ac:dyDescent="0.3">
      <c r="A385" t="s">
        <v>458</v>
      </c>
      <c r="B385">
        <v>45227</v>
      </c>
      <c r="C385" t="s">
        <v>20</v>
      </c>
      <c r="D385" t="s">
        <v>21</v>
      </c>
      <c r="E385" t="s">
        <v>38</v>
      </c>
      <c r="F385" t="s">
        <v>23</v>
      </c>
      <c r="G385">
        <v>93632.14</v>
      </c>
      <c r="H385">
        <v>69623.81</v>
      </c>
      <c r="I385">
        <v>24008.33</v>
      </c>
      <c r="J385">
        <v>28977.51</v>
      </c>
      <c r="K385">
        <v>15691.28</v>
      </c>
      <c r="L385">
        <v>48050.76</v>
      </c>
      <c r="M385">
        <v>1920</v>
      </c>
      <c r="N385">
        <v>9.1700000000000004E-2</v>
      </c>
      <c r="O385">
        <f t="shared" si="10"/>
        <v>0.25640000000000002</v>
      </c>
      <c r="P385">
        <f t="shared" si="11"/>
        <v>0.3266</v>
      </c>
      <c r="Q385" t="s">
        <v>44</v>
      </c>
      <c r="R385">
        <v>2023</v>
      </c>
      <c r="S385" t="s">
        <v>40</v>
      </c>
    </row>
    <row r="386" spans="1:19" x14ac:dyDescent="0.3">
      <c r="A386" t="s">
        <v>459</v>
      </c>
      <c r="B386">
        <v>45817</v>
      </c>
      <c r="C386" t="s">
        <v>36</v>
      </c>
      <c r="D386" t="s">
        <v>37</v>
      </c>
      <c r="E386" t="s">
        <v>22</v>
      </c>
      <c r="F386" t="s">
        <v>23</v>
      </c>
      <c r="G386">
        <v>35690.339999999997</v>
      </c>
      <c r="H386">
        <v>31430.52</v>
      </c>
      <c r="I386">
        <v>4259.82</v>
      </c>
      <c r="J386">
        <v>36132.300000000003</v>
      </c>
      <c r="K386">
        <v>15375.73</v>
      </c>
      <c r="L386">
        <v>179310.27</v>
      </c>
      <c r="M386">
        <v>916</v>
      </c>
      <c r="N386">
        <v>6.2300000000000001E-2</v>
      </c>
      <c r="O386">
        <f t="shared" si="10"/>
        <v>0.11940000000000001</v>
      </c>
      <c r="P386">
        <f t="shared" si="11"/>
        <v>8.5699999999999998E-2</v>
      </c>
      <c r="Q386" t="s">
        <v>34</v>
      </c>
      <c r="R386">
        <v>2025</v>
      </c>
      <c r="S386" t="s">
        <v>25</v>
      </c>
    </row>
    <row r="387" spans="1:19" x14ac:dyDescent="0.3">
      <c r="A387" t="s">
        <v>460</v>
      </c>
      <c r="B387">
        <v>45854</v>
      </c>
      <c r="C387" t="s">
        <v>27</v>
      </c>
      <c r="D387" t="s">
        <v>28</v>
      </c>
      <c r="E387" t="s">
        <v>38</v>
      </c>
      <c r="F387" t="s">
        <v>23</v>
      </c>
      <c r="G387">
        <v>120334.11</v>
      </c>
      <c r="H387">
        <v>80936.759999999995</v>
      </c>
      <c r="I387">
        <v>39397.35</v>
      </c>
      <c r="J387">
        <v>66655.289999999994</v>
      </c>
      <c r="K387">
        <v>12434.57</v>
      </c>
      <c r="L387">
        <v>269734.51</v>
      </c>
      <c r="M387">
        <v>789</v>
      </c>
      <c r="N387">
        <v>0.1293</v>
      </c>
      <c r="O387">
        <f t="shared" ref="O387:O450" si="12">(ROUND(I387/G387,4))</f>
        <v>0.32740000000000002</v>
      </c>
      <c r="P387">
        <f t="shared" ref="P387:P450" si="13">ROUND(K387/L387,4)</f>
        <v>4.6100000000000002E-2</v>
      </c>
      <c r="Q387" t="s">
        <v>24</v>
      </c>
      <c r="R387">
        <v>2025</v>
      </c>
      <c r="S387" t="s">
        <v>25</v>
      </c>
    </row>
    <row r="388" spans="1:19" x14ac:dyDescent="0.3">
      <c r="A388" t="s">
        <v>461</v>
      </c>
      <c r="B388">
        <v>45800</v>
      </c>
      <c r="C388" t="s">
        <v>54</v>
      </c>
      <c r="D388" t="s">
        <v>55</v>
      </c>
      <c r="E388" t="s">
        <v>32</v>
      </c>
      <c r="F388" t="s">
        <v>23</v>
      </c>
      <c r="G388">
        <v>54730.393150000004</v>
      </c>
      <c r="H388">
        <v>41841.410000000003</v>
      </c>
      <c r="I388">
        <v>12888.98</v>
      </c>
      <c r="J388">
        <v>78046.259999999995</v>
      </c>
      <c r="K388">
        <v>72312.42</v>
      </c>
      <c r="L388">
        <v>124410.8</v>
      </c>
      <c r="M388">
        <v>624</v>
      </c>
      <c r="N388">
        <v>5.1999999999999998E-3</v>
      </c>
      <c r="O388">
        <f t="shared" si="12"/>
        <v>0.23549999999999999</v>
      </c>
      <c r="P388">
        <f t="shared" si="13"/>
        <v>0.58120000000000005</v>
      </c>
      <c r="Q388" t="s">
        <v>34</v>
      </c>
      <c r="R388">
        <v>2025</v>
      </c>
      <c r="S388" t="s">
        <v>40</v>
      </c>
    </row>
    <row r="389" spans="1:19" x14ac:dyDescent="0.3">
      <c r="A389" t="s">
        <v>462</v>
      </c>
      <c r="B389">
        <v>44834</v>
      </c>
      <c r="C389" t="s">
        <v>30</v>
      </c>
      <c r="D389" t="s">
        <v>31</v>
      </c>
      <c r="E389" t="s">
        <v>22</v>
      </c>
      <c r="F389" t="s">
        <v>23</v>
      </c>
      <c r="G389">
        <v>89344.56</v>
      </c>
      <c r="H389">
        <v>49145.68</v>
      </c>
      <c r="I389">
        <v>40198.879999999997</v>
      </c>
      <c r="J389">
        <v>32168.09</v>
      </c>
      <c r="K389">
        <v>90280.39</v>
      </c>
      <c r="L389">
        <v>214054.35</v>
      </c>
      <c r="M389">
        <v>324</v>
      </c>
      <c r="N389">
        <v>-6.0100000000000001E-2</v>
      </c>
      <c r="O389">
        <f t="shared" si="12"/>
        <v>0.44990000000000002</v>
      </c>
      <c r="P389">
        <f t="shared" si="13"/>
        <v>0.42180000000000001</v>
      </c>
      <c r="Q389" t="s">
        <v>76</v>
      </c>
      <c r="R389">
        <v>2022</v>
      </c>
      <c r="S389" t="s">
        <v>40</v>
      </c>
    </row>
    <row r="390" spans="1:19" x14ac:dyDescent="0.3">
      <c r="A390" t="s">
        <v>463</v>
      </c>
      <c r="B390">
        <v>45863</v>
      </c>
      <c r="C390" t="s">
        <v>20</v>
      </c>
      <c r="D390" t="s">
        <v>21</v>
      </c>
      <c r="E390" t="s">
        <v>32</v>
      </c>
      <c r="F390" t="s">
        <v>23</v>
      </c>
      <c r="G390">
        <v>69044.187000000005</v>
      </c>
      <c r="H390">
        <v>42585.88</v>
      </c>
      <c r="I390">
        <v>26458.31</v>
      </c>
      <c r="J390">
        <v>29286.16</v>
      </c>
      <c r="K390">
        <v>35625.480000000003</v>
      </c>
      <c r="L390">
        <v>48309.51</v>
      </c>
      <c r="M390">
        <v>615</v>
      </c>
      <c r="N390">
        <v>-2.7799999999999998E-2</v>
      </c>
      <c r="O390">
        <f t="shared" si="12"/>
        <v>0.38319999999999999</v>
      </c>
      <c r="P390">
        <f t="shared" si="13"/>
        <v>0.73740000000000006</v>
      </c>
      <c r="Q390" t="s">
        <v>24</v>
      </c>
      <c r="R390">
        <v>2025</v>
      </c>
      <c r="S390" t="s">
        <v>82</v>
      </c>
    </row>
    <row r="391" spans="1:19" x14ac:dyDescent="0.3">
      <c r="A391" t="s">
        <v>464</v>
      </c>
      <c r="B391">
        <v>45474</v>
      </c>
      <c r="C391" t="s">
        <v>36</v>
      </c>
      <c r="D391" t="s">
        <v>37</v>
      </c>
      <c r="E391" t="s">
        <v>38</v>
      </c>
      <c r="F391" t="s">
        <v>23</v>
      </c>
      <c r="G391">
        <v>193962.94</v>
      </c>
      <c r="H391">
        <v>122103.38</v>
      </c>
      <c r="I391">
        <v>71859.56</v>
      </c>
      <c r="J391">
        <v>62058.66</v>
      </c>
      <c r="K391">
        <v>24414.68</v>
      </c>
      <c r="L391">
        <v>106164.06</v>
      </c>
      <c r="M391">
        <v>610</v>
      </c>
      <c r="N391">
        <v>-6.7100000000000007E-2</v>
      </c>
      <c r="O391">
        <f t="shared" si="12"/>
        <v>0.3705</v>
      </c>
      <c r="P391">
        <f t="shared" si="13"/>
        <v>0.23</v>
      </c>
      <c r="Q391" t="s">
        <v>72</v>
      </c>
      <c r="R391">
        <v>2024</v>
      </c>
      <c r="S391" t="s">
        <v>25</v>
      </c>
    </row>
    <row r="392" spans="1:19" x14ac:dyDescent="0.3">
      <c r="A392" t="s">
        <v>465</v>
      </c>
      <c r="B392">
        <v>45868</v>
      </c>
      <c r="C392" t="s">
        <v>42</v>
      </c>
      <c r="D392" t="s">
        <v>43</v>
      </c>
      <c r="E392" t="s">
        <v>38</v>
      </c>
      <c r="F392" t="s">
        <v>23</v>
      </c>
      <c r="G392">
        <v>35981.71</v>
      </c>
      <c r="H392">
        <v>22080.959999999999</v>
      </c>
      <c r="I392">
        <v>13900.75</v>
      </c>
      <c r="J392">
        <v>40195.33</v>
      </c>
      <c r="K392">
        <v>30504.68</v>
      </c>
      <c r="L392">
        <v>168805.28</v>
      </c>
      <c r="M392">
        <v>775</v>
      </c>
      <c r="N392">
        <v>0.08</v>
      </c>
      <c r="O392">
        <f t="shared" si="12"/>
        <v>0.38629999999999998</v>
      </c>
      <c r="P392">
        <f t="shared" si="13"/>
        <v>0.1807</v>
      </c>
      <c r="Q392" t="s">
        <v>24</v>
      </c>
      <c r="R392">
        <v>2025</v>
      </c>
      <c r="S392" t="s">
        <v>25</v>
      </c>
    </row>
    <row r="393" spans="1:19" x14ac:dyDescent="0.3">
      <c r="A393" t="s">
        <v>466</v>
      </c>
      <c r="B393">
        <v>44865</v>
      </c>
      <c r="C393" t="s">
        <v>27</v>
      </c>
      <c r="D393" t="s">
        <v>28</v>
      </c>
      <c r="E393" t="s">
        <v>38</v>
      </c>
      <c r="F393" t="s">
        <v>23</v>
      </c>
      <c r="G393">
        <v>59063.58</v>
      </c>
      <c r="H393">
        <v>43466.16</v>
      </c>
      <c r="I393">
        <v>15597.42</v>
      </c>
      <c r="J393">
        <v>8240.36</v>
      </c>
      <c r="K393">
        <v>16336.21</v>
      </c>
      <c r="L393">
        <v>36339.760000000002</v>
      </c>
      <c r="M393">
        <v>479</v>
      </c>
      <c r="N393">
        <v>-6.5799999999999997E-2</v>
      </c>
      <c r="O393">
        <f t="shared" si="12"/>
        <v>0.2641</v>
      </c>
      <c r="P393">
        <f t="shared" si="13"/>
        <v>0.44950000000000001</v>
      </c>
      <c r="Q393" t="s">
        <v>46</v>
      </c>
      <c r="R393">
        <v>2022</v>
      </c>
      <c r="S393" t="s">
        <v>40</v>
      </c>
    </row>
    <row r="394" spans="1:19" x14ac:dyDescent="0.3">
      <c r="A394" t="s">
        <v>467</v>
      </c>
      <c r="B394">
        <v>44944</v>
      </c>
      <c r="C394" t="s">
        <v>20</v>
      </c>
      <c r="D394" t="s">
        <v>21</v>
      </c>
      <c r="E394" t="s">
        <v>22</v>
      </c>
      <c r="F394" t="s">
        <v>23</v>
      </c>
      <c r="G394">
        <v>105211.21</v>
      </c>
      <c r="H394">
        <v>59434.400000000001</v>
      </c>
      <c r="I394">
        <v>45776.81</v>
      </c>
      <c r="J394">
        <v>18592.78</v>
      </c>
      <c r="K394">
        <v>38130.9</v>
      </c>
      <c r="L394">
        <v>27555.38</v>
      </c>
      <c r="M394">
        <v>1220</v>
      </c>
      <c r="N394">
        <v>1.95E-2</v>
      </c>
      <c r="O394">
        <f t="shared" si="12"/>
        <v>0.43509999999999999</v>
      </c>
      <c r="P394">
        <f t="shared" si="13"/>
        <v>1.3837999999999999</v>
      </c>
      <c r="Q394" t="s">
        <v>118</v>
      </c>
      <c r="R394">
        <v>2023</v>
      </c>
      <c r="S394" t="s">
        <v>82</v>
      </c>
    </row>
    <row r="395" spans="1:19" x14ac:dyDescent="0.3">
      <c r="A395" t="s">
        <v>468</v>
      </c>
      <c r="B395">
        <v>45814</v>
      </c>
      <c r="C395" t="s">
        <v>78</v>
      </c>
      <c r="D395" t="s">
        <v>79</v>
      </c>
      <c r="E395" t="s">
        <v>22</v>
      </c>
      <c r="F395" t="s">
        <v>23</v>
      </c>
      <c r="G395">
        <v>103108.45</v>
      </c>
      <c r="H395">
        <v>69751.16</v>
      </c>
      <c r="I395">
        <v>33357.29</v>
      </c>
      <c r="J395">
        <v>80577.5</v>
      </c>
      <c r="K395">
        <v>35897.11</v>
      </c>
      <c r="L395">
        <v>100413.63</v>
      </c>
      <c r="M395">
        <v>1533</v>
      </c>
      <c r="N395">
        <v>-0.11</v>
      </c>
      <c r="O395">
        <f t="shared" si="12"/>
        <v>0.32350000000000001</v>
      </c>
      <c r="P395">
        <f t="shared" si="13"/>
        <v>0.35749999999999998</v>
      </c>
      <c r="Q395" t="s">
        <v>34</v>
      </c>
      <c r="R395">
        <v>2025</v>
      </c>
      <c r="S395" t="s">
        <v>40</v>
      </c>
    </row>
    <row r="396" spans="1:19" x14ac:dyDescent="0.3">
      <c r="A396" t="s">
        <v>469</v>
      </c>
      <c r="B396">
        <v>44835</v>
      </c>
      <c r="C396" t="s">
        <v>20</v>
      </c>
      <c r="D396" t="s">
        <v>21</v>
      </c>
      <c r="E396" t="s">
        <v>32</v>
      </c>
      <c r="F396" t="s">
        <v>23</v>
      </c>
      <c r="G396">
        <v>144622.4768</v>
      </c>
      <c r="H396">
        <v>100048.34</v>
      </c>
      <c r="I396">
        <v>44574.14</v>
      </c>
      <c r="J396">
        <v>43515.23</v>
      </c>
      <c r="K396">
        <v>24359.58</v>
      </c>
      <c r="L396">
        <v>66632.61</v>
      </c>
      <c r="M396">
        <v>1039</v>
      </c>
      <c r="N396">
        <v>0.10059999999999999</v>
      </c>
      <c r="O396">
        <f t="shared" si="12"/>
        <v>0.30819999999999997</v>
      </c>
      <c r="P396">
        <f t="shared" si="13"/>
        <v>0.36559999999999998</v>
      </c>
      <c r="Q396" t="s">
        <v>46</v>
      </c>
      <c r="R396">
        <v>2022</v>
      </c>
      <c r="S396" t="s">
        <v>40</v>
      </c>
    </row>
    <row r="397" spans="1:19" x14ac:dyDescent="0.3">
      <c r="A397" t="s">
        <v>470</v>
      </c>
      <c r="B397">
        <v>44583</v>
      </c>
      <c r="C397" t="s">
        <v>48</v>
      </c>
      <c r="D397" t="s">
        <v>49</v>
      </c>
      <c r="E397" t="s">
        <v>32</v>
      </c>
      <c r="F397" t="s">
        <v>23</v>
      </c>
      <c r="G397">
        <v>17209.040850000001</v>
      </c>
      <c r="H397">
        <v>9557.73</v>
      </c>
      <c r="I397">
        <v>7651.31</v>
      </c>
      <c r="J397">
        <v>13072.2</v>
      </c>
      <c r="K397">
        <v>48304.49</v>
      </c>
      <c r="L397">
        <v>64326.49</v>
      </c>
      <c r="M397">
        <v>785</v>
      </c>
      <c r="N397">
        <v>-7.8299999999999995E-2</v>
      </c>
      <c r="O397">
        <f t="shared" si="12"/>
        <v>0.4446</v>
      </c>
      <c r="P397">
        <f t="shared" si="13"/>
        <v>0.75090000000000001</v>
      </c>
      <c r="Q397" t="s">
        <v>90</v>
      </c>
      <c r="R397">
        <v>2022</v>
      </c>
      <c r="S397" t="s">
        <v>82</v>
      </c>
    </row>
    <row r="398" spans="1:19" x14ac:dyDescent="0.3">
      <c r="A398" t="s">
        <v>471</v>
      </c>
      <c r="B398">
        <v>44826</v>
      </c>
      <c r="C398" t="s">
        <v>30</v>
      </c>
      <c r="D398" t="s">
        <v>31</v>
      </c>
      <c r="E398" t="s">
        <v>22</v>
      </c>
      <c r="F398" t="s">
        <v>23</v>
      </c>
      <c r="G398">
        <v>101154.91</v>
      </c>
      <c r="H398">
        <v>66240.759999999995</v>
      </c>
      <c r="I398">
        <v>34914.15</v>
      </c>
      <c r="J398">
        <v>48748.12</v>
      </c>
      <c r="K398">
        <v>30506.25</v>
      </c>
      <c r="L398">
        <v>199616.11</v>
      </c>
      <c r="M398">
        <v>1710</v>
      </c>
      <c r="N398">
        <v>-9.8199999999999996E-2</v>
      </c>
      <c r="O398">
        <f t="shared" si="12"/>
        <v>0.34520000000000001</v>
      </c>
      <c r="P398">
        <f t="shared" si="13"/>
        <v>0.15279999999999999</v>
      </c>
      <c r="Q398" t="s">
        <v>76</v>
      </c>
      <c r="R398">
        <v>2022</v>
      </c>
      <c r="S398" t="s">
        <v>25</v>
      </c>
    </row>
    <row r="399" spans="1:19" x14ac:dyDescent="0.3">
      <c r="A399" t="s">
        <v>472</v>
      </c>
      <c r="B399">
        <v>45924</v>
      </c>
      <c r="C399" t="s">
        <v>54</v>
      </c>
      <c r="D399" t="s">
        <v>55</v>
      </c>
      <c r="E399" t="s">
        <v>38</v>
      </c>
      <c r="F399" t="s">
        <v>23</v>
      </c>
      <c r="G399">
        <v>41841</v>
      </c>
      <c r="H399">
        <v>32270.43</v>
      </c>
      <c r="I399">
        <v>9570.57</v>
      </c>
      <c r="J399">
        <v>58074.6</v>
      </c>
      <c r="K399">
        <v>61340.29</v>
      </c>
      <c r="L399">
        <v>104694.44</v>
      </c>
      <c r="M399">
        <v>618</v>
      </c>
      <c r="N399">
        <v>-3.6600000000000001E-2</v>
      </c>
      <c r="O399">
        <f t="shared" si="12"/>
        <v>0.22869999999999999</v>
      </c>
      <c r="P399">
        <f t="shared" si="13"/>
        <v>0.58589999999999998</v>
      </c>
      <c r="Q399" t="s">
        <v>24</v>
      </c>
      <c r="R399">
        <v>2025</v>
      </c>
      <c r="S399" t="s">
        <v>40</v>
      </c>
    </row>
    <row r="400" spans="1:19" x14ac:dyDescent="0.3">
      <c r="A400" t="s">
        <v>473</v>
      </c>
      <c r="B400">
        <v>45012</v>
      </c>
      <c r="C400" t="s">
        <v>42</v>
      </c>
      <c r="D400" t="s">
        <v>43</v>
      </c>
      <c r="E400" t="s">
        <v>38</v>
      </c>
      <c r="F400" t="s">
        <v>23</v>
      </c>
      <c r="G400">
        <v>79398.92</v>
      </c>
      <c r="H400">
        <v>60297.67</v>
      </c>
      <c r="I400">
        <v>19101.25</v>
      </c>
      <c r="J400">
        <v>19649.54</v>
      </c>
      <c r="K400">
        <v>30496.13</v>
      </c>
      <c r="L400">
        <v>148659.9</v>
      </c>
      <c r="M400">
        <v>971</v>
      </c>
      <c r="N400">
        <v>-9.0300000000000005E-2</v>
      </c>
      <c r="O400">
        <f t="shared" si="12"/>
        <v>0.24060000000000001</v>
      </c>
      <c r="P400">
        <f t="shared" si="13"/>
        <v>0.2051</v>
      </c>
      <c r="Q400" t="s">
        <v>118</v>
      </c>
      <c r="R400">
        <v>2023</v>
      </c>
      <c r="S400" t="s">
        <v>25</v>
      </c>
    </row>
    <row r="401" spans="1:19" x14ac:dyDescent="0.3">
      <c r="A401" t="s">
        <v>474</v>
      </c>
      <c r="B401">
        <v>44827</v>
      </c>
      <c r="C401" t="s">
        <v>27</v>
      </c>
      <c r="D401" t="s">
        <v>28</v>
      </c>
      <c r="E401" t="s">
        <v>32</v>
      </c>
      <c r="F401" t="s">
        <v>23</v>
      </c>
      <c r="G401">
        <v>62314.449500000002</v>
      </c>
      <c r="H401">
        <v>38189.919999999998</v>
      </c>
      <c r="I401">
        <v>24124.53</v>
      </c>
      <c r="J401">
        <v>32284.66</v>
      </c>
      <c r="K401">
        <v>8310.8799999999992</v>
      </c>
      <c r="L401">
        <v>107274.26</v>
      </c>
      <c r="M401">
        <v>1036</v>
      </c>
      <c r="N401">
        <v>1.9800000000000002E-2</v>
      </c>
      <c r="O401">
        <f t="shared" si="12"/>
        <v>0.3871</v>
      </c>
      <c r="P401">
        <f t="shared" si="13"/>
        <v>7.7499999999999999E-2</v>
      </c>
      <c r="Q401" t="s">
        <v>76</v>
      </c>
      <c r="R401">
        <v>2022</v>
      </c>
      <c r="S401" t="s">
        <v>25</v>
      </c>
    </row>
    <row r="402" spans="1:19" x14ac:dyDescent="0.3">
      <c r="A402" t="s">
        <v>475</v>
      </c>
      <c r="B402">
        <v>45219</v>
      </c>
      <c r="C402" t="s">
        <v>1282</v>
      </c>
      <c r="D402" t="s">
        <v>69</v>
      </c>
      <c r="E402" t="s">
        <v>51</v>
      </c>
      <c r="F402" t="s">
        <v>23</v>
      </c>
      <c r="G402">
        <v>39127.35</v>
      </c>
      <c r="H402">
        <v>22322.31</v>
      </c>
      <c r="I402">
        <v>16805.04</v>
      </c>
      <c r="J402">
        <v>46709.98</v>
      </c>
      <c r="K402">
        <v>67375.14</v>
      </c>
      <c r="L402">
        <v>81379.240000000005</v>
      </c>
      <c r="M402">
        <v>2001</v>
      </c>
      <c r="N402">
        <v>-6.54E-2</v>
      </c>
      <c r="O402">
        <f t="shared" si="12"/>
        <v>0.42949999999999999</v>
      </c>
      <c r="P402">
        <f t="shared" si="13"/>
        <v>0.82789999999999997</v>
      </c>
      <c r="Q402" t="s">
        <v>44</v>
      </c>
      <c r="R402">
        <v>2023</v>
      </c>
      <c r="S402" t="s">
        <v>82</v>
      </c>
    </row>
    <row r="403" spans="1:19" x14ac:dyDescent="0.3">
      <c r="A403" t="s">
        <v>476</v>
      </c>
      <c r="B403">
        <v>45375</v>
      </c>
      <c r="C403" t="s">
        <v>36</v>
      </c>
      <c r="D403" t="s">
        <v>37</v>
      </c>
      <c r="E403" t="s">
        <v>38</v>
      </c>
      <c r="F403" t="s">
        <v>23</v>
      </c>
      <c r="G403">
        <v>75660.160000000003</v>
      </c>
      <c r="H403">
        <v>68576.009999999995</v>
      </c>
      <c r="I403">
        <v>7084.15</v>
      </c>
      <c r="J403">
        <v>46331.62</v>
      </c>
      <c r="K403">
        <v>26361.98</v>
      </c>
      <c r="L403">
        <v>74186.789999999994</v>
      </c>
      <c r="M403">
        <v>508</v>
      </c>
      <c r="N403">
        <v>4.8099999999999997E-2</v>
      </c>
      <c r="O403">
        <f t="shared" si="12"/>
        <v>9.3600000000000003E-2</v>
      </c>
      <c r="P403">
        <f t="shared" si="13"/>
        <v>0.3553</v>
      </c>
      <c r="Q403" t="s">
        <v>80</v>
      </c>
      <c r="R403">
        <v>2024</v>
      </c>
      <c r="S403" t="s">
        <v>40</v>
      </c>
    </row>
    <row r="404" spans="1:19" x14ac:dyDescent="0.3">
      <c r="A404" t="s">
        <v>477</v>
      </c>
      <c r="B404">
        <v>45955</v>
      </c>
      <c r="C404" t="s">
        <v>61</v>
      </c>
      <c r="D404" t="s">
        <v>74</v>
      </c>
      <c r="E404" t="s">
        <v>32</v>
      </c>
      <c r="F404" t="s">
        <v>23</v>
      </c>
      <c r="G404">
        <v>172898.14874999999</v>
      </c>
      <c r="H404">
        <v>123053.18</v>
      </c>
      <c r="I404">
        <v>49844.959999999999</v>
      </c>
      <c r="J404">
        <v>23613.8</v>
      </c>
      <c r="K404">
        <v>99565.32</v>
      </c>
      <c r="L404">
        <v>201378.67</v>
      </c>
      <c r="M404">
        <v>729</v>
      </c>
      <c r="N404">
        <v>7.8100000000000003E-2</v>
      </c>
      <c r="O404">
        <f t="shared" si="12"/>
        <v>0.2883</v>
      </c>
      <c r="P404">
        <f t="shared" si="13"/>
        <v>0.49440000000000001</v>
      </c>
      <c r="Q404" t="s">
        <v>66</v>
      </c>
      <c r="R404">
        <v>2025</v>
      </c>
      <c r="S404" t="s">
        <v>40</v>
      </c>
    </row>
    <row r="405" spans="1:19" x14ac:dyDescent="0.3">
      <c r="A405" t="s">
        <v>478</v>
      </c>
      <c r="B405">
        <v>44935</v>
      </c>
      <c r="C405" t="s">
        <v>61</v>
      </c>
      <c r="D405" t="s">
        <v>74</v>
      </c>
      <c r="E405" t="s">
        <v>22</v>
      </c>
      <c r="F405" t="s">
        <v>23</v>
      </c>
      <c r="G405">
        <v>69544.009999999995</v>
      </c>
      <c r="H405">
        <v>54478.38</v>
      </c>
      <c r="I405">
        <v>15065.63</v>
      </c>
      <c r="J405">
        <v>112520.7</v>
      </c>
      <c r="K405">
        <v>46226.96</v>
      </c>
      <c r="L405">
        <v>289425.25</v>
      </c>
      <c r="M405">
        <v>683</v>
      </c>
      <c r="N405">
        <v>7.1900000000000006E-2</v>
      </c>
      <c r="O405">
        <f t="shared" si="12"/>
        <v>0.21659999999999999</v>
      </c>
      <c r="P405">
        <f t="shared" si="13"/>
        <v>0.15970000000000001</v>
      </c>
      <c r="Q405" t="s">
        <v>118</v>
      </c>
      <c r="R405">
        <v>2023</v>
      </c>
      <c r="S405" t="s">
        <v>25</v>
      </c>
    </row>
    <row r="406" spans="1:19" x14ac:dyDescent="0.3">
      <c r="A406" t="s">
        <v>479</v>
      </c>
      <c r="B406">
        <v>45476</v>
      </c>
      <c r="C406" t="s">
        <v>36</v>
      </c>
      <c r="D406" t="s">
        <v>37</v>
      </c>
      <c r="E406" t="s">
        <v>32</v>
      </c>
      <c r="F406" t="s">
        <v>23</v>
      </c>
      <c r="G406">
        <v>51087.094750000004</v>
      </c>
      <c r="H406">
        <v>31523.46</v>
      </c>
      <c r="I406">
        <v>19563.63</v>
      </c>
      <c r="J406">
        <v>38652.22</v>
      </c>
      <c r="K406">
        <v>19829.18</v>
      </c>
      <c r="L406">
        <v>364329.59</v>
      </c>
      <c r="M406">
        <v>1431</v>
      </c>
      <c r="N406">
        <v>0.12520000000000001</v>
      </c>
      <c r="O406">
        <f t="shared" si="12"/>
        <v>0.38290000000000002</v>
      </c>
      <c r="P406">
        <f t="shared" si="13"/>
        <v>5.4399999999999997E-2</v>
      </c>
      <c r="Q406" t="s">
        <v>72</v>
      </c>
      <c r="R406">
        <v>2024</v>
      </c>
      <c r="S406" t="s">
        <v>25</v>
      </c>
    </row>
    <row r="407" spans="1:19" x14ac:dyDescent="0.3">
      <c r="A407" t="s">
        <v>481</v>
      </c>
      <c r="B407">
        <v>45089</v>
      </c>
      <c r="C407" t="s">
        <v>36</v>
      </c>
      <c r="D407" t="s">
        <v>37</v>
      </c>
      <c r="E407" t="s">
        <v>51</v>
      </c>
      <c r="F407" t="s">
        <v>23</v>
      </c>
      <c r="G407">
        <v>168264.93</v>
      </c>
      <c r="H407">
        <v>154435.26999999999</v>
      </c>
      <c r="I407">
        <v>13829.66</v>
      </c>
      <c r="J407">
        <v>51183.19</v>
      </c>
      <c r="K407">
        <v>6741.06</v>
      </c>
      <c r="L407">
        <v>297028.26</v>
      </c>
      <c r="M407">
        <v>804</v>
      </c>
      <c r="N407">
        <v>-6.5100000000000005E-2</v>
      </c>
      <c r="O407">
        <f t="shared" si="12"/>
        <v>8.2199999999999995E-2</v>
      </c>
      <c r="P407">
        <f t="shared" si="13"/>
        <v>2.2700000000000001E-2</v>
      </c>
      <c r="Q407" t="s">
        <v>39</v>
      </c>
      <c r="R407">
        <v>2023</v>
      </c>
      <c r="S407" t="s">
        <v>25</v>
      </c>
    </row>
    <row r="408" spans="1:19" x14ac:dyDescent="0.3">
      <c r="A408" t="s">
        <v>482</v>
      </c>
      <c r="B408">
        <v>44625</v>
      </c>
      <c r="C408" t="s">
        <v>85</v>
      </c>
      <c r="D408" t="s">
        <v>86</v>
      </c>
      <c r="E408" t="s">
        <v>32</v>
      </c>
      <c r="F408" t="s">
        <v>23</v>
      </c>
      <c r="G408">
        <v>152239.93280000001</v>
      </c>
      <c r="H408">
        <v>116910.74</v>
      </c>
      <c r="I408">
        <v>35329.19</v>
      </c>
      <c r="J408">
        <v>78898.11</v>
      </c>
      <c r="K408">
        <v>26716.97</v>
      </c>
      <c r="L408">
        <v>180143.48</v>
      </c>
      <c r="M408">
        <v>1254</v>
      </c>
      <c r="N408">
        <v>-8.1600000000000006E-2</v>
      </c>
      <c r="O408">
        <f t="shared" si="12"/>
        <v>0.2321</v>
      </c>
      <c r="P408">
        <f t="shared" si="13"/>
        <v>0.14829999999999999</v>
      </c>
      <c r="Q408" t="s">
        <v>90</v>
      </c>
      <c r="R408">
        <v>2022</v>
      </c>
      <c r="S408" t="s">
        <v>25</v>
      </c>
    </row>
    <row r="409" spans="1:19" x14ac:dyDescent="0.3">
      <c r="A409" t="s">
        <v>483</v>
      </c>
      <c r="B409">
        <v>45374</v>
      </c>
      <c r="C409" t="s">
        <v>20</v>
      </c>
      <c r="D409" t="s">
        <v>21</v>
      </c>
      <c r="E409" t="s">
        <v>32</v>
      </c>
      <c r="F409" t="s">
        <v>23</v>
      </c>
      <c r="G409">
        <v>59073.320899999999</v>
      </c>
      <c r="H409">
        <v>42829.34</v>
      </c>
      <c r="I409">
        <v>16243.98</v>
      </c>
      <c r="J409">
        <v>62111.23</v>
      </c>
      <c r="K409">
        <v>31978.59</v>
      </c>
      <c r="L409">
        <v>125373.23</v>
      </c>
      <c r="M409">
        <v>1529</v>
      </c>
      <c r="N409">
        <v>-5.1499999999999997E-2</v>
      </c>
      <c r="O409">
        <f t="shared" si="12"/>
        <v>0.27500000000000002</v>
      </c>
      <c r="P409">
        <f t="shared" si="13"/>
        <v>0.25509999999999999</v>
      </c>
      <c r="Q409" t="s">
        <v>80</v>
      </c>
      <c r="R409">
        <v>2024</v>
      </c>
      <c r="S409" t="s">
        <v>25</v>
      </c>
    </row>
    <row r="410" spans="1:19" x14ac:dyDescent="0.3">
      <c r="A410" t="s">
        <v>484</v>
      </c>
      <c r="B410">
        <v>45675</v>
      </c>
      <c r="C410" t="s">
        <v>78</v>
      </c>
      <c r="D410" t="s">
        <v>79</v>
      </c>
      <c r="E410" t="s">
        <v>22</v>
      </c>
      <c r="F410" t="s">
        <v>23</v>
      </c>
      <c r="G410">
        <v>35819.25</v>
      </c>
      <c r="H410">
        <v>25539.1</v>
      </c>
      <c r="I410">
        <v>10280.15</v>
      </c>
      <c r="J410">
        <v>33772.71</v>
      </c>
      <c r="K410">
        <v>43108.67</v>
      </c>
      <c r="L410">
        <v>82988.899999999994</v>
      </c>
      <c r="M410">
        <v>966</v>
      </c>
      <c r="N410">
        <v>-1.77E-2</v>
      </c>
      <c r="O410">
        <f t="shared" si="12"/>
        <v>0.28699999999999998</v>
      </c>
      <c r="P410">
        <f t="shared" si="13"/>
        <v>0.51949999999999996</v>
      </c>
      <c r="Q410" t="s">
        <v>106</v>
      </c>
      <c r="R410">
        <v>2025</v>
      </c>
      <c r="S410" t="s">
        <v>40</v>
      </c>
    </row>
    <row r="411" spans="1:19" x14ac:dyDescent="0.3">
      <c r="A411" t="s">
        <v>485</v>
      </c>
      <c r="B411">
        <v>44858</v>
      </c>
      <c r="C411" t="s">
        <v>1282</v>
      </c>
      <c r="D411" t="s">
        <v>69</v>
      </c>
      <c r="E411" t="s">
        <v>38</v>
      </c>
      <c r="F411" t="s">
        <v>23</v>
      </c>
      <c r="G411">
        <v>22113.63</v>
      </c>
      <c r="H411">
        <v>18173.09</v>
      </c>
      <c r="I411">
        <v>3940.54</v>
      </c>
      <c r="J411">
        <v>32125.439999999999</v>
      </c>
      <c r="K411">
        <v>28320.29</v>
      </c>
      <c r="L411">
        <v>77828.5</v>
      </c>
      <c r="M411">
        <v>601</v>
      </c>
      <c r="N411">
        <v>5.4000000000000003E-3</v>
      </c>
      <c r="O411">
        <f t="shared" si="12"/>
        <v>0.1782</v>
      </c>
      <c r="P411">
        <f t="shared" si="13"/>
        <v>0.3639</v>
      </c>
      <c r="Q411" t="s">
        <v>46</v>
      </c>
      <c r="R411">
        <v>2022</v>
      </c>
      <c r="S411" t="s">
        <v>40</v>
      </c>
    </row>
    <row r="412" spans="1:19" x14ac:dyDescent="0.3">
      <c r="A412" t="s">
        <v>486</v>
      </c>
      <c r="B412">
        <v>45454</v>
      </c>
      <c r="C412" t="s">
        <v>1282</v>
      </c>
      <c r="D412" t="s">
        <v>69</v>
      </c>
      <c r="E412" t="s">
        <v>22</v>
      </c>
      <c r="F412" t="s">
        <v>23</v>
      </c>
      <c r="G412">
        <v>57769.04</v>
      </c>
      <c r="H412">
        <v>45497.279999999999</v>
      </c>
      <c r="I412">
        <v>12271.76</v>
      </c>
      <c r="J412">
        <v>22334.94</v>
      </c>
      <c r="K412">
        <v>25979.59</v>
      </c>
      <c r="L412">
        <v>37985.43</v>
      </c>
      <c r="M412">
        <v>994</v>
      </c>
      <c r="N412">
        <v>-6.3399999999999998E-2</v>
      </c>
      <c r="O412">
        <f t="shared" si="12"/>
        <v>0.21240000000000001</v>
      </c>
      <c r="P412">
        <f t="shared" si="13"/>
        <v>0.68389999999999995</v>
      </c>
      <c r="Q412" t="s">
        <v>111</v>
      </c>
      <c r="R412">
        <v>2024</v>
      </c>
      <c r="S412" t="s">
        <v>82</v>
      </c>
    </row>
    <row r="413" spans="1:19" x14ac:dyDescent="0.3">
      <c r="A413" t="s">
        <v>487</v>
      </c>
      <c r="B413">
        <v>45284</v>
      </c>
      <c r="C413" t="s">
        <v>1282</v>
      </c>
      <c r="D413" t="s">
        <v>69</v>
      </c>
      <c r="E413" t="s">
        <v>22</v>
      </c>
      <c r="F413" t="s">
        <v>23</v>
      </c>
      <c r="G413">
        <v>26972.9</v>
      </c>
      <c r="H413">
        <v>17387.41</v>
      </c>
      <c r="I413">
        <v>9585.49</v>
      </c>
      <c r="J413">
        <v>59108.71</v>
      </c>
      <c r="K413">
        <v>12640.28</v>
      </c>
      <c r="L413">
        <v>100698.2</v>
      </c>
      <c r="M413">
        <v>1133</v>
      </c>
      <c r="N413">
        <v>-3.2599999999999997E-2</v>
      </c>
      <c r="O413">
        <f t="shared" si="12"/>
        <v>0.35539999999999999</v>
      </c>
      <c r="P413">
        <f t="shared" si="13"/>
        <v>0.1255</v>
      </c>
      <c r="Q413" t="s">
        <v>44</v>
      </c>
      <c r="R413">
        <v>2023</v>
      </c>
      <c r="S413" t="s">
        <v>25</v>
      </c>
    </row>
    <row r="414" spans="1:19" x14ac:dyDescent="0.3">
      <c r="A414" t="s">
        <v>488</v>
      </c>
      <c r="B414">
        <v>44606</v>
      </c>
      <c r="C414" t="s">
        <v>1282</v>
      </c>
      <c r="D414" t="s">
        <v>69</v>
      </c>
      <c r="E414" t="s">
        <v>38</v>
      </c>
      <c r="F414" t="s">
        <v>23</v>
      </c>
      <c r="G414">
        <v>26598.75</v>
      </c>
      <c r="H414">
        <v>20686</v>
      </c>
      <c r="I414">
        <v>5912.75</v>
      </c>
      <c r="J414">
        <v>121045.59</v>
      </c>
      <c r="K414">
        <v>28481.3</v>
      </c>
      <c r="L414">
        <v>143739.9</v>
      </c>
      <c r="M414">
        <v>656</v>
      </c>
      <c r="N414">
        <v>-5.8900000000000001E-2</v>
      </c>
      <c r="O414">
        <f t="shared" si="12"/>
        <v>0.2223</v>
      </c>
      <c r="P414">
        <f t="shared" si="13"/>
        <v>0.1981</v>
      </c>
      <c r="Q414" t="s">
        <v>90</v>
      </c>
      <c r="R414">
        <v>2022</v>
      </c>
      <c r="S414" t="s">
        <v>25</v>
      </c>
    </row>
    <row r="415" spans="1:19" x14ac:dyDescent="0.3">
      <c r="A415" t="s">
        <v>489</v>
      </c>
      <c r="B415">
        <v>45040</v>
      </c>
      <c r="C415" t="s">
        <v>42</v>
      </c>
      <c r="D415" t="s">
        <v>43</v>
      </c>
      <c r="E415" t="s">
        <v>32</v>
      </c>
      <c r="F415" t="s">
        <v>23</v>
      </c>
      <c r="G415">
        <v>167686.46369999999</v>
      </c>
      <c r="H415">
        <v>150099.26</v>
      </c>
      <c r="I415">
        <v>17587.2</v>
      </c>
      <c r="J415">
        <v>57428.12</v>
      </c>
      <c r="K415">
        <v>28269</v>
      </c>
      <c r="L415">
        <v>202497.72</v>
      </c>
      <c r="M415">
        <v>2114</v>
      </c>
      <c r="N415">
        <v>6.6600000000000006E-2</v>
      </c>
      <c r="O415">
        <f t="shared" si="12"/>
        <v>0.10489999999999999</v>
      </c>
      <c r="P415">
        <f t="shared" si="13"/>
        <v>0.1396</v>
      </c>
      <c r="Q415" t="s">
        <v>39</v>
      </c>
      <c r="R415">
        <v>2023</v>
      </c>
      <c r="S415" t="s">
        <v>25</v>
      </c>
    </row>
    <row r="416" spans="1:19" x14ac:dyDescent="0.3">
      <c r="A416" t="s">
        <v>490</v>
      </c>
      <c r="B416">
        <v>45333</v>
      </c>
      <c r="C416" t="s">
        <v>1282</v>
      </c>
      <c r="D416" t="s">
        <v>69</v>
      </c>
      <c r="E416" t="s">
        <v>22</v>
      </c>
      <c r="F416" t="s">
        <v>23</v>
      </c>
      <c r="G416">
        <v>111543.87</v>
      </c>
      <c r="H416">
        <v>63380.54</v>
      </c>
      <c r="I416">
        <v>48163.33</v>
      </c>
      <c r="J416">
        <v>25470</v>
      </c>
      <c r="K416">
        <v>35204.03</v>
      </c>
      <c r="L416">
        <v>75953.039999999994</v>
      </c>
      <c r="M416">
        <v>619</v>
      </c>
      <c r="N416">
        <v>-4.3900000000000002E-2</v>
      </c>
      <c r="O416">
        <f t="shared" si="12"/>
        <v>0.43180000000000002</v>
      </c>
      <c r="P416">
        <f t="shared" si="13"/>
        <v>0.46350000000000002</v>
      </c>
      <c r="Q416" t="s">
        <v>80</v>
      </c>
      <c r="R416">
        <v>2024</v>
      </c>
      <c r="S416" t="s">
        <v>40</v>
      </c>
    </row>
    <row r="417" spans="1:19" x14ac:dyDescent="0.3">
      <c r="A417" t="s">
        <v>491</v>
      </c>
      <c r="B417">
        <v>44937</v>
      </c>
      <c r="C417" t="s">
        <v>61</v>
      </c>
      <c r="D417" t="s">
        <v>74</v>
      </c>
      <c r="E417" t="s">
        <v>22</v>
      </c>
      <c r="F417" t="s">
        <v>23</v>
      </c>
      <c r="G417">
        <v>22502.880000000001</v>
      </c>
      <c r="H417">
        <v>19967.669999999998</v>
      </c>
      <c r="I417">
        <v>2535.21</v>
      </c>
      <c r="J417">
        <v>15661.69</v>
      </c>
      <c r="K417">
        <v>27235.919999999998</v>
      </c>
      <c r="L417">
        <v>54466.52</v>
      </c>
      <c r="M417">
        <v>1111</v>
      </c>
      <c r="N417">
        <v>2.4899999999999999E-2</v>
      </c>
      <c r="O417">
        <f t="shared" si="12"/>
        <v>0.11269999999999999</v>
      </c>
      <c r="P417">
        <f t="shared" si="13"/>
        <v>0.5</v>
      </c>
      <c r="Q417" t="s">
        <v>118</v>
      </c>
      <c r="R417">
        <v>2023</v>
      </c>
      <c r="S417" t="s">
        <v>40</v>
      </c>
    </row>
    <row r="418" spans="1:19" x14ac:dyDescent="0.3">
      <c r="A418" t="s">
        <v>492</v>
      </c>
      <c r="B418">
        <v>45736</v>
      </c>
      <c r="C418" t="s">
        <v>20</v>
      </c>
      <c r="D418" t="s">
        <v>21</v>
      </c>
      <c r="E418" t="s">
        <v>51</v>
      </c>
      <c r="F418" t="s">
        <v>23</v>
      </c>
      <c r="G418">
        <v>26870.400000000001</v>
      </c>
      <c r="H418">
        <v>23590.240000000002</v>
      </c>
      <c r="I418">
        <v>3280.16</v>
      </c>
      <c r="J418">
        <v>12386.28</v>
      </c>
      <c r="K418">
        <v>23450</v>
      </c>
      <c r="L418">
        <v>65015.21</v>
      </c>
      <c r="M418">
        <v>749</v>
      </c>
      <c r="N418">
        <v>-1.6000000000000001E-3</v>
      </c>
      <c r="O418">
        <f t="shared" si="12"/>
        <v>0.1221</v>
      </c>
      <c r="P418">
        <f t="shared" si="13"/>
        <v>0.36070000000000002</v>
      </c>
      <c r="Q418" t="s">
        <v>106</v>
      </c>
      <c r="R418">
        <v>2025</v>
      </c>
      <c r="S418" t="s">
        <v>40</v>
      </c>
    </row>
    <row r="419" spans="1:19" x14ac:dyDescent="0.3">
      <c r="A419" t="s">
        <v>493</v>
      </c>
      <c r="B419">
        <v>45432</v>
      </c>
      <c r="C419" t="s">
        <v>1282</v>
      </c>
      <c r="D419" t="s">
        <v>69</v>
      </c>
      <c r="E419" t="s">
        <v>51</v>
      </c>
      <c r="F419" t="s">
        <v>23</v>
      </c>
      <c r="G419">
        <v>180404.35</v>
      </c>
      <c r="H419">
        <v>123716.92</v>
      </c>
      <c r="I419">
        <v>56687.43</v>
      </c>
      <c r="J419">
        <v>57974.69</v>
      </c>
      <c r="K419">
        <v>19933.490000000002</v>
      </c>
      <c r="L419">
        <v>100678.1</v>
      </c>
      <c r="M419">
        <v>1430</v>
      </c>
      <c r="N419">
        <v>-9.6500000000000002E-2</v>
      </c>
      <c r="O419">
        <f t="shared" si="12"/>
        <v>0.31419999999999998</v>
      </c>
      <c r="P419">
        <f t="shared" si="13"/>
        <v>0.19800000000000001</v>
      </c>
      <c r="Q419" t="s">
        <v>111</v>
      </c>
      <c r="R419">
        <v>2024</v>
      </c>
      <c r="S419" t="s">
        <v>25</v>
      </c>
    </row>
    <row r="420" spans="1:19" x14ac:dyDescent="0.3">
      <c r="A420" t="s">
        <v>494</v>
      </c>
      <c r="B420">
        <v>45455</v>
      </c>
      <c r="C420" t="s">
        <v>85</v>
      </c>
      <c r="D420" t="s">
        <v>86</v>
      </c>
      <c r="E420" t="s">
        <v>32</v>
      </c>
      <c r="F420" t="s">
        <v>23</v>
      </c>
      <c r="G420">
        <v>123388.28005</v>
      </c>
      <c r="H420">
        <v>109374.27</v>
      </c>
      <c r="I420">
        <v>14014.01</v>
      </c>
      <c r="J420">
        <v>24134.66</v>
      </c>
      <c r="K420">
        <v>90088.71</v>
      </c>
      <c r="L420">
        <v>64910.239999999998</v>
      </c>
      <c r="M420">
        <v>455</v>
      </c>
      <c r="N420">
        <v>-7.6799999999999993E-2</v>
      </c>
      <c r="O420">
        <f t="shared" si="12"/>
        <v>0.11360000000000001</v>
      </c>
      <c r="P420">
        <f t="shared" si="13"/>
        <v>1.3878999999999999</v>
      </c>
      <c r="Q420" t="s">
        <v>111</v>
      </c>
      <c r="R420">
        <v>2024</v>
      </c>
      <c r="S420" t="s">
        <v>82</v>
      </c>
    </row>
    <row r="421" spans="1:19" x14ac:dyDescent="0.3">
      <c r="A421" t="s">
        <v>495</v>
      </c>
      <c r="B421">
        <v>45575</v>
      </c>
      <c r="C421" t="s">
        <v>78</v>
      </c>
      <c r="D421" t="s">
        <v>79</v>
      </c>
      <c r="E421" t="s">
        <v>51</v>
      </c>
      <c r="F421" t="s">
        <v>23</v>
      </c>
      <c r="G421">
        <v>60487.65</v>
      </c>
      <c r="H421">
        <v>40361.519999999997</v>
      </c>
      <c r="I421">
        <v>20126.13</v>
      </c>
      <c r="J421">
        <v>23912.98</v>
      </c>
      <c r="K421">
        <v>33088.1</v>
      </c>
      <c r="L421">
        <v>94144.66</v>
      </c>
      <c r="M421">
        <v>1277</v>
      </c>
      <c r="N421">
        <v>-2.23E-2</v>
      </c>
      <c r="O421">
        <f t="shared" si="12"/>
        <v>0.3327</v>
      </c>
      <c r="P421">
        <f t="shared" si="13"/>
        <v>0.35149999999999998</v>
      </c>
      <c r="Q421" t="s">
        <v>52</v>
      </c>
      <c r="R421">
        <v>2024</v>
      </c>
      <c r="S421" t="s">
        <v>40</v>
      </c>
    </row>
    <row r="422" spans="1:19" x14ac:dyDescent="0.3">
      <c r="A422" t="s">
        <v>496</v>
      </c>
      <c r="B422">
        <v>45109</v>
      </c>
      <c r="C422" t="s">
        <v>54</v>
      </c>
      <c r="D422" t="s">
        <v>55</v>
      </c>
      <c r="E422" t="s">
        <v>22</v>
      </c>
      <c r="F422" t="s">
        <v>23</v>
      </c>
      <c r="G422">
        <v>97645.9</v>
      </c>
      <c r="H422">
        <v>87848.01</v>
      </c>
      <c r="I422">
        <v>9797.89</v>
      </c>
      <c r="J422">
        <v>18435.669999999998</v>
      </c>
      <c r="K422">
        <v>10856.11</v>
      </c>
      <c r="L422">
        <v>169027.85</v>
      </c>
      <c r="M422">
        <v>2438</v>
      </c>
      <c r="N422">
        <v>1.0699999999999999E-2</v>
      </c>
      <c r="O422">
        <f t="shared" si="12"/>
        <v>0.1003</v>
      </c>
      <c r="P422">
        <f t="shared" si="13"/>
        <v>6.4199999999999993E-2</v>
      </c>
      <c r="Q422" t="s">
        <v>56</v>
      </c>
      <c r="R422">
        <v>2023</v>
      </c>
      <c r="S422" t="s">
        <v>25</v>
      </c>
    </row>
    <row r="423" spans="1:19" x14ac:dyDescent="0.3">
      <c r="A423" t="s">
        <v>497</v>
      </c>
      <c r="B423">
        <v>45455</v>
      </c>
      <c r="C423" t="s">
        <v>61</v>
      </c>
      <c r="D423" t="s">
        <v>74</v>
      </c>
      <c r="E423" t="s">
        <v>38</v>
      </c>
      <c r="F423" t="s">
        <v>23</v>
      </c>
      <c r="G423">
        <v>139164.1</v>
      </c>
      <c r="H423">
        <v>120895.29</v>
      </c>
      <c r="I423">
        <v>18268.810000000001</v>
      </c>
      <c r="J423">
        <v>21361.99</v>
      </c>
      <c r="K423">
        <v>69855.78</v>
      </c>
      <c r="L423">
        <v>44671.09</v>
      </c>
      <c r="M423">
        <v>1247</v>
      </c>
      <c r="N423">
        <v>5.4300000000000001E-2</v>
      </c>
      <c r="O423">
        <f t="shared" si="12"/>
        <v>0.1313</v>
      </c>
      <c r="P423">
        <f t="shared" si="13"/>
        <v>1.5638000000000001</v>
      </c>
      <c r="Q423" t="s">
        <v>111</v>
      </c>
      <c r="R423">
        <v>2024</v>
      </c>
      <c r="S423" t="s">
        <v>82</v>
      </c>
    </row>
    <row r="424" spans="1:19" x14ac:dyDescent="0.3">
      <c r="A424" t="s">
        <v>498</v>
      </c>
      <c r="B424">
        <v>45644</v>
      </c>
      <c r="C424" t="s">
        <v>42</v>
      </c>
      <c r="D424" t="s">
        <v>43</v>
      </c>
      <c r="E424" t="s">
        <v>38</v>
      </c>
      <c r="F424" t="s">
        <v>23</v>
      </c>
      <c r="G424">
        <v>44617.77</v>
      </c>
      <c r="H424">
        <v>35218.14</v>
      </c>
      <c r="I424">
        <v>9399.6299999999992</v>
      </c>
      <c r="J424">
        <v>37217.78</v>
      </c>
      <c r="K424">
        <v>87486.28</v>
      </c>
      <c r="L424">
        <v>199759.66</v>
      </c>
      <c r="M424">
        <v>1283</v>
      </c>
      <c r="N424">
        <v>-2.1899999999999999E-2</v>
      </c>
      <c r="O424">
        <f t="shared" si="12"/>
        <v>0.2107</v>
      </c>
      <c r="P424">
        <f t="shared" si="13"/>
        <v>0.438</v>
      </c>
      <c r="Q424" t="s">
        <v>52</v>
      </c>
      <c r="R424">
        <v>2024</v>
      </c>
      <c r="S424" t="s">
        <v>40</v>
      </c>
    </row>
    <row r="425" spans="1:19" x14ac:dyDescent="0.3">
      <c r="A425" t="s">
        <v>499</v>
      </c>
      <c r="B425">
        <v>45815</v>
      </c>
      <c r="C425" t="s">
        <v>48</v>
      </c>
      <c r="D425" t="s">
        <v>49</v>
      </c>
      <c r="E425" t="s">
        <v>32</v>
      </c>
      <c r="F425" t="s">
        <v>23</v>
      </c>
      <c r="G425">
        <v>118877.43805</v>
      </c>
      <c r="H425">
        <v>93358.91</v>
      </c>
      <c r="I425">
        <v>25518.52</v>
      </c>
      <c r="J425">
        <v>74627.45</v>
      </c>
      <c r="K425">
        <v>99154.25</v>
      </c>
      <c r="L425">
        <v>91824.07</v>
      </c>
      <c r="M425">
        <v>809</v>
      </c>
      <c r="N425">
        <v>-0.1351</v>
      </c>
      <c r="O425">
        <f t="shared" si="12"/>
        <v>0.2147</v>
      </c>
      <c r="P425">
        <f t="shared" si="13"/>
        <v>1.0798000000000001</v>
      </c>
      <c r="Q425" t="s">
        <v>34</v>
      </c>
      <c r="R425">
        <v>2025</v>
      </c>
      <c r="S425" t="s">
        <v>82</v>
      </c>
    </row>
    <row r="426" spans="1:19" x14ac:dyDescent="0.3">
      <c r="A426" t="s">
        <v>500</v>
      </c>
      <c r="B426">
        <v>44564</v>
      </c>
      <c r="C426" t="s">
        <v>27</v>
      </c>
      <c r="D426" t="s">
        <v>28</v>
      </c>
      <c r="E426" t="s">
        <v>51</v>
      </c>
      <c r="F426" t="s">
        <v>23</v>
      </c>
      <c r="G426">
        <v>49736.94</v>
      </c>
      <c r="H426">
        <v>42792.46</v>
      </c>
      <c r="I426">
        <v>6944.48</v>
      </c>
      <c r="J426">
        <v>40957.67</v>
      </c>
      <c r="K426">
        <v>71293.17</v>
      </c>
      <c r="L426">
        <v>173283.99</v>
      </c>
      <c r="M426">
        <v>1329</v>
      </c>
      <c r="N426">
        <v>-1.3599999999999999E-2</v>
      </c>
      <c r="O426">
        <f t="shared" si="12"/>
        <v>0.1396</v>
      </c>
      <c r="P426">
        <f t="shared" si="13"/>
        <v>0.41139999999999999</v>
      </c>
      <c r="Q426" t="s">
        <v>90</v>
      </c>
      <c r="R426">
        <v>2022</v>
      </c>
      <c r="S426" t="s">
        <v>40</v>
      </c>
    </row>
    <row r="427" spans="1:19" x14ac:dyDescent="0.3">
      <c r="A427" t="s">
        <v>501</v>
      </c>
      <c r="B427">
        <v>45635</v>
      </c>
      <c r="C427" t="s">
        <v>102</v>
      </c>
      <c r="D427" t="s">
        <v>103</v>
      </c>
      <c r="E427" t="s">
        <v>38</v>
      </c>
      <c r="F427" t="s">
        <v>23</v>
      </c>
      <c r="G427">
        <v>36255.620000000003</v>
      </c>
      <c r="H427">
        <v>20891.900000000001</v>
      </c>
      <c r="I427">
        <v>15363.72</v>
      </c>
      <c r="J427">
        <v>14161.87</v>
      </c>
      <c r="K427">
        <v>55697.85</v>
      </c>
      <c r="L427">
        <v>59292.54</v>
      </c>
      <c r="M427">
        <v>1263</v>
      </c>
      <c r="N427">
        <v>-6.7900000000000002E-2</v>
      </c>
      <c r="O427">
        <f t="shared" si="12"/>
        <v>0.42380000000000001</v>
      </c>
      <c r="P427">
        <f t="shared" si="13"/>
        <v>0.93940000000000001</v>
      </c>
      <c r="Q427" t="s">
        <v>52</v>
      </c>
      <c r="R427">
        <v>2024</v>
      </c>
      <c r="S427" t="s">
        <v>82</v>
      </c>
    </row>
    <row r="428" spans="1:19" x14ac:dyDescent="0.3">
      <c r="A428" t="s">
        <v>502</v>
      </c>
      <c r="B428">
        <v>44913</v>
      </c>
      <c r="C428" t="s">
        <v>78</v>
      </c>
      <c r="D428" t="s">
        <v>79</v>
      </c>
      <c r="E428" t="s">
        <v>38</v>
      </c>
      <c r="F428" t="s">
        <v>23</v>
      </c>
      <c r="G428">
        <v>69038.78</v>
      </c>
      <c r="H428">
        <v>39405.949999999997</v>
      </c>
      <c r="I428">
        <v>29632.83</v>
      </c>
      <c r="J428">
        <v>36012.65</v>
      </c>
      <c r="K428">
        <v>31290.73</v>
      </c>
      <c r="L428">
        <v>53070.41</v>
      </c>
      <c r="M428">
        <v>760</v>
      </c>
      <c r="N428">
        <v>-1.7399999999999999E-2</v>
      </c>
      <c r="O428">
        <f t="shared" si="12"/>
        <v>0.42920000000000003</v>
      </c>
      <c r="P428">
        <f t="shared" si="13"/>
        <v>0.58960000000000001</v>
      </c>
      <c r="Q428" t="s">
        <v>46</v>
      </c>
      <c r="R428">
        <v>2022</v>
      </c>
      <c r="S428" t="s">
        <v>40</v>
      </c>
    </row>
    <row r="429" spans="1:19" x14ac:dyDescent="0.3">
      <c r="A429" t="s">
        <v>503</v>
      </c>
      <c r="B429">
        <v>45326</v>
      </c>
      <c r="C429" t="s">
        <v>20</v>
      </c>
      <c r="D429" t="s">
        <v>21</v>
      </c>
      <c r="E429" t="s">
        <v>22</v>
      </c>
      <c r="F429" t="s">
        <v>23</v>
      </c>
      <c r="G429">
        <v>47278.03</v>
      </c>
      <c r="H429">
        <v>32943.300000000003</v>
      </c>
      <c r="I429">
        <v>14334.73</v>
      </c>
      <c r="J429">
        <v>30017.27</v>
      </c>
      <c r="K429">
        <v>3309.68</v>
      </c>
      <c r="L429">
        <v>51015.61</v>
      </c>
      <c r="M429">
        <v>934</v>
      </c>
      <c r="N429">
        <v>9.1899999999999996E-2</v>
      </c>
      <c r="O429">
        <f t="shared" si="12"/>
        <v>0.30320000000000003</v>
      </c>
      <c r="P429">
        <f t="shared" si="13"/>
        <v>6.4899999999999999E-2</v>
      </c>
      <c r="Q429" t="s">
        <v>80</v>
      </c>
      <c r="R429">
        <v>2024</v>
      </c>
      <c r="S429" t="s">
        <v>25</v>
      </c>
    </row>
    <row r="430" spans="1:19" x14ac:dyDescent="0.3">
      <c r="A430" t="s">
        <v>504</v>
      </c>
      <c r="B430">
        <v>45318</v>
      </c>
      <c r="C430" t="s">
        <v>42</v>
      </c>
      <c r="D430" t="s">
        <v>43</v>
      </c>
      <c r="E430" t="s">
        <v>32</v>
      </c>
      <c r="F430" t="s">
        <v>23</v>
      </c>
      <c r="G430">
        <v>110840.7403</v>
      </c>
      <c r="H430">
        <v>66595.75</v>
      </c>
      <c r="I430">
        <v>44244.99</v>
      </c>
      <c r="J430">
        <v>69573.67</v>
      </c>
      <c r="K430">
        <v>36216.35</v>
      </c>
      <c r="L430">
        <v>172520.93</v>
      </c>
      <c r="M430">
        <v>615</v>
      </c>
      <c r="N430">
        <v>9.2299999999999993E-2</v>
      </c>
      <c r="O430">
        <f t="shared" si="12"/>
        <v>0.3992</v>
      </c>
      <c r="P430">
        <f t="shared" si="13"/>
        <v>0.2099</v>
      </c>
      <c r="Q430" t="s">
        <v>80</v>
      </c>
      <c r="R430">
        <v>2024</v>
      </c>
      <c r="S430" t="s">
        <v>25</v>
      </c>
    </row>
    <row r="431" spans="1:19" x14ac:dyDescent="0.3">
      <c r="A431" t="s">
        <v>505</v>
      </c>
      <c r="B431">
        <v>45009</v>
      </c>
      <c r="C431" t="s">
        <v>78</v>
      </c>
      <c r="D431" t="s">
        <v>79</v>
      </c>
      <c r="E431" t="s">
        <v>32</v>
      </c>
      <c r="F431" t="s">
        <v>23</v>
      </c>
      <c r="G431">
        <v>62180.896699999998</v>
      </c>
      <c r="H431">
        <v>38898.480000000003</v>
      </c>
      <c r="I431">
        <v>23282.42</v>
      </c>
      <c r="J431">
        <v>33652.79</v>
      </c>
      <c r="K431">
        <v>9977.82</v>
      </c>
      <c r="L431">
        <v>84112.35</v>
      </c>
      <c r="M431">
        <v>1113</v>
      </c>
      <c r="N431">
        <v>6.0999999999999999E-2</v>
      </c>
      <c r="O431">
        <f t="shared" si="12"/>
        <v>0.37440000000000001</v>
      </c>
      <c r="P431">
        <f t="shared" si="13"/>
        <v>0.1186</v>
      </c>
      <c r="Q431" t="s">
        <v>118</v>
      </c>
      <c r="R431">
        <v>2023</v>
      </c>
      <c r="S431" t="s">
        <v>25</v>
      </c>
    </row>
    <row r="432" spans="1:19" x14ac:dyDescent="0.3">
      <c r="A432" t="s">
        <v>506</v>
      </c>
      <c r="B432">
        <v>44812</v>
      </c>
      <c r="C432" t="s">
        <v>20</v>
      </c>
      <c r="D432" t="s">
        <v>21</v>
      </c>
      <c r="E432" t="s">
        <v>22</v>
      </c>
      <c r="F432" t="s">
        <v>23</v>
      </c>
      <c r="G432">
        <v>80589.42</v>
      </c>
      <c r="H432">
        <v>72019.460000000006</v>
      </c>
      <c r="I432">
        <v>8569.9599999999991</v>
      </c>
      <c r="J432">
        <v>26852.799999999999</v>
      </c>
      <c r="K432">
        <v>12135.39</v>
      </c>
      <c r="L432">
        <v>79106.850000000006</v>
      </c>
      <c r="M432">
        <v>337</v>
      </c>
      <c r="N432">
        <v>2.3400000000000001E-2</v>
      </c>
      <c r="O432">
        <f t="shared" si="12"/>
        <v>0.10630000000000001</v>
      </c>
      <c r="P432">
        <f t="shared" si="13"/>
        <v>0.15340000000000001</v>
      </c>
      <c r="Q432" t="s">
        <v>76</v>
      </c>
      <c r="R432">
        <v>2022</v>
      </c>
      <c r="S432" t="s">
        <v>25</v>
      </c>
    </row>
    <row r="433" spans="1:19" x14ac:dyDescent="0.3">
      <c r="A433" t="s">
        <v>507</v>
      </c>
      <c r="B433">
        <v>44722</v>
      </c>
      <c r="C433" t="s">
        <v>54</v>
      </c>
      <c r="D433" t="s">
        <v>55</v>
      </c>
      <c r="E433" t="s">
        <v>22</v>
      </c>
      <c r="F433" t="s">
        <v>23</v>
      </c>
      <c r="G433">
        <v>49968.45</v>
      </c>
      <c r="H433">
        <v>28140.65</v>
      </c>
      <c r="I433">
        <v>21827.8</v>
      </c>
      <c r="J433">
        <v>41372.629999999997</v>
      </c>
      <c r="K433">
        <v>24706.2</v>
      </c>
      <c r="L433">
        <v>83974.59</v>
      </c>
      <c r="M433">
        <v>693</v>
      </c>
      <c r="N433">
        <v>9.1999999999999998E-2</v>
      </c>
      <c r="O433">
        <f t="shared" si="12"/>
        <v>0.43680000000000002</v>
      </c>
      <c r="P433">
        <f t="shared" si="13"/>
        <v>0.29420000000000002</v>
      </c>
      <c r="Q433" t="s">
        <v>58</v>
      </c>
      <c r="R433">
        <v>2022</v>
      </c>
      <c r="S433" t="s">
        <v>25</v>
      </c>
    </row>
    <row r="434" spans="1:19" x14ac:dyDescent="0.3">
      <c r="A434" t="s">
        <v>508</v>
      </c>
      <c r="B434">
        <v>44750</v>
      </c>
      <c r="C434" t="s">
        <v>27</v>
      </c>
      <c r="D434" t="s">
        <v>28</v>
      </c>
      <c r="E434" t="s">
        <v>22</v>
      </c>
      <c r="F434" t="s">
        <v>23</v>
      </c>
      <c r="G434">
        <v>153272.10999999999</v>
      </c>
      <c r="H434">
        <v>133413.13</v>
      </c>
      <c r="I434">
        <v>19858.98</v>
      </c>
      <c r="J434">
        <v>33510.33</v>
      </c>
      <c r="K434">
        <v>33586.74</v>
      </c>
      <c r="L434">
        <v>92392.33</v>
      </c>
      <c r="M434">
        <v>1037</v>
      </c>
      <c r="N434">
        <v>9.1999999999999998E-3</v>
      </c>
      <c r="O434">
        <f t="shared" si="12"/>
        <v>0.12959999999999999</v>
      </c>
      <c r="P434">
        <f t="shared" si="13"/>
        <v>0.36349999999999999</v>
      </c>
      <c r="Q434" t="s">
        <v>76</v>
      </c>
      <c r="R434">
        <v>2022</v>
      </c>
      <c r="S434" t="s">
        <v>40</v>
      </c>
    </row>
    <row r="435" spans="1:19" x14ac:dyDescent="0.3">
      <c r="A435" t="s">
        <v>509</v>
      </c>
      <c r="B435">
        <v>44754</v>
      </c>
      <c r="C435" t="s">
        <v>102</v>
      </c>
      <c r="D435" t="s">
        <v>103</v>
      </c>
      <c r="E435" t="s">
        <v>38</v>
      </c>
      <c r="F435" t="s">
        <v>23</v>
      </c>
      <c r="G435">
        <v>62558.16</v>
      </c>
      <c r="H435">
        <v>54380.63</v>
      </c>
      <c r="I435">
        <v>8177.53</v>
      </c>
      <c r="J435">
        <v>62394.720000000001</v>
      </c>
      <c r="K435">
        <v>33002.78</v>
      </c>
      <c r="L435">
        <v>78919.12</v>
      </c>
      <c r="M435">
        <v>744</v>
      </c>
      <c r="N435">
        <v>7.4200000000000002E-2</v>
      </c>
      <c r="O435">
        <f t="shared" si="12"/>
        <v>0.13070000000000001</v>
      </c>
      <c r="P435">
        <f t="shared" si="13"/>
        <v>0.41820000000000002</v>
      </c>
      <c r="Q435" t="s">
        <v>76</v>
      </c>
      <c r="R435">
        <v>2022</v>
      </c>
      <c r="S435" t="s">
        <v>40</v>
      </c>
    </row>
    <row r="436" spans="1:19" x14ac:dyDescent="0.3">
      <c r="A436" t="s">
        <v>510</v>
      </c>
      <c r="B436">
        <v>45252</v>
      </c>
      <c r="C436" t="s">
        <v>61</v>
      </c>
      <c r="D436" t="s">
        <v>74</v>
      </c>
      <c r="E436" t="s">
        <v>38</v>
      </c>
      <c r="F436" t="s">
        <v>23</v>
      </c>
      <c r="G436">
        <v>30624.17</v>
      </c>
      <c r="H436">
        <v>21694.7</v>
      </c>
      <c r="I436">
        <v>8929.4699999999993</v>
      </c>
      <c r="J436">
        <v>36747.31</v>
      </c>
      <c r="K436">
        <v>13108.11</v>
      </c>
      <c r="L436">
        <v>50077.52</v>
      </c>
      <c r="M436">
        <v>1011</v>
      </c>
      <c r="N436">
        <v>0.13689999999999999</v>
      </c>
      <c r="O436">
        <f t="shared" si="12"/>
        <v>0.29160000000000003</v>
      </c>
      <c r="P436">
        <f t="shared" si="13"/>
        <v>0.26179999999999998</v>
      </c>
      <c r="Q436" t="s">
        <v>44</v>
      </c>
      <c r="R436">
        <v>2023</v>
      </c>
      <c r="S436" t="s">
        <v>25</v>
      </c>
    </row>
    <row r="437" spans="1:19" x14ac:dyDescent="0.3">
      <c r="A437" t="s">
        <v>511</v>
      </c>
      <c r="B437">
        <v>44673</v>
      </c>
      <c r="C437" t="s">
        <v>48</v>
      </c>
      <c r="D437" t="s">
        <v>49</v>
      </c>
      <c r="E437" t="s">
        <v>51</v>
      </c>
      <c r="F437" t="s">
        <v>23</v>
      </c>
      <c r="G437">
        <v>152009.81</v>
      </c>
      <c r="H437">
        <v>131092.73000000001</v>
      </c>
      <c r="I437">
        <v>20917.080000000002</v>
      </c>
      <c r="J437">
        <v>14194.42</v>
      </c>
      <c r="K437">
        <v>32418.16</v>
      </c>
      <c r="L437">
        <v>97773.55</v>
      </c>
      <c r="M437">
        <v>582</v>
      </c>
      <c r="N437">
        <v>-7.9799999999999996E-2</v>
      </c>
      <c r="O437">
        <f t="shared" si="12"/>
        <v>0.1376</v>
      </c>
      <c r="P437">
        <f t="shared" si="13"/>
        <v>0.33160000000000001</v>
      </c>
      <c r="Q437" t="s">
        <v>58</v>
      </c>
      <c r="R437">
        <v>2022</v>
      </c>
      <c r="S437" t="s">
        <v>40</v>
      </c>
    </row>
    <row r="438" spans="1:19" x14ac:dyDescent="0.3">
      <c r="A438" t="s">
        <v>512</v>
      </c>
      <c r="B438">
        <v>45458</v>
      </c>
      <c r="C438" t="s">
        <v>1282</v>
      </c>
      <c r="D438" t="s">
        <v>69</v>
      </c>
      <c r="E438" t="s">
        <v>51</v>
      </c>
      <c r="F438" t="s">
        <v>23</v>
      </c>
      <c r="G438">
        <v>82264.160000000003</v>
      </c>
      <c r="H438">
        <v>47615.06</v>
      </c>
      <c r="I438">
        <v>34649.1</v>
      </c>
      <c r="J438">
        <v>81821.440000000002</v>
      </c>
      <c r="K438">
        <v>22871.94</v>
      </c>
      <c r="L438">
        <v>152455.23000000001</v>
      </c>
      <c r="M438">
        <v>1819</v>
      </c>
      <c r="N438">
        <v>1.5100000000000001E-2</v>
      </c>
      <c r="O438">
        <f t="shared" si="12"/>
        <v>0.42120000000000002</v>
      </c>
      <c r="P438">
        <f t="shared" si="13"/>
        <v>0.15</v>
      </c>
      <c r="Q438" t="s">
        <v>111</v>
      </c>
      <c r="R438">
        <v>2024</v>
      </c>
      <c r="S438" t="s">
        <v>25</v>
      </c>
    </row>
    <row r="439" spans="1:19" x14ac:dyDescent="0.3">
      <c r="A439" t="s">
        <v>513</v>
      </c>
      <c r="B439">
        <v>45858</v>
      </c>
      <c r="C439" t="s">
        <v>61</v>
      </c>
      <c r="D439" t="s">
        <v>74</v>
      </c>
      <c r="E439" t="s">
        <v>32</v>
      </c>
      <c r="F439" t="s">
        <v>23</v>
      </c>
      <c r="G439">
        <v>55265.531799999997</v>
      </c>
      <c r="H439">
        <v>36304.949999999997</v>
      </c>
      <c r="I439">
        <v>18960.580000000002</v>
      </c>
      <c r="J439">
        <v>20166.580000000002</v>
      </c>
      <c r="K439">
        <v>10143.31</v>
      </c>
      <c r="L439">
        <v>40811.019999999997</v>
      </c>
      <c r="M439">
        <v>519</v>
      </c>
      <c r="N439">
        <v>2.1999999999999999E-2</v>
      </c>
      <c r="O439">
        <f t="shared" si="12"/>
        <v>0.34310000000000002</v>
      </c>
      <c r="P439">
        <f t="shared" si="13"/>
        <v>0.2485</v>
      </c>
      <c r="Q439" t="s">
        <v>24</v>
      </c>
      <c r="R439">
        <v>2025</v>
      </c>
      <c r="S439" t="s">
        <v>25</v>
      </c>
    </row>
    <row r="440" spans="1:19" x14ac:dyDescent="0.3">
      <c r="A440" t="s">
        <v>514</v>
      </c>
      <c r="B440">
        <v>44995</v>
      </c>
      <c r="C440" t="s">
        <v>30</v>
      </c>
      <c r="D440" t="s">
        <v>31</v>
      </c>
      <c r="E440" t="s">
        <v>22</v>
      </c>
      <c r="F440" t="s">
        <v>23</v>
      </c>
      <c r="G440">
        <v>74799.31</v>
      </c>
      <c r="H440">
        <v>63181.71</v>
      </c>
      <c r="I440">
        <v>11617.6</v>
      </c>
      <c r="J440">
        <v>8283.7199999999993</v>
      </c>
      <c r="K440">
        <v>50630.16</v>
      </c>
      <c r="L440">
        <v>167082.81</v>
      </c>
      <c r="M440">
        <v>966</v>
      </c>
      <c r="N440">
        <v>-7.9699999999999993E-2</v>
      </c>
      <c r="O440">
        <f t="shared" si="12"/>
        <v>0.15529999999999999</v>
      </c>
      <c r="P440">
        <f t="shared" si="13"/>
        <v>0.30299999999999999</v>
      </c>
      <c r="Q440" t="s">
        <v>118</v>
      </c>
      <c r="R440">
        <v>2023</v>
      </c>
      <c r="S440" t="s">
        <v>40</v>
      </c>
    </row>
    <row r="441" spans="1:19" x14ac:dyDescent="0.3">
      <c r="A441" t="s">
        <v>515</v>
      </c>
      <c r="B441">
        <v>45463</v>
      </c>
      <c r="C441" t="s">
        <v>85</v>
      </c>
      <c r="D441" t="s">
        <v>86</v>
      </c>
      <c r="E441" t="s">
        <v>22</v>
      </c>
      <c r="F441" t="s">
        <v>23</v>
      </c>
      <c r="G441">
        <v>52718.53</v>
      </c>
      <c r="H441">
        <v>34339.56</v>
      </c>
      <c r="I441">
        <v>18378.97</v>
      </c>
      <c r="J441">
        <v>30753.63</v>
      </c>
      <c r="K441">
        <v>19806.12</v>
      </c>
      <c r="L441">
        <v>85321.65</v>
      </c>
      <c r="M441">
        <v>750</v>
      </c>
      <c r="N441">
        <v>-7.8799999999999995E-2</v>
      </c>
      <c r="O441">
        <f t="shared" si="12"/>
        <v>0.34860000000000002</v>
      </c>
      <c r="P441">
        <f t="shared" si="13"/>
        <v>0.2321</v>
      </c>
      <c r="Q441" t="s">
        <v>111</v>
      </c>
      <c r="R441">
        <v>2024</v>
      </c>
      <c r="S441" t="s">
        <v>25</v>
      </c>
    </row>
    <row r="442" spans="1:19" x14ac:dyDescent="0.3">
      <c r="A442" t="s">
        <v>516</v>
      </c>
      <c r="B442">
        <v>45715</v>
      </c>
      <c r="C442" t="s">
        <v>78</v>
      </c>
      <c r="D442" t="s">
        <v>79</v>
      </c>
      <c r="E442" t="s">
        <v>22</v>
      </c>
      <c r="F442" t="s">
        <v>23</v>
      </c>
      <c r="G442">
        <v>56391.040000000001</v>
      </c>
      <c r="H442">
        <v>51488.7</v>
      </c>
      <c r="I442">
        <v>4902.34</v>
      </c>
      <c r="J442">
        <v>39676.18</v>
      </c>
      <c r="K442">
        <v>77020.27</v>
      </c>
      <c r="L442">
        <v>78854.02</v>
      </c>
      <c r="M442">
        <v>1538</v>
      </c>
      <c r="N442">
        <v>-0.1007</v>
      </c>
      <c r="O442">
        <f t="shared" si="12"/>
        <v>8.6900000000000005E-2</v>
      </c>
      <c r="P442">
        <f t="shared" si="13"/>
        <v>0.97670000000000001</v>
      </c>
      <c r="Q442" t="s">
        <v>106</v>
      </c>
      <c r="R442">
        <v>2025</v>
      </c>
      <c r="S442" t="s">
        <v>82</v>
      </c>
    </row>
    <row r="443" spans="1:19" x14ac:dyDescent="0.3">
      <c r="A443" t="s">
        <v>517</v>
      </c>
      <c r="B443">
        <v>44730</v>
      </c>
      <c r="C443" t="s">
        <v>20</v>
      </c>
      <c r="D443" t="s">
        <v>21</v>
      </c>
      <c r="E443" t="s">
        <v>22</v>
      </c>
      <c r="F443" t="s">
        <v>23</v>
      </c>
      <c r="G443">
        <v>215550.24</v>
      </c>
      <c r="H443">
        <v>184424.39</v>
      </c>
      <c r="I443">
        <v>31125.85</v>
      </c>
      <c r="J443">
        <v>38077.65</v>
      </c>
      <c r="K443">
        <v>39216.730000000003</v>
      </c>
      <c r="L443">
        <v>108605.28</v>
      </c>
      <c r="M443">
        <v>1003</v>
      </c>
      <c r="N443">
        <v>0.1062</v>
      </c>
      <c r="O443">
        <f t="shared" si="12"/>
        <v>0.1444</v>
      </c>
      <c r="P443">
        <f t="shared" si="13"/>
        <v>0.36109999999999998</v>
      </c>
      <c r="Q443" t="s">
        <v>58</v>
      </c>
      <c r="R443">
        <v>2022</v>
      </c>
      <c r="S443" t="s">
        <v>40</v>
      </c>
    </row>
    <row r="444" spans="1:19" x14ac:dyDescent="0.3">
      <c r="A444" t="s">
        <v>518</v>
      </c>
      <c r="B444">
        <v>45688</v>
      </c>
      <c r="C444" t="s">
        <v>42</v>
      </c>
      <c r="D444" t="s">
        <v>43</v>
      </c>
      <c r="E444" t="s">
        <v>22</v>
      </c>
      <c r="F444" t="s">
        <v>23</v>
      </c>
      <c r="G444">
        <v>153368.32000000001</v>
      </c>
      <c r="H444">
        <v>123440.01</v>
      </c>
      <c r="I444">
        <v>29928.31</v>
      </c>
      <c r="J444">
        <v>44029.64</v>
      </c>
      <c r="K444">
        <v>7661.64</v>
      </c>
      <c r="L444">
        <v>119908.25</v>
      </c>
      <c r="M444">
        <v>1104</v>
      </c>
      <c r="N444">
        <v>4.4999999999999997E-3</v>
      </c>
      <c r="O444">
        <f t="shared" si="12"/>
        <v>0.1951</v>
      </c>
      <c r="P444">
        <f t="shared" si="13"/>
        <v>6.3899999999999998E-2</v>
      </c>
      <c r="Q444" t="s">
        <v>106</v>
      </c>
      <c r="R444">
        <v>2025</v>
      </c>
      <c r="S444" t="s">
        <v>25</v>
      </c>
    </row>
    <row r="445" spans="1:19" x14ac:dyDescent="0.3">
      <c r="A445" t="s">
        <v>519</v>
      </c>
      <c r="B445">
        <v>44617</v>
      </c>
      <c r="C445" t="s">
        <v>61</v>
      </c>
      <c r="D445" t="s">
        <v>74</v>
      </c>
      <c r="E445" t="s">
        <v>32</v>
      </c>
      <c r="F445" t="s">
        <v>23</v>
      </c>
      <c r="G445">
        <v>136794.10034999999</v>
      </c>
      <c r="H445">
        <v>113668.38</v>
      </c>
      <c r="I445">
        <v>23125.73</v>
      </c>
      <c r="J445">
        <v>217213.56</v>
      </c>
      <c r="K445">
        <v>15133.02</v>
      </c>
      <c r="L445">
        <v>326010.53999999998</v>
      </c>
      <c r="M445">
        <v>333</v>
      </c>
      <c r="N445">
        <v>-0.16239999999999999</v>
      </c>
      <c r="O445">
        <f t="shared" si="12"/>
        <v>0.1691</v>
      </c>
      <c r="P445">
        <f t="shared" si="13"/>
        <v>4.6399999999999997E-2</v>
      </c>
      <c r="Q445" t="s">
        <v>90</v>
      </c>
      <c r="R445">
        <v>2022</v>
      </c>
      <c r="S445" t="s">
        <v>25</v>
      </c>
    </row>
    <row r="446" spans="1:19" x14ac:dyDescent="0.3">
      <c r="A446" t="s">
        <v>520</v>
      </c>
      <c r="B446">
        <v>44574</v>
      </c>
      <c r="C446" t="s">
        <v>42</v>
      </c>
      <c r="D446" t="s">
        <v>43</v>
      </c>
      <c r="E446" t="s">
        <v>32</v>
      </c>
      <c r="F446" t="s">
        <v>23</v>
      </c>
      <c r="G446">
        <v>194433.5263</v>
      </c>
      <c r="H446">
        <v>108762.03</v>
      </c>
      <c r="I446">
        <v>85671.5</v>
      </c>
      <c r="J446">
        <v>1.1499999999999999</v>
      </c>
      <c r="K446">
        <v>12675.7</v>
      </c>
      <c r="L446">
        <v>179390.04</v>
      </c>
      <c r="M446">
        <v>957</v>
      </c>
      <c r="N446">
        <v>-3.3300000000000003E-2</v>
      </c>
      <c r="O446">
        <f t="shared" si="12"/>
        <v>0.44059999999999999</v>
      </c>
      <c r="P446">
        <f t="shared" si="13"/>
        <v>7.0699999999999999E-2</v>
      </c>
      <c r="Q446" t="s">
        <v>90</v>
      </c>
      <c r="R446">
        <v>2022</v>
      </c>
      <c r="S446" t="s">
        <v>25</v>
      </c>
    </row>
    <row r="447" spans="1:19" x14ac:dyDescent="0.3">
      <c r="A447" t="s">
        <v>521</v>
      </c>
      <c r="B447">
        <v>44602</v>
      </c>
      <c r="C447" t="s">
        <v>54</v>
      </c>
      <c r="D447" t="s">
        <v>55</v>
      </c>
      <c r="E447" t="s">
        <v>38</v>
      </c>
      <c r="F447" t="s">
        <v>23</v>
      </c>
      <c r="G447">
        <v>51610.9</v>
      </c>
      <c r="H447">
        <v>45779.16</v>
      </c>
      <c r="I447">
        <v>5831.74</v>
      </c>
      <c r="J447">
        <v>27314.52</v>
      </c>
      <c r="K447">
        <v>26751.99</v>
      </c>
      <c r="L447">
        <v>78248.87</v>
      </c>
      <c r="M447">
        <v>759</v>
      </c>
      <c r="N447">
        <v>-4.4600000000000001E-2</v>
      </c>
      <c r="O447">
        <f t="shared" si="12"/>
        <v>0.113</v>
      </c>
      <c r="P447">
        <f t="shared" si="13"/>
        <v>0.34189999999999998</v>
      </c>
      <c r="Q447" t="s">
        <v>90</v>
      </c>
      <c r="R447">
        <v>2022</v>
      </c>
      <c r="S447" t="s">
        <v>40</v>
      </c>
    </row>
    <row r="448" spans="1:19" x14ac:dyDescent="0.3">
      <c r="A448" t="s">
        <v>522</v>
      </c>
      <c r="B448">
        <v>45379</v>
      </c>
      <c r="C448" t="s">
        <v>48</v>
      </c>
      <c r="D448" t="s">
        <v>49</v>
      </c>
      <c r="E448" t="s">
        <v>38</v>
      </c>
      <c r="F448" t="s">
        <v>23</v>
      </c>
      <c r="G448">
        <v>90011.35</v>
      </c>
      <c r="H448">
        <v>78963.100000000006</v>
      </c>
      <c r="I448">
        <v>11048.25</v>
      </c>
      <c r="J448">
        <v>104561.65</v>
      </c>
      <c r="K448">
        <v>92614.94</v>
      </c>
      <c r="L448">
        <v>470662.08</v>
      </c>
      <c r="M448">
        <v>726</v>
      </c>
      <c r="N448">
        <v>-2.2200000000000001E-2</v>
      </c>
      <c r="O448">
        <f t="shared" si="12"/>
        <v>0.1227</v>
      </c>
      <c r="P448">
        <f t="shared" si="13"/>
        <v>0.1968</v>
      </c>
      <c r="Q448" t="s">
        <v>80</v>
      </c>
      <c r="R448">
        <v>2024</v>
      </c>
      <c r="S448" t="s">
        <v>25</v>
      </c>
    </row>
    <row r="449" spans="1:19" x14ac:dyDescent="0.3">
      <c r="A449" t="s">
        <v>523</v>
      </c>
      <c r="B449">
        <v>44634</v>
      </c>
      <c r="C449" t="s">
        <v>27</v>
      </c>
      <c r="D449" t="s">
        <v>28</v>
      </c>
      <c r="E449" t="s">
        <v>38</v>
      </c>
      <c r="F449" t="s">
        <v>23</v>
      </c>
      <c r="G449">
        <v>83773.020450000011</v>
      </c>
      <c r="H449">
        <v>64149.79</v>
      </c>
      <c r="I449">
        <v>19623.23</v>
      </c>
      <c r="J449">
        <v>33275.96</v>
      </c>
      <c r="K449">
        <v>18718.77</v>
      </c>
      <c r="L449">
        <v>107748.16</v>
      </c>
      <c r="M449">
        <v>894</v>
      </c>
      <c r="N449">
        <v>-0.13919999999999999</v>
      </c>
      <c r="O449">
        <f t="shared" si="12"/>
        <v>0.23419999999999999</v>
      </c>
      <c r="P449">
        <f t="shared" si="13"/>
        <v>0.17369999999999999</v>
      </c>
      <c r="Q449" t="s">
        <v>90</v>
      </c>
      <c r="R449">
        <v>2022</v>
      </c>
      <c r="S449" t="s">
        <v>25</v>
      </c>
    </row>
    <row r="450" spans="1:19" x14ac:dyDescent="0.3">
      <c r="A450" t="s">
        <v>524</v>
      </c>
      <c r="B450">
        <v>45092</v>
      </c>
      <c r="C450" t="s">
        <v>36</v>
      </c>
      <c r="D450" t="s">
        <v>37</v>
      </c>
      <c r="E450" t="s">
        <v>38</v>
      </c>
      <c r="F450" t="s">
        <v>23</v>
      </c>
      <c r="G450">
        <v>71872.62</v>
      </c>
      <c r="H450">
        <v>57916.68</v>
      </c>
      <c r="I450">
        <v>13955.94</v>
      </c>
      <c r="J450">
        <v>17827.580000000002</v>
      </c>
      <c r="K450">
        <v>48194.85</v>
      </c>
      <c r="L450">
        <v>38819.17</v>
      </c>
      <c r="M450">
        <v>738</v>
      </c>
      <c r="N450">
        <v>4.4699999999999997E-2</v>
      </c>
      <c r="O450">
        <f t="shared" si="12"/>
        <v>0.19420000000000001</v>
      </c>
      <c r="P450">
        <f t="shared" si="13"/>
        <v>1.2415</v>
      </c>
      <c r="Q450" t="s">
        <v>39</v>
      </c>
      <c r="R450">
        <v>2023</v>
      </c>
      <c r="S450" t="s">
        <v>82</v>
      </c>
    </row>
    <row r="451" spans="1:19" x14ac:dyDescent="0.3">
      <c r="A451" t="s">
        <v>525</v>
      </c>
      <c r="B451">
        <v>44834</v>
      </c>
      <c r="C451" t="s">
        <v>48</v>
      </c>
      <c r="D451" t="s">
        <v>49</v>
      </c>
      <c r="E451" t="s">
        <v>51</v>
      </c>
      <c r="F451" t="s">
        <v>23</v>
      </c>
      <c r="G451">
        <v>49427.55</v>
      </c>
      <c r="H451">
        <v>32894.58</v>
      </c>
      <c r="I451">
        <v>16532.97</v>
      </c>
      <c r="J451">
        <v>9652.85</v>
      </c>
      <c r="K451">
        <v>53768.7</v>
      </c>
      <c r="L451">
        <v>107699.51</v>
      </c>
      <c r="M451">
        <v>1102</v>
      </c>
      <c r="N451">
        <v>0.1085</v>
      </c>
      <c r="O451">
        <f t="shared" ref="O451:O514" si="14">(ROUND(I451/G451,4))</f>
        <v>0.33450000000000002</v>
      </c>
      <c r="P451">
        <f t="shared" ref="P451:P514" si="15">ROUND(K451/L451,4)</f>
        <v>0.49919999999999998</v>
      </c>
      <c r="Q451" t="s">
        <v>76</v>
      </c>
      <c r="R451">
        <v>2022</v>
      </c>
      <c r="S451" t="s">
        <v>40</v>
      </c>
    </row>
    <row r="452" spans="1:19" x14ac:dyDescent="0.3">
      <c r="A452" t="s">
        <v>526</v>
      </c>
      <c r="B452">
        <v>45774</v>
      </c>
      <c r="C452" t="s">
        <v>42</v>
      </c>
      <c r="D452" t="s">
        <v>43</v>
      </c>
      <c r="E452" t="s">
        <v>22</v>
      </c>
      <c r="F452" t="s">
        <v>23</v>
      </c>
      <c r="G452">
        <v>57941.05</v>
      </c>
      <c r="H452">
        <v>32296.84</v>
      </c>
      <c r="I452">
        <v>25644.21</v>
      </c>
      <c r="J452">
        <v>102315.25</v>
      </c>
      <c r="K452">
        <v>23694.7</v>
      </c>
      <c r="L452">
        <v>140005.20000000001</v>
      </c>
      <c r="M452" t="s">
        <v>1281</v>
      </c>
      <c r="N452">
        <v>0.19009999999999999</v>
      </c>
      <c r="O452">
        <f t="shared" si="14"/>
        <v>0.44259999999999999</v>
      </c>
      <c r="P452">
        <f t="shared" si="15"/>
        <v>0.16919999999999999</v>
      </c>
      <c r="Q452" t="s">
        <v>34</v>
      </c>
      <c r="R452">
        <v>2025</v>
      </c>
      <c r="S452" t="s">
        <v>25</v>
      </c>
    </row>
    <row r="453" spans="1:19" x14ac:dyDescent="0.3">
      <c r="A453" t="s">
        <v>527</v>
      </c>
      <c r="B453">
        <v>45921</v>
      </c>
      <c r="C453" t="s">
        <v>85</v>
      </c>
      <c r="D453" t="s">
        <v>86</v>
      </c>
      <c r="E453" t="s">
        <v>22</v>
      </c>
      <c r="F453" t="s">
        <v>23</v>
      </c>
      <c r="G453">
        <v>34827.449999999997</v>
      </c>
      <c r="H453">
        <v>20609.21</v>
      </c>
      <c r="I453">
        <v>14218.24</v>
      </c>
      <c r="J453">
        <v>52049.06</v>
      </c>
      <c r="K453">
        <v>19523.39</v>
      </c>
      <c r="L453">
        <v>449687.09</v>
      </c>
      <c r="M453">
        <v>867</v>
      </c>
      <c r="N453">
        <v>-1.2699999999999999E-2</v>
      </c>
      <c r="O453">
        <f t="shared" si="14"/>
        <v>0.40820000000000001</v>
      </c>
      <c r="P453">
        <f t="shared" si="15"/>
        <v>4.3400000000000001E-2</v>
      </c>
      <c r="Q453" t="s">
        <v>24</v>
      </c>
      <c r="R453">
        <v>2025</v>
      </c>
      <c r="S453" t="s">
        <v>25</v>
      </c>
    </row>
    <row r="454" spans="1:19" x14ac:dyDescent="0.3">
      <c r="A454" t="s">
        <v>528</v>
      </c>
      <c r="B454">
        <v>45020</v>
      </c>
      <c r="C454" t="s">
        <v>30</v>
      </c>
      <c r="D454" t="s">
        <v>31</v>
      </c>
      <c r="E454" t="s">
        <v>51</v>
      </c>
      <c r="F454" t="s">
        <v>23</v>
      </c>
      <c r="G454">
        <v>162372.54</v>
      </c>
      <c r="H454">
        <v>107308.34</v>
      </c>
      <c r="I454">
        <v>55064.2</v>
      </c>
      <c r="J454">
        <v>45163.96</v>
      </c>
      <c r="K454">
        <v>27830.33</v>
      </c>
      <c r="L454">
        <v>135555.99</v>
      </c>
      <c r="M454">
        <v>1789</v>
      </c>
      <c r="N454">
        <v>8.5300000000000001E-2</v>
      </c>
      <c r="O454">
        <f t="shared" si="14"/>
        <v>0.33910000000000001</v>
      </c>
      <c r="P454">
        <f t="shared" si="15"/>
        <v>0.20530000000000001</v>
      </c>
      <c r="Q454" t="s">
        <v>39</v>
      </c>
      <c r="R454">
        <v>2023</v>
      </c>
      <c r="S454" t="s">
        <v>25</v>
      </c>
    </row>
    <row r="455" spans="1:19" x14ac:dyDescent="0.3">
      <c r="A455" t="s">
        <v>529</v>
      </c>
      <c r="B455">
        <v>45485</v>
      </c>
      <c r="C455" t="s">
        <v>36</v>
      </c>
      <c r="D455" t="s">
        <v>37</v>
      </c>
      <c r="E455" t="s">
        <v>38</v>
      </c>
      <c r="F455" t="s">
        <v>23</v>
      </c>
      <c r="G455">
        <v>48609.85</v>
      </c>
      <c r="H455">
        <v>27132.65</v>
      </c>
      <c r="I455">
        <v>21477.200000000001</v>
      </c>
      <c r="J455">
        <v>30631.47</v>
      </c>
      <c r="K455">
        <v>8898.6200000000008</v>
      </c>
      <c r="L455">
        <v>55325.64</v>
      </c>
      <c r="M455">
        <v>570</v>
      </c>
      <c r="N455">
        <v>-1.35E-2</v>
      </c>
      <c r="O455">
        <f t="shared" si="14"/>
        <v>0.44180000000000003</v>
      </c>
      <c r="P455">
        <f t="shared" si="15"/>
        <v>0.1608</v>
      </c>
      <c r="Q455" t="s">
        <v>72</v>
      </c>
      <c r="R455">
        <v>2024</v>
      </c>
      <c r="S455" t="s">
        <v>25</v>
      </c>
    </row>
    <row r="456" spans="1:19" x14ac:dyDescent="0.3">
      <c r="A456" t="s">
        <v>530</v>
      </c>
      <c r="B456">
        <v>45119</v>
      </c>
      <c r="C456" t="s">
        <v>1282</v>
      </c>
      <c r="D456" t="s">
        <v>69</v>
      </c>
      <c r="E456" t="s">
        <v>38</v>
      </c>
      <c r="F456" t="s">
        <v>23</v>
      </c>
      <c r="G456">
        <v>196254.38</v>
      </c>
      <c r="H456">
        <v>163834.38</v>
      </c>
      <c r="I456">
        <v>32420</v>
      </c>
      <c r="J456">
        <v>52097.63</v>
      </c>
      <c r="K456">
        <v>28227.98</v>
      </c>
      <c r="L456">
        <v>132213.88</v>
      </c>
      <c r="M456">
        <v>1575</v>
      </c>
      <c r="N456">
        <v>-0.09</v>
      </c>
      <c r="O456">
        <f t="shared" si="14"/>
        <v>0.16520000000000001</v>
      </c>
      <c r="P456">
        <f t="shared" si="15"/>
        <v>0.2135</v>
      </c>
      <c r="Q456" t="s">
        <v>56</v>
      </c>
      <c r="R456">
        <v>2023</v>
      </c>
      <c r="S456" t="s">
        <v>25</v>
      </c>
    </row>
    <row r="457" spans="1:19" x14ac:dyDescent="0.3">
      <c r="A457" t="s">
        <v>531</v>
      </c>
      <c r="B457">
        <v>45941</v>
      </c>
      <c r="C457" t="s">
        <v>85</v>
      </c>
      <c r="D457" t="s">
        <v>86</v>
      </c>
      <c r="E457" t="s">
        <v>32</v>
      </c>
      <c r="F457" t="s">
        <v>23</v>
      </c>
      <c r="G457">
        <v>66720.604149999999</v>
      </c>
      <c r="H457">
        <v>56834.33</v>
      </c>
      <c r="I457">
        <v>9886.27</v>
      </c>
      <c r="J457">
        <v>21907.98</v>
      </c>
      <c r="K457">
        <v>8257.9500000000007</v>
      </c>
      <c r="L457">
        <v>233955.06</v>
      </c>
      <c r="M457">
        <v>1516</v>
      </c>
      <c r="N457">
        <v>3.5000000000000001E-3</v>
      </c>
      <c r="O457">
        <f t="shared" si="14"/>
        <v>0.1482</v>
      </c>
      <c r="P457">
        <f t="shared" si="15"/>
        <v>3.5299999999999998E-2</v>
      </c>
      <c r="Q457" t="s">
        <v>66</v>
      </c>
      <c r="R457">
        <v>2025</v>
      </c>
      <c r="S457" t="s">
        <v>25</v>
      </c>
    </row>
    <row r="458" spans="1:19" x14ac:dyDescent="0.3">
      <c r="A458" t="s">
        <v>532</v>
      </c>
      <c r="B458">
        <v>45126</v>
      </c>
      <c r="C458" t="s">
        <v>85</v>
      </c>
      <c r="D458" t="s">
        <v>86</v>
      </c>
      <c r="E458" t="s">
        <v>38</v>
      </c>
      <c r="F458" t="s">
        <v>23</v>
      </c>
      <c r="G458">
        <v>77888.27</v>
      </c>
      <c r="H458">
        <v>67263.73</v>
      </c>
      <c r="I458">
        <v>10624.54</v>
      </c>
      <c r="J458">
        <v>29702.85</v>
      </c>
      <c r="K458">
        <v>21504.240000000002</v>
      </c>
      <c r="L458">
        <v>52644.91</v>
      </c>
      <c r="M458">
        <v>1132</v>
      </c>
      <c r="N458">
        <v>-5.2600000000000001E-2</v>
      </c>
      <c r="O458">
        <f t="shared" si="14"/>
        <v>0.13639999999999999</v>
      </c>
      <c r="P458">
        <f t="shared" si="15"/>
        <v>0.40849999999999997</v>
      </c>
      <c r="Q458" t="s">
        <v>56</v>
      </c>
      <c r="R458">
        <v>2023</v>
      </c>
      <c r="S458" t="s">
        <v>40</v>
      </c>
    </row>
    <row r="459" spans="1:19" x14ac:dyDescent="0.3">
      <c r="A459" t="s">
        <v>533</v>
      </c>
      <c r="B459">
        <v>45972</v>
      </c>
      <c r="C459" t="s">
        <v>27</v>
      </c>
      <c r="D459" t="s">
        <v>28</v>
      </c>
      <c r="E459" t="s">
        <v>38</v>
      </c>
      <c r="F459" t="s">
        <v>23</v>
      </c>
      <c r="G459">
        <v>50140.21</v>
      </c>
      <c r="H459">
        <v>28346.97</v>
      </c>
      <c r="I459">
        <v>21793.24</v>
      </c>
      <c r="J459">
        <v>21418.93</v>
      </c>
      <c r="K459">
        <v>44538.93</v>
      </c>
      <c r="L459">
        <v>36072.82</v>
      </c>
      <c r="M459">
        <v>1080</v>
      </c>
      <c r="N459">
        <v>7.5999999999999998E-2</v>
      </c>
      <c r="O459">
        <f t="shared" si="14"/>
        <v>0.43459999999999999</v>
      </c>
      <c r="P459">
        <f t="shared" si="15"/>
        <v>1.2346999999999999</v>
      </c>
      <c r="Q459" t="s">
        <v>66</v>
      </c>
      <c r="R459">
        <v>2025</v>
      </c>
      <c r="S459" t="s">
        <v>82</v>
      </c>
    </row>
    <row r="460" spans="1:19" x14ac:dyDescent="0.3">
      <c r="A460" t="s">
        <v>534</v>
      </c>
      <c r="B460">
        <v>45599</v>
      </c>
      <c r="C460" t="s">
        <v>30</v>
      </c>
      <c r="D460" t="s">
        <v>31</v>
      </c>
      <c r="E460" t="s">
        <v>38</v>
      </c>
      <c r="F460" t="s">
        <v>23</v>
      </c>
      <c r="G460">
        <v>39494.65</v>
      </c>
      <c r="H460">
        <v>23076.9</v>
      </c>
      <c r="I460">
        <v>16417.75</v>
      </c>
      <c r="J460">
        <v>50202.54</v>
      </c>
      <c r="K460">
        <v>76990.399999999994</v>
      </c>
      <c r="L460">
        <v>116291.17</v>
      </c>
      <c r="M460">
        <v>951</v>
      </c>
      <c r="N460">
        <v>-3.2000000000000002E-3</v>
      </c>
      <c r="O460">
        <f t="shared" si="14"/>
        <v>0.41570000000000001</v>
      </c>
      <c r="P460">
        <f t="shared" si="15"/>
        <v>0.66200000000000003</v>
      </c>
      <c r="Q460" t="s">
        <v>52</v>
      </c>
      <c r="R460">
        <v>2024</v>
      </c>
      <c r="S460" t="s">
        <v>82</v>
      </c>
    </row>
    <row r="461" spans="1:19" x14ac:dyDescent="0.3">
      <c r="A461" t="s">
        <v>535</v>
      </c>
      <c r="B461">
        <v>45432</v>
      </c>
      <c r="C461" t="s">
        <v>30</v>
      </c>
      <c r="D461" t="s">
        <v>31</v>
      </c>
      <c r="E461" t="s">
        <v>32</v>
      </c>
      <c r="F461" t="s">
        <v>23</v>
      </c>
      <c r="G461">
        <v>39647.880649999999</v>
      </c>
      <c r="H461">
        <v>27376.97</v>
      </c>
      <c r="I461">
        <v>12270.91</v>
      </c>
      <c r="J461">
        <v>47956.52</v>
      </c>
      <c r="K461">
        <v>40678.46</v>
      </c>
      <c r="L461">
        <v>121118.26</v>
      </c>
      <c r="M461">
        <v>1053</v>
      </c>
      <c r="N461">
        <v>2.4400000000000002E-2</v>
      </c>
      <c r="O461">
        <f t="shared" si="14"/>
        <v>0.3095</v>
      </c>
      <c r="P461">
        <f t="shared" si="15"/>
        <v>0.33589999999999998</v>
      </c>
      <c r="Q461" t="s">
        <v>111</v>
      </c>
      <c r="R461">
        <v>2024</v>
      </c>
      <c r="S461" t="s">
        <v>40</v>
      </c>
    </row>
    <row r="462" spans="1:19" x14ac:dyDescent="0.3">
      <c r="A462" t="s">
        <v>536</v>
      </c>
      <c r="B462" s="4">
        <v>45335</v>
      </c>
      <c r="C462" t="s">
        <v>48</v>
      </c>
      <c r="D462" t="s">
        <v>49</v>
      </c>
      <c r="E462" t="s">
        <v>22</v>
      </c>
      <c r="F462" t="s">
        <v>23</v>
      </c>
      <c r="G462">
        <v>105795.9</v>
      </c>
      <c r="H462">
        <v>82589.62</v>
      </c>
      <c r="I462">
        <v>23206.28</v>
      </c>
      <c r="J462">
        <v>15760.17</v>
      </c>
      <c r="K462">
        <v>22037.67</v>
      </c>
      <c r="L462">
        <v>406670.62</v>
      </c>
      <c r="M462">
        <v>355</v>
      </c>
      <c r="N462">
        <v>3.6700000000000003E-2</v>
      </c>
      <c r="O462">
        <f t="shared" si="14"/>
        <v>0.21929999999999999</v>
      </c>
      <c r="P462">
        <f t="shared" si="15"/>
        <v>5.4199999999999998E-2</v>
      </c>
      <c r="Q462" t="s">
        <v>80</v>
      </c>
      <c r="R462">
        <v>2024</v>
      </c>
      <c r="S462" t="s">
        <v>25</v>
      </c>
    </row>
    <row r="463" spans="1:19" x14ac:dyDescent="0.3">
      <c r="A463" t="s">
        <v>537</v>
      </c>
      <c r="B463">
        <v>45030</v>
      </c>
      <c r="C463" t="s">
        <v>27</v>
      </c>
      <c r="D463" t="s">
        <v>28</v>
      </c>
      <c r="E463" t="s">
        <v>22</v>
      </c>
      <c r="F463" t="s">
        <v>23</v>
      </c>
      <c r="G463">
        <v>52091.68</v>
      </c>
      <c r="H463">
        <v>30288.06</v>
      </c>
      <c r="I463">
        <v>21803.62</v>
      </c>
      <c r="J463">
        <v>46855.06</v>
      </c>
      <c r="K463">
        <v>125336.4</v>
      </c>
      <c r="L463">
        <v>80346.28</v>
      </c>
      <c r="M463">
        <v>419</v>
      </c>
      <c r="N463">
        <v>-2.53E-2</v>
      </c>
      <c r="O463">
        <f t="shared" si="14"/>
        <v>0.41860000000000003</v>
      </c>
      <c r="P463">
        <f t="shared" si="15"/>
        <v>1.56</v>
      </c>
      <c r="Q463" t="s">
        <v>39</v>
      </c>
      <c r="R463">
        <v>2023</v>
      </c>
      <c r="S463" t="s">
        <v>82</v>
      </c>
    </row>
    <row r="464" spans="1:19" x14ac:dyDescent="0.3">
      <c r="A464" t="s">
        <v>538</v>
      </c>
      <c r="B464">
        <v>45039</v>
      </c>
      <c r="C464" t="s">
        <v>27</v>
      </c>
      <c r="D464" t="s">
        <v>28</v>
      </c>
      <c r="E464" t="s">
        <v>38</v>
      </c>
      <c r="F464" t="s">
        <v>23</v>
      </c>
      <c r="G464">
        <v>19104.82</v>
      </c>
      <c r="H464">
        <v>15718.28</v>
      </c>
      <c r="I464">
        <v>3386.54</v>
      </c>
      <c r="J464">
        <v>33520.76</v>
      </c>
      <c r="K464">
        <v>26270.63</v>
      </c>
      <c r="L464">
        <v>73272.81</v>
      </c>
      <c r="M464">
        <v>1174</v>
      </c>
      <c r="N464">
        <v>-7.4000000000000003E-3</v>
      </c>
      <c r="O464">
        <f t="shared" si="14"/>
        <v>0.17730000000000001</v>
      </c>
      <c r="P464">
        <f t="shared" si="15"/>
        <v>0.35849999999999999</v>
      </c>
      <c r="Q464" t="s">
        <v>39</v>
      </c>
      <c r="R464">
        <v>2023</v>
      </c>
      <c r="S464" t="s">
        <v>40</v>
      </c>
    </row>
    <row r="465" spans="1:19" x14ac:dyDescent="0.3">
      <c r="A465" t="s">
        <v>539</v>
      </c>
      <c r="B465">
        <v>45636</v>
      </c>
      <c r="C465" t="s">
        <v>61</v>
      </c>
      <c r="D465" t="s">
        <v>74</v>
      </c>
      <c r="E465" t="s">
        <v>38</v>
      </c>
      <c r="F465" t="s">
        <v>23</v>
      </c>
      <c r="G465">
        <v>68256.12</v>
      </c>
      <c r="H465">
        <v>39697.699999999997</v>
      </c>
      <c r="I465">
        <v>28558.42</v>
      </c>
      <c r="J465">
        <v>108364.49</v>
      </c>
      <c r="K465">
        <v>27293.759999999998</v>
      </c>
      <c r="L465">
        <v>193710.82</v>
      </c>
      <c r="M465">
        <v>485</v>
      </c>
      <c r="N465">
        <v>5.4399999999999997E-2</v>
      </c>
      <c r="O465">
        <f t="shared" si="14"/>
        <v>0.41839999999999999</v>
      </c>
      <c r="P465">
        <f t="shared" si="15"/>
        <v>0.1409</v>
      </c>
      <c r="Q465" t="s">
        <v>52</v>
      </c>
      <c r="R465">
        <v>2024</v>
      </c>
      <c r="S465" t="s">
        <v>25</v>
      </c>
    </row>
    <row r="466" spans="1:19" x14ac:dyDescent="0.3">
      <c r="A466" t="s">
        <v>540</v>
      </c>
      <c r="B466">
        <v>45603</v>
      </c>
      <c r="C466" t="s">
        <v>102</v>
      </c>
      <c r="D466" t="s">
        <v>103</v>
      </c>
      <c r="E466" t="s">
        <v>32</v>
      </c>
      <c r="F466" t="s">
        <v>23</v>
      </c>
      <c r="G466">
        <v>60963.257899999997</v>
      </c>
      <c r="H466">
        <v>37927.35</v>
      </c>
      <c r="I466">
        <v>23035.91</v>
      </c>
      <c r="J466">
        <v>58614.27</v>
      </c>
      <c r="K466">
        <v>108631.45</v>
      </c>
      <c r="L466">
        <v>128666.59</v>
      </c>
      <c r="M466">
        <v>946</v>
      </c>
      <c r="N466">
        <v>-4.0599999999999997E-2</v>
      </c>
      <c r="O466">
        <f t="shared" si="14"/>
        <v>0.37790000000000001</v>
      </c>
      <c r="P466">
        <f t="shared" si="15"/>
        <v>0.84430000000000005</v>
      </c>
      <c r="Q466" t="s">
        <v>52</v>
      </c>
      <c r="R466">
        <v>2024</v>
      </c>
      <c r="S466" t="s">
        <v>82</v>
      </c>
    </row>
    <row r="467" spans="1:19" x14ac:dyDescent="0.3">
      <c r="A467" t="s">
        <v>541</v>
      </c>
      <c r="B467">
        <v>44618</v>
      </c>
      <c r="C467" t="s">
        <v>54</v>
      </c>
      <c r="D467" t="s">
        <v>55</v>
      </c>
      <c r="E467" t="s">
        <v>22</v>
      </c>
      <c r="F467" t="s">
        <v>23</v>
      </c>
      <c r="G467">
        <v>157220.42000000001</v>
      </c>
      <c r="H467">
        <v>101735.94</v>
      </c>
      <c r="I467">
        <v>55484.480000000003</v>
      </c>
      <c r="J467">
        <v>28316.36</v>
      </c>
      <c r="K467">
        <v>17780.29</v>
      </c>
      <c r="L467">
        <v>84362.559999999998</v>
      </c>
      <c r="M467">
        <v>2383</v>
      </c>
      <c r="N467">
        <v>-9.6799999999999997E-2</v>
      </c>
      <c r="O467">
        <f t="shared" si="14"/>
        <v>0.35289999999999999</v>
      </c>
      <c r="P467">
        <f t="shared" si="15"/>
        <v>0.21079999999999999</v>
      </c>
      <c r="Q467" t="s">
        <v>90</v>
      </c>
      <c r="R467">
        <v>2022</v>
      </c>
      <c r="S467" t="s">
        <v>25</v>
      </c>
    </row>
    <row r="468" spans="1:19" x14ac:dyDescent="0.3">
      <c r="A468" t="s">
        <v>542</v>
      </c>
      <c r="B468">
        <v>44649</v>
      </c>
      <c r="C468" t="s">
        <v>85</v>
      </c>
      <c r="D468" t="s">
        <v>86</v>
      </c>
      <c r="E468" t="s">
        <v>22</v>
      </c>
      <c r="F468" t="s">
        <v>23</v>
      </c>
      <c r="G468">
        <v>130608.86</v>
      </c>
      <c r="H468">
        <v>83015.289999999994</v>
      </c>
      <c r="I468">
        <v>47593.57</v>
      </c>
      <c r="J468">
        <v>39745.699999999997</v>
      </c>
      <c r="K468">
        <v>31219.89</v>
      </c>
      <c r="L468">
        <v>172392.37</v>
      </c>
      <c r="M468">
        <v>394</v>
      </c>
      <c r="N468">
        <v>2.06E-2</v>
      </c>
      <c r="O468">
        <f t="shared" si="14"/>
        <v>0.3644</v>
      </c>
      <c r="P468">
        <f t="shared" si="15"/>
        <v>0.18110000000000001</v>
      </c>
      <c r="Q468" t="s">
        <v>90</v>
      </c>
      <c r="R468">
        <v>2022</v>
      </c>
      <c r="S468" t="s">
        <v>25</v>
      </c>
    </row>
    <row r="469" spans="1:19" x14ac:dyDescent="0.3">
      <c r="A469" t="s">
        <v>543</v>
      </c>
      <c r="B469">
        <v>45476</v>
      </c>
      <c r="C469" t="s">
        <v>78</v>
      </c>
      <c r="D469" t="s">
        <v>79</v>
      </c>
      <c r="E469" t="s">
        <v>38</v>
      </c>
      <c r="F469" t="s">
        <v>23</v>
      </c>
      <c r="G469">
        <v>34803.71</v>
      </c>
      <c r="H469">
        <v>21736.37</v>
      </c>
      <c r="I469">
        <v>13067.34</v>
      </c>
      <c r="J469">
        <v>66519.820000000007</v>
      </c>
      <c r="K469">
        <v>14795.78</v>
      </c>
      <c r="L469">
        <v>106713.98</v>
      </c>
      <c r="M469">
        <v>830</v>
      </c>
      <c r="N469">
        <v>-5.4600000000000003E-2</v>
      </c>
      <c r="O469">
        <f t="shared" si="14"/>
        <v>0.3755</v>
      </c>
      <c r="P469">
        <f t="shared" si="15"/>
        <v>0.1386</v>
      </c>
      <c r="Q469" t="s">
        <v>72</v>
      </c>
      <c r="R469">
        <v>2024</v>
      </c>
      <c r="S469" t="s">
        <v>25</v>
      </c>
    </row>
    <row r="470" spans="1:19" x14ac:dyDescent="0.3">
      <c r="A470" t="s">
        <v>544</v>
      </c>
      <c r="B470">
        <v>44618</v>
      </c>
      <c r="C470" t="s">
        <v>78</v>
      </c>
      <c r="D470" t="s">
        <v>79</v>
      </c>
      <c r="E470" t="s">
        <v>32</v>
      </c>
      <c r="F470" t="s">
        <v>23</v>
      </c>
      <c r="G470">
        <v>37500.524749999997</v>
      </c>
      <c r="H470">
        <v>21511.63</v>
      </c>
      <c r="I470">
        <v>15988.89</v>
      </c>
      <c r="J470">
        <v>1.1499999999999999</v>
      </c>
      <c r="K470">
        <v>13154.09</v>
      </c>
      <c r="L470">
        <v>83231.61</v>
      </c>
      <c r="M470">
        <v>584</v>
      </c>
      <c r="N470">
        <v>1.2800000000000001E-2</v>
      </c>
      <c r="O470">
        <f t="shared" si="14"/>
        <v>0.4264</v>
      </c>
      <c r="P470">
        <f t="shared" si="15"/>
        <v>0.158</v>
      </c>
      <c r="Q470" t="s">
        <v>90</v>
      </c>
      <c r="R470">
        <v>2022</v>
      </c>
      <c r="S470" t="s">
        <v>25</v>
      </c>
    </row>
    <row r="471" spans="1:19" x14ac:dyDescent="0.3">
      <c r="A471" t="s">
        <v>545</v>
      </c>
      <c r="B471">
        <v>45693</v>
      </c>
      <c r="C471" t="s">
        <v>36</v>
      </c>
      <c r="D471" t="s">
        <v>37</v>
      </c>
      <c r="E471" t="s">
        <v>51</v>
      </c>
      <c r="F471" t="s">
        <v>23</v>
      </c>
      <c r="G471">
        <v>68334.990000000005</v>
      </c>
      <c r="H471">
        <v>52835.85</v>
      </c>
      <c r="I471">
        <v>15499.14</v>
      </c>
      <c r="J471">
        <v>0</v>
      </c>
      <c r="K471">
        <v>32475.93</v>
      </c>
      <c r="L471">
        <v>83205.91</v>
      </c>
      <c r="M471">
        <v>949</v>
      </c>
      <c r="N471">
        <v>6.3200000000000006E-2</v>
      </c>
      <c r="O471">
        <f t="shared" si="14"/>
        <v>0.2268</v>
      </c>
      <c r="P471">
        <f t="shared" si="15"/>
        <v>0.39029999999999998</v>
      </c>
      <c r="Q471" t="s">
        <v>106</v>
      </c>
      <c r="R471">
        <v>2025</v>
      </c>
      <c r="S471" t="s">
        <v>40</v>
      </c>
    </row>
    <row r="472" spans="1:19" x14ac:dyDescent="0.3">
      <c r="A472" t="s">
        <v>546</v>
      </c>
      <c r="B472">
        <v>45773</v>
      </c>
      <c r="C472" t="s">
        <v>20</v>
      </c>
      <c r="D472" t="s">
        <v>21</v>
      </c>
      <c r="E472" t="s">
        <v>32</v>
      </c>
      <c r="F472" t="s">
        <v>23</v>
      </c>
      <c r="G472">
        <v>61999.116499999996</v>
      </c>
      <c r="H472">
        <v>46425.94</v>
      </c>
      <c r="I472">
        <v>15573.18</v>
      </c>
      <c r="J472">
        <v>50182.34</v>
      </c>
      <c r="K472">
        <v>50304.61</v>
      </c>
      <c r="L472">
        <v>86113.18</v>
      </c>
      <c r="M472">
        <v>594</v>
      </c>
      <c r="N472">
        <v>-7.5399999999999995E-2</v>
      </c>
      <c r="O472">
        <f t="shared" si="14"/>
        <v>0.25119999999999998</v>
      </c>
      <c r="P472">
        <f t="shared" si="15"/>
        <v>0.58420000000000005</v>
      </c>
      <c r="Q472" t="s">
        <v>34</v>
      </c>
      <c r="R472">
        <v>2025</v>
      </c>
      <c r="S472" t="s">
        <v>40</v>
      </c>
    </row>
    <row r="473" spans="1:19" x14ac:dyDescent="0.3">
      <c r="A473" t="s">
        <v>547</v>
      </c>
      <c r="B473">
        <v>45625</v>
      </c>
      <c r="C473" t="s">
        <v>61</v>
      </c>
      <c r="D473" t="s">
        <v>74</v>
      </c>
      <c r="E473" t="s">
        <v>32</v>
      </c>
      <c r="F473" t="s">
        <v>23</v>
      </c>
      <c r="G473">
        <v>29365.986750000004</v>
      </c>
      <c r="H473">
        <v>22947.37</v>
      </c>
      <c r="I473">
        <v>6418.62</v>
      </c>
      <c r="J473">
        <v>21807.78</v>
      </c>
      <c r="K473">
        <v>22678.77</v>
      </c>
      <c r="L473">
        <v>53228.31</v>
      </c>
      <c r="M473">
        <v>1211</v>
      </c>
      <c r="N473">
        <v>-6.4100000000000004E-2</v>
      </c>
      <c r="O473">
        <f t="shared" si="14"/>
        <v>0.21859999999999999</v>
      </c>
      <c r="P473">
        <f t="shared" si="15"/>
        <v>0.42609999999999998</v>
      </c>
      <c r="Q473" t="s">
        <v>52</v>
      </c>
      <c r="R473">
        <v>2024</v>
      </c>
      <c r="S473" t="s">
        <v>40</v>
      </c>
    </row>
    <row r="474" spans="1:19" x14ac:dyDescent="0.3">
      <c r="A474" t="s">
        <v>548</v>
      </c>
      <c r="B474">
        <v>45057</v>
      </c>
      <c r="C474" t="s">
        <v>27</v>
      </c>
      <c r="D474" t="s">
        <v>28</v>
      </c>
      <c r="E474" t="s">
        <v>51</v>
      </c>
      <c r="F474" t="s">
        <v>23</v>
      </c>
      <c r="G474">
        <v>57479</v>
      </c>
      <c r="H474">
        <v>49632.52</v>
      </c>
      <c r="I474">
        <v>7846.48</v>
      </c>
      <c r="J474">
        <v>10693.31</v>
      </c>
      <c r="K474">
        <v>37003.03</v>
      </c>
      <c r="L474">
        <v>93803.56</v>
      </c>
      <c r="M474">
        <v>454</v>
      </c>
      <c r="N474">
        <v>-5.7500000000000002E-2</v>
      </c>
      <c r="O474">
        <f t="shared" si="14"/>
        <v>0.13650000000000001</v>
      </c>
      <c r="P474">
        <f t="shared" si="15"/>
        <v>0.39450000000000002</v>
      </c>
      <c r="Q474" t="s">
        <v>39</v>
      </c>
      <c r="R474">
        <v>2023</v>
      </c>
      <c r="S474" t="s">
        <v>40</v>
      </c>
    </row>
    <row r="475" spans="1:19" x14ac:dyDescent="0.3">
      <c r="A475" t="s">
        <v>549</v>
      </c>
      <c r="B475">
        <v>45085</v>
      </c>
      <c r="C475" t="s">
        <v>48</v>
      </c>
      <c r="D475" t="s">
        <v>49</v>
      </c>
      <c r="E475" t="s">
        <v>38</v>
      </c>
      <c r="F475" t="s">
        <v>23</v>
      </c>
      <c r="G475">
        <v>221437.45</v>
      </c>
      <c r="H475">
        <v>172685.55</v>
      </c>
      <c r="I475">
        <v>48751.9</v>
      </c>
      <c r="J475">
        <v>13907.37</v>
      </c>
      <c r="K475">
        <v>22349.05</v>
      </c>
      <c r="L475">
        <v>36052.03</v>
      </c>
      <c r="M475">
        <v>1660</v>
      </c>
      <c r="N475">
        <v>6.1000000000000004E-3</v>
      </c>
      <c r="O475">
        <f t="shared" si="14"/>
        <v>0.22020000000000001</v>
      </c>
      <c r="P475">
        <f t="shared" si="15"/>
        <v>0.61990000000000001</v>
      </c>
      <c r="Q475" t="s">
        <v>39</v>
      </c>
      <c r="R475">
        <v>2023</v>
      </c>
      <c r="S475" t="s">
        <v>82</v>
      </c>
    </row>
    <row r="476" spans="1:19" x14ac:dyDescent="0.3">
      <c r="A476" t="s">
        <v>550</v>
      </c>
      <c r="B476">
        <v>45397</v>
      </c>
      <c r="C476" t="s">
        <v>54</v>
      </c>
      <c r="D476" t="s">
        <v>55</v>
      </c>
      <c r="E476" t="s">
        <v>51</v>
      </c>
      <c r="F476" t="s">
        <v>23</v>
      </c>
      <c r="G476">
        <v>32453.81</v>
      </c>
      <c r="H476">
        <v>25384.17</v>
      </c>
      <c r="I476">
        <v>7069.64</v>
      </c>
      <c r="J476">
        <v>48761.88</v>
      </c>
      <c r="K476">
        <v>13488.22</v>
      </c>
      <c r="L476">
        <v>66488.11</v>
      </c>
      <c r="M476">
        <v>643</v>
      </c>
      <c r="N476">
        <v>-3.8300000000000001E-2</v>
      </c>
      <c r="O476">
        <f t="shared" si="14"/>
        <v>0.21779999999999999</v>
      </c>
      <c r="P476">
        <f t="shared" si="15"/>
        <v>0.2029</v>
      </c>
      <c r="Q476" t="s">
        <v>111</v>
      </c>
      <c r="R476">
        <v>2024</v>
      </c>
      <c r="S476" t="s">
        <v>25</v>
      </c>
    </row>
    <row r="477" spans="1:19" x14ac:dyDescent="0.3">
      <c r="A477" t="s">
        <v>551</v>
      </c>
      <c r="B477">
        <v>45409</v>
      </c>
      <c r="C477" t="s">
        <v>85</v>
      </c>
      <c r="D477" t="s">
        <v>86</v>
      </c>
      <c r="E477" t="s">
        <v>51</v>
      </c>
      <c r="F477" t="s">
        <v>23</v>
      </c>
      <c r="G477">
        <v>160797.82999999999</v>
      </c>
      <c r="H477">
        <v>114291.31</v>
      </c>
      <c r="I477">
        <v>46506.52</v>
      </c>
      <c r="J477">
        <v>23267.17</v>
      </c>
      <c r="K477">
        <v>22918.92</v>
      </c>
      <c r="L477">
        <v>94512.29</v>
      </c>
      <c r="M477">
        <v>1503</v>
      </c>
      <c r="N477">
        <v>-4.8300000000000003E-2</v>
      </c>
      <c r="O477">
        <f t="shared" si="14"/>
        <v>0.28920000000000001</v>
      </c>
      <c r="P477">
        <f t="shared" si="15"/>
        <v>0.24249999999999999</v>
      </c>
      <c r="Q477" t="s">
        <v>111</v>
      </c>
      <c r="R477">
        <v>2024</v>
      </c>
      <c r="S477" t="s">
        <v>25</v>
      </c>
    </row>
    <row r="478" spans="1:19" x14ac:dyDescent="0.3">
      <c r="A478" t="s">
        <v>552</v>
      </c>
      <c r="B478">
        <v>45840</v>
      </c>
      <c r="C478" t="s">
        <v>42</v>
      </c>
      <c r="D478" t="s">
        <v>43</v>
      </c>
      <c r="E478" t="s">
        <v>32</v>
      </c>
      <c r="F478" t="s">
        <v>23</v>
      </c>
      <c r="G478">
        <v>241511.41500000001</v>
      </c>
      <c r="H478">
        <v>153234.78</v>
      </c>
      <c r="I478">
        <v>88276.64</v>
      </c>
      <c r="J478">
        <v>28984.94</v>
      </c>
      <c r="K478">
        <v>27424.81</v>
      </c>
      <c r="L478">
        <v>82890.289999999994</v>
      </c>
      <c r="M478">
        <v>506</v>
      </c>
      <c r="N478">
        <v>2.5999999999999999E-3</v>
      </c>
      <c r="O478">
        <f t="shared" si="14"/>
        <v>0.36549999999999999</v>
      </c>
      <c r="P478">
        <f t="shared" si="15"/>
        <v>0.33090000000000003</v>
      </c>
      <c r="Q478" t="s">
        <v>24</v>
      </c>
      <c r="R478">
        <v>2025</v>
      </c>
      <c r="S478" t="s">
        <v>40</v>
      </c>
    </row>
    <row r="479" spans="1:19" x14ac:dyDescent="0.3">
      <c r="A479" t="s">
        <v>553</v>
      </c>
      <c r="B479">
        <v>44812</v>
      </c>
      <c r="C479" t="s">
        <v>61</v>
      </c>
      <c r="D479" t="s">
        <v>74</v>
      </c>
      <c r="E479" t="s">
        <v>38</v>
      </c>
      <c r="F479" t="s">
        <v>23</v>
      </c>
      <c r="G479">
        <v>79042.36</v>
      </c>
      <c r="H479">
        <v>69336.509999999995</v>
      </c>
      <c r="I479">
        <v>9705.85</v>
      </c>
      <c r="J479">
        <v>21061.54</v>
      </c>
      <c r="K479">
        <v>34411.339999999997</v>
      </c>
      <c r="L479">
        <v>47388.81</v>
      </c>
      <c r="M479">
        <v>604</v>
      </c>
      <c r="N479">
        <v>0.1449</v>
      </c>
      <c r="O479">
        <f t="shared" si="14"/>
        <v>0.12280000000000001</v>
      </c>
      <c r="P479">
        <f t="shared" si="15"/>
        <v>0.72609999999999997</v>
      </c>
      <c r="Q479" t="s">
        <v>76</v>
      </c>
      <c r="R479">
        <v>2022</v>
      </c>
      <c r="S479" t="s">
        <v>82</v>
      </c>
    </row>
    <row r="480" spans="1:19" x14ac:dyDescent="0.3">
      <c r="A480" t="s">
        <v>554</v>
      </c>
      <c r="B480">
        <v>45397</v>
      </c>
      <c r="C480" t="s">
        <v>48</v>
      </c>
      <c r="D480" t="s">
        <v>49</v>
      </c>
      <c r="E480" t="s">
        <v>38</v>
      </c>
      <c r="F480" t="s">
        <v>23</v>
      </c>
      <c r="G480">
        <v>62443.05</v>
      </c>
      <c r="H480">
        <v>50325.13</v>
      </c>
      <c r="I480">
        <v>12117.92</v>
      </c>
      <c r="J480">
        <v>32912.29</v>
      </c>
      <c r="K480">
        <v>21473.14</v>
      </c>
      <c r="L480">
        <v>97377.04</v>
      </c>
      <c r="M480">
        <v>962</v>
      </c>
      <c r="N480">
        <v>6.7999999999999996E-3</v>
      </c>
      <c r="O480">
        <f t="shared" si="14"/>
        <v>0.19409999999999999</v>
      </c>
      <c r="P480">
        <f t="shared" si="15"/>
        <v>0.2205</v>
      </c>
      <c r="Q480" t="s">
        <v>111</v>
      </c>
      <c r="R480">
        <v>2024</v>
      </c>
      <c r="S480" t="s">
        <v>25</v>
      </c>
    </row>
    <row r="481" spans="1:19" x14ac:dyDescent="0.3">
      <c r="A481" t="s">
        <v>555</v>
      </c>
      <c r="B481">
        <v>45250</v>
      </c>
      <c r="C481" t="s">
        <v>30</v>
      </c>
      <c r="D481" t="s">
        <v>31</v>
      </c>
      <c r="E481" t="s">
        <v>32</v>
      </c>
      <c r="F481" t="s">
        <v>23</v>
      </c>
      <c r="G481">
        <v>125201.628</v>
      </c>
      <c r="H481">
        <v>105818.87</v>
      </c>
      <c r="I481">
        <v>19382.75</v>
      </c>
      <c r="J481">
        <v>118451.21</v>
      </c>
      <c r="K481">
        <v>27745.11</v>
      </c>
      <c r="L481">
        <v>275468.49</v>
      </c>
      <c r="M481">
        <v>310</v>
      </c>
      <c r="N481">
        <v>-2.86E-2</v>
      </c>
      <c r="O481">
        <f t="shared" si="14"/>
        <v>0.15479999999999999</v>
      </c>
      <c r="P481">
        <f t="shared" si="15"/>
        <v>0.1007</v>
      </c>
      <c r="Q481" t="s">
        <v>44</v>
      </c>
      <c r="R481">
        <v>2023</v>
      </c>
      <c r="S481" t="s">
        <v>25</v>
      </c>
    </row>
    <row r="482" spans="1:19" x14ac:dyDescent="0.3">
      <c r="A482" t="s">
        <v>556</v>
      </c>
      <c r="B482">
        <v>45954</v>
      </c>
      <c r="C482" t="s">
        <v>42</v>
      </c>
      <c r="D482" t="s">
        <v>43</v>
      </c>
      <c r="E482" t="s">
        <v>22</v>
      </c>
      <c r="F482" t="s">
        <v>23</v>
      </c>
      <c r="G482">
        <v>44454.59</v>
      </c>
      <c r="H482" t="s">
        <v>1281</v>
      </c>
      <c r="I482" t="s">
        <v>1281</v>
      </c>
      <c r="J482">
        <v>32075.08</v>
      </c>
      <c r="K482">
        <v>59404.959999999999</v>
      </c>
      <c r="L482">
        <v>82951.34</v>
      </c>
      <c r="M482">
        <v>1137</v>
      </c>
      <c r="N482">
        <v>-2.58E-2</v>
      </c>
      <c r="O482" t="s">
        <v>1281</v>
      </c>
      <c r="P482">
        <f t="shared" si="15"/>
        <v>0.71609999999999996</v>
      </c>
      <c r="Q482" t="s">
        <v>66</v>
      </c>
      <c r="R482">
        <v>2025</v>
      </c>
      <c r="S482" t="s">
        <v>82</v>
      </c>
    </row>
    <row r="483" spans="1:19" x14ac:dyDescent="0.3">
      <c r="A483" t="s">
        <v>557</v>
      </c>
      <c r="B483">
        <v>44712</v>
      </c>
      <c r="C483" t="s">
        <v>27</v>
      </c>
      <c r="D483" t="s">
        <v>28</v>
      </c>
      <c r="E483" t="s">
        <v>38</v>
      </c>
      <c r="F483" t="s">
        <v>23</v>
      </c>
      <c r="G483">
        <v>73742.8</v>
      </c>
      <c r="H483">
        <v>48495.07</v>
      </c>
      <c r="I483">
        <v>25247.73</v>
      </c>
      <c r="J483">
        <v>45976.19</v>
      </c>
      <c r="K483">
        <v>67301.820000000007</v>
      </c>
      <c r="L483">
        <v>101607.98</v>
      </c>
      <c r="M483">
        <v>585</v>
      </c>
      <c r="N483">
        <v>-3.5299999999999998E-2</v>
      </c>
      <c r="O483">
        <f t="shared" si="14"/>
        <v>0.34239999999999998</v>
      </c>
      <c r="P483">
        <f t="shared" si="15"/>
        <v>0.66239999999999999</v>
      </c>
      <c r="Q483" t="s">
        <v>58</v>
      </c>
      <c r="R483">
        <v>2022</v>
      </c>
      <c r="S483" t="s">
        <v>82</v>
      </c>
    </row>
    <row r="484" spans="1:19" x14ac:dyDescent="0.3">
      <c r="A484" t="s">
        <v>558</v>
      </c>
      <c r="B484">
        <v>45381</v>
      </c>
      <c r="C484" t="s">
        <v>42</v>
      </c>
      <c r="D484" t="s">
        <v>43</v>
      </c>
      <c r="E484" t="s">
        <v>38</v>
      </c>
      <c r="F484" t="s">
        <v>23</v>
      </c>
      <c r="G484">
        <v>153592.57999999999</v>
      </c>
      <c r="H484">
        <v>84881.8</v>
      </c>
      <c r="I484">
        <v>68710.78</v>
      </c>
      <c r="J484">
        <v>24112.639999999999</v>
      </c>
      <c r="K484">
        <v>5518.6</v>
      </c>
      <c r="L484">
        <v>65210.17</v>
      </c>
      <c r="M484">
        <v>869</v>
      </c>
      <c r="N484">
        <v>-3.8199999999999998E-2</v>
      </c>
      <c r="O484">
        <f t="shared" si="14"/>
        <v>0.44740000000000002</v>
      </c>
      <c r="P484">
        <f t="shared" si="15"/>
        <v>8.4599999999999995E-2</v>
      </c>
      <c r="Q484" t="s">
        <v>80</v>
      </c>
      <c r="R484">
        <v>2024</v>
      </c>
      <c r="S484" t="s">
        <v>25</v>
      </c>
    </row>
    <row r="485" spans="1:19" x14ac:dyDescent="0.3">
      <c r="A485" t="s">
        <v>559</v>
      </c>
      <c r="B485">
        <v>45713</v>
      </c>
      <c r="C485" t="s">
        <v>61</v>
      </c>
      <c r="D485" t="s">
        <v>74</v>
      </c>
      <c r="E485" t="s">
        <v>22</v>
      </c>
      <c r="F485" t="s">
        <v>23</v>
      </c>
      <c r="G485">
        <v>38874.78</v>
      </c>
      <c r="H485">
        <v>24032.06</v>
      </c>
      <c r="I485">
        <v>14842.72</v>
      </c>
      <c r="J485">
        <v>65357.25</v>
      </c>
      <c r="K485">
        <v>18342.810000000001</v>
      </c>
      <c r="L485">
        <v>143759.42000000001</v>
      </c>
      <c r="M485">
        <v>2583</v>
      </c>
      <c r="N485">
        <v>-4.3700000000000003E-2</v>
      </c>
      <c r="O485">
        <f t="shared" si="14"/>
        <v>0.38179999999999997</v>
      </c>
      <c r="P485">
        <f t="shared" si="15"/>
        <v>0.12759999999999999</v>
      </c>
      <c r="Q485" t="s">
        <v>106</v>
      </c>
      <c r="R485">
        <v>2025</v>
      </c>
      <c r="S485" t="s">
        <v>25</v>
      </c>
    </row>
    <row r="486" spans="1:19" x14ac:dyDescent="0.3">
      <c r="A486" t="s">
        <v>560</v>
      </c>
      <c r="B486">
        <v>44708</v>
      </c>
      <c r="C486" t="s">
        <v>85</v>
      </c>
      <c r="D486" t="s">
        <v>86</v>
      </c>
      <c r="E486" t="s">
        <v>32</v>
      </c>
      <c r="F486" t="s">
        <v>23</v>
      </c>
      <c r="G486">
        <v>108301.46234999999</v>
      </c>
      <c r="H486">
        <v>76910.36</v>
      </c>
      <c r="I486">
        <v>31391.1</v>
      </c>
      <c r="J486">
        <v>45246.93</v>
      </c>
      <c r="K486">
        <v>7855.03</v>
      </c>
      <c r="L486">
        <v>540921.96</v>
      </c>
      <c r="M486">
        <v>1342</v>
      </c>
      <c r="N486">
        <v>-9.1999999999999998E-3</v>
      </c>
      <c r="O486">
        <f t="shared" si="14"/>
        <v>0.2898</v>
      </c>
      <c r="P486">
        <f t="shared" si="15"/>
        <v>1.4500000000000001E-2</v>
      </c>
      <c r="Q486" t="s">
        <v>58</v>
      </c>
      <c r="R486">
        <v>2022</v>
      </c>
      <c r="S486" t="s">
        <v>25</v>
      </c>
    </row>
    <row r="487" spans="1:19" x14ac:dyDescent="0.3">
      <c r="A487" t="s">
        <v>561</v>
      </c>
      <c r="B487" s="4">
        <v>44780</v>
      </c>
      <c r="C487" t="s">
        <v>48</v>
      </c>
      <c r="D487" t="s">
        <v>49</v>
      </c>
      <c r="E487" t="s">
        <v>22</v>
      </c>
      <c r="F487" t="s">
        <v>23</v>
      </c>
      <c r="G487">
        <v>113569.25</v>
      </c>
      <c r="H487">
        <v>102889.39</v>
      </c>
      <c r="I487">
        <v>10679.86</v>
      </c>
      <c r="J487">
        <v>37338.14</v>
      </c>
      <c r="K487">
        <v>2425.75</v>
      </c>
      <c r="L487">
        <v>129231.54</v>
      </c>
      <c r="M487">
        <v>1001</v>
      </c>
      <c r="N487">
        <v>-7.1800000000000003E-2</v>
      </c>
      <c r="O487">
        <f t="shared" si="14"/>
        <v>9.4E-2</v>
      </c>
      <c r="P487">
        <f t="shared" si="15"/>
        <v>1.8800000000000001E-2</v>
      </c>
      <c r="Q487" t="s">
        <v>76</v>
      </c>
      <c r="R487">
        <v>2022</v>
      </c>
      <c r="S487" t="s">
        <v>25</v>
      </c>
    </row>
    <row r="488" spans="1:19" x14ac:dyDescent="0.3">
      <c r="A488" t="s">
        <v>562</v>
      </c>
      <c r="B488">
        <v>44580</v>
      </c>
      <c r="C488" t="s">
        <v>85</v>
      </c>
      <c r="D488" t="s">
        <v>86</v>
      </c>
      <c r="E488" t="s">
        <v>51</v>
      </c>
      <c r="F488" t="s">
        <v>23</v>
      </c>
      <c r="G488">
        <v>78578.070000000007</v>
      </c>
      <c r="H488">
        <v>45618.63</v>
      </c>
      <c r="I488">
        <v>32959.440000000002</v>
      </c>
      <c r="J488">
        <v>21196.240000000002</v>
      </c>
      <c r="K488">
        <v>22829.69</v>
      </c>
      <c r="L488">
        <v>46034.31</v>
      </c>
      <c r="M488">
        <v>416</v>
      </c>
      <c r="N488">
        <v>1.55E-2</v>
      </c>
      <c r="O488">
        <f t="shared" si="14"/>
        <v>0.4194</v>
      </c>
      <c r="P488">
        <f t="shared" si="15"/>
        <v>0.49590000000000001</v>
      </c>
      <c r="Q488" t="s">
        <v>90</v>
      </c>
      <c r="R488">
        <v>2022</v>
      </c>
      <c r="S488" t="s">
        <v>40</v>
      </c>
    </row>
    <row r="489" spans="1:19" x14ac:dyDescent="0.3">
      <c r="A489" t="s">
        <v>563</v>
      </c>
      <c r="B489">
        <v>45769</v>
      </c>
      <c r="C489" t="s">
        <v>42</v>
      </c>
      <c r="D489" t="s">
        <v>43</v>
      </c>
      <c r="E489" t="s">
        <v>38</v>
      </c>
      <c r="F489" t="s">
        <v>23</v>
      </c>
      <c r="G489">
        <v>122835.15</v>
      </c>
      <c r="H489">
        <v>108899.53</v>
      </c>
      <c r="I489">
        <v>13935.62</v>
      </c>
      <c r="J489">
        <v>8941.5499999999993</v>
      </c>
      <c r="K489">
        <v>20819.18</v>
      </c>
      <c r="L489">
        <v>69938.100000000006</v>
      </c>
      <c r="M489">
        <v>770</v>
      </c>
      <c r="N489">
        <v>-0.1132</v>
      </c>
      <c r="O489">
        <f t="shared" si="14"/>
        <v>0.1134</v>
      </c>
      <c r="P489">
        <f t="shared" si="15"/>
        <v>0.29770000000000002</v>
      </c>
      <c r="Q489" t="s">
        <v>34</v>
      </c>
      <c r="R489">
        <v>2025</v>
      </c>
      <c r="S489" t="s">
        <v>25</v>
      </c>
    </row>
    <row r="490" spans="1:19" x14ac:dyDescent="0.3">
      <c r="A490" t="s">
        <v>564</v>
      </c>
      <c r="B490">
        <v>45398</v>
      </c>
      <c r="C490" t="s">
        <v>42</v>
      </c>
      <c r="D490" t="s">
        <v>43</v>
      </c>
      <c r="E490" t="s">
        <v>22</v>
      </c>
      <c r="F490" t="s">
        <v>23</v>
      </c>
      <c r="G490">
        <v>266310.21000000002</v>
      </c>
      <c r="H490">
        <v>186440.78</v>
      </c>
      <c r="I490">
        <v>79869.429999999993</v>
      </c>
      <c r="J490">
        <v>162161.74</v>
      </c>
      <c r="K490">
        <v>26783.78</v>
      </c>
      <c r="L490">
        <v>307074.11</v>
      </c>
      <c r="M490">
        <v>483</v>
      </c>
      <c r="N490">
        <v>4.9000000000000002E-2</v>
      </c>
      <c r="O490">
        <f t="shared" si="14"/>
        <v>0.2999</v>
      </c>
      <c r="P490">
        <f t="shared" si="15"/>
        <v>8.72E-2</v>
      </c>
      <c r="Q490" t="s">
        <v>111</v>
      </c>
      <c r="R490">
        <v>2024</v>
      </c>
      <c r="S490" t="s">
        <v>25</v>
      </c>
    </row>
    <row r="491" spans="1:19" x14ac:dyDescent="0.3">
      <c r="A491" t="s">
        <v>565</v>
      </c>
      <c r="B491">
        <v>45731</v>
      </c>
      <c r="C491" t="s">
        <v>30</v>
      </c>
      <c r="D491" t="s">
        <v>31</v>
      </c>
      <c r="E491" t="s">
        <v>38</v>
      </c>
      <c r="F491" t="s">
        <v>23</v>
      </c>
      <c r="G491">
        <v>86888.34</v>
      </c>
      <c r="H491">
        <v>52074.87</v>
      </c>
      <c r="I491">
        <v>34813.47</v>
      </c>
      <c r="J491">
        <v>20901.560000000001</v>
      </c>
      <c r="K491">
        <v>34508.5</v>
      </c>
      <c r="L491">
        <v>98468.87</v>
      </c>
      <c r="M491">
        <v>872</v>
      </c>
      <c r="N491">
        <v>-3.3E-3</v>
      </c>
      <c r="O491">
        <f t="shared" si="14"/>
        <v>0.4007</v>
      </c>
      <c r="P491">
        <f t="shared" si="15"/>
        <v>0.35049999999999998</v>
      </c>
      <c r="Q491" t="s">
        <v>106</v>
      </c>
      <c r="R491">
        <v>2025</v>
      </c>
      <c r="S491" t="s">
        <v>40</v>
      </c>
    </row>
    <row r="492" spans="1:19" x14ac:dyDescent="0.3">
      <c r="A492" t="s">
        <v>566</v>
      </c>
      <c r="B492">
        <v>45796</v>
      </c>
      <c r="C492" t="s">
        <v>30</v>
      </c>
      <c r="D492" t="s">
        <v>31</v>
      </c>
      <c r="E492" t="s">
        <v>32</v>
      </c>
      <c r="F492" t="s">
        <v>23</v>
      </c>
      <c r="G492">
        <v>190394.42430000001</v>
      </c>
      <c r="H492">
        <v>117925.85</v>
      </c>
      <c r="I492">
        <v>72468.570000000007</v>
      </c>
      <c r="J492">
        <v>18730.599999999999</v>
      </c>
      <c r="K492">
        <v>16019.75</v>
      </c>
      <c r="L492">
        <v>141399.46</v>
      </c>
      <c r="M492">
        <v>785</v>
      </c>
      <c r="N492">
        <v>-1.52E-2</v>
      </c>
      <c r="O492">
        <f t="shared" si="14"/>
        <v>0.38059999999999999</v>
      </c>
      <c r="P492">
        <f t="shared" si="15"/>
        <v>0.1133</v>
      </c>
      <c r="Q492" t="s">
        <v>34</v>
      </c>
      <c r="R492">
        <v>2025</v>
      </c>
      <c r="S492" t="s">
        <v>25</v>
      </c>
    </row>
    <row r="493" spans="1:19" x14ac:dyDescent="0.3">
      <c r="A493" t="s">
        <v>567</v>
      </c>
      <c r="B493">
        <v>45731</v>
      </c>
      <c r="C493" t="s">
        <v>20</v>
      </c>
      <c r="D493" t="s">
        <v>21</v>
      </c>
      <c r="E493" t="s">
        <v>32</v>
      </c>
      <c r="F493" t="s">
        <v>23</v>
      </c>
      <c r="G493">
        <v>157513.05854999999</v>
      </c>
      <c r="H493">
        <v>137482.5</v>
      </c>
      <c r="I493">
        <v>20030.560000000001</v>
      </c>
      <c r="J493">
        <v>93695.74</v>
      </c>
      <c r="K493">
        <v>24058.93</v>
      </c>
      <c r="L493">
        <v>114589.21</v>
      </c>
      <c r="M493">
        <v>989</v>
      </c>
      <c r="N493">
        <v>5.3199999999999997E-2</v>
      </c>
      <c r="O493">
        <f t="shared" si="14"/>
        <v>0.12720000000000001</v>
      </c>
      <c r="P493">
        <f t="shared" si="15"/>
        <v>0.21</v>
      </c>
      <c r="Q493" t="s">
        <v>106</v>
      </c>
      <c r="R493">
        <v>2025</v>
      </c>
      <c r="S493" t="s">
        <v>25</v>
      </c>
    </row>
    <row r="494" spans="1:19" x14ac:dyDescent="0.3">
      <c r="A494" t="s">
        <v>568</v>
      </c>
      <c r="B494">
        <v>45623</v>
      </c>
      <c r="C494" t="s">
        <v>42</v>
      </c>
      <c r="D494" t="s">
        <v>43</v>
      </c>
      <c r="E494" t="s">
        <v>38</v>
      </c>
      <c r="F494" t="s">
        <v>23</v>
      </c>
      <c r="G494">
        <v>103689.31</v>
      </c>
      <c r="H494">
        <v>84581.67</v>
      </c>
      <c r="I494">
        <v>19107.64</v>
      </c>
      <c r="J494">
        <v>10941.85</v>
      </c>
      <c r="K494">
        <v>33055.53</v>
      </c>
      <c r="L494">
        <v>39851.47</v>
      </c>
      <c r="M494" t="s">
        <v>1281</v>
      </c>
      <c r="N494">
        <v>0.22720000000000001</v>
      </c>
      <c r="O494">
        <f t="shared" si="14"/>
        <v>0.18429999999999999</v>
      </c>
      <c r="P494">
        <f t="shared" si="15"/>
        <v>0.82950000000000002</v>
      </c>
      <c r="Q494" t="s">
        <v>52</v>
      </c>
      <c r="R494">
        <v>2024</v>
      </c>
      <c r="S494" t="s">
        <v>82</v>
      </c>
    </row>
    <row r="495" spans="1:19" x14ac:dyDescent="0.3">
      <c r="A495" t="s">
        <v>569</v>
      </c>
      <c r="B495">
        <v>45521</v>
      </c>
      <c r="C495" t="s">
        <v>42</v>
      </c>
      <c r="D495" t="s">
        <v>43</v>
      </c>
      <c r="E495" t="s">
        <v>22</v>
      </c>
      <c r="F495" t="s">
        <v>23</v>
      </c>
      <c r="G495">
        <v>21441.94</v>
      </c>
      <c r="H495">
        <v>15966.85</v>
      </c>
      <c r="I495">
        <v>5475.09</v>
      </c>
      <c r="J495">
        <v>21644.52</v>
      </c>
      <c r="K495">
        <v>10970.94</v>
      </c>
      <c r="L495">
        <v>141861.98000000001</v>
      </c>
      <c r="M495">
        <v>846</v>
      </c>
      <c r="N495">
        <v>-2.93E-2</v>
      </c>
      <c r="O495">
        <f t="shared" si="14"/>
        <v>0.25530000000000003</v>
      </c>
      <c r="P495">
        <f t="shared" si="15"/>
        <v>7.7299999999999994E-2</v>
      </c>
      <c r="Q495" t="s">
        <v>72</v>
      </c>
      <c r="R495">
        <v>2024</v>
      </c>
      <c r="S495" t="s">
        <v>25</v>
      </c>
    </row>
    <row r="496" spans="1:19" x14ac:dyDescent="0.3">
      <c r="A496" t="s">
        <v>570</v>
      </c>
      <c r="B496" s="4">
        <v>45936</v>
      </c>
      <c r="C496" t="s">
        <v>48</v>
      </c>
      <c r="D496" t="s">
        <v>49</v>
      </c>
      <c r="E496" t="s">
        <v>22</v>
      </c>
      <c r="F496" t="s">
        <v>23</v>
      </c>
      <c r="G496">
        <v>19649.97</v>
      </c>
      <c r="H496">
        <v>12205.29</v>
      </c>
      <c r="I496">
        <v>7444.68</v>
      </c>
      <c r="J496">
        <v>30610.66</v>
      </c>
      <c r="K496">
        <v>9351.2000000000007</v>
      </c>
      <c r="L496">
        <v>42786.85</v>
      </c>
      <c r="M496">
        <v>1022</v>
      </c>
      <c r="N496">
        <v>1.34E-2</v>
      </c>
      <c r="O496">
        <f t="shared" si="14"/>
        <v>0.37890000000000001</v>
      </c>
      <c r="P496">
        <f t="shared" si="15"/>
        <v>0.21859999999999999</v>
      </c>
      <c r="Q496" t="s">
        <v>66</v>
      </c>
      <c r="R496">
        <v>2025</v>
      </c>
      <c r="S496" t="s">
        <v>25</v>
      </c>
    </row>
    <row r="497" spans="1:19" x14ac:dyDescent="0.3">
      <c r="A497" t="s">
        <v>571</v>
      </c>
      <c r="B497">
        <v>45370</v>
      </c>
      <c r="C497" t="s">
        <v>42</v>
      </c>
      <c r="D497" t="s">
        <v>43</v>
      </c>
      <c r="E497" t="s">
        <v>32</v>
      </c>
      <c r="F497" t="s">
        <v>23</v>
      </c>
      <c r="G497">
        <v>137221.87234999999</v>
      </c>
      <c r="H497">
        <v>79969.34</v>
      </c>
      <c r="I497">
        <v>57252.53</v>
      </c>
      <c r="J497">
        <v>109745.31</v>
      </c>
      <c r="K497">
        <v>21360.49</v>
      </c>
      <c r="L497">
        <v>188545.52</v>
      </c>
      <c r="M497">
        <v>1770</v>
      </c>
      <c r="N497">
        <v>5.5399999999999998E-2</v>
      </c>
      <c r="O497">
        <f t="shared" si="14"/>
        <v>0.41720000000000002</v>
      </c>
      <c r="P497">
        <f t="shared" si="15"/>
        <v>0.1133</v>
      </c>
      <c r="Q497" t="s">
        <v>80</v>
      </c>
      <c r="R497">
        <v>2024</v>
      </c>
      <c r="S497" t="s">
        <v>25</v>
      </c>
    </row>
    <row r="498" spans="1:19" x14ac:dyDescent="0.3">
      <c r="A498" t="s">
        <v>572</v>
      </c>
      <c r="B498">
        <v>45663</v>
      </c>
      <c r="C498" t="s">
        <v>1282</v>
      </c>
      <c r="D498" t="s">
        <v>69</v>
      </c>
      <c r="E498" t="s">
        <v>22</v>
      </c>
      <c r="F498" t="s">
        <v>23</v>
      </c>
      <c r="G498">
        <v>58910.49</v>
      </c>
      <c r="H498" t="s">
        <v>1281</v>
      </c>
      <c r="I498" t="s">
        <v>1281</v>
      </c>
      <c r="J498">
        <v>79805.490000000005</v>
      </c>
      <c r="K498">
        <v>31046.84</v>
      </c>
      <c r="L498">
        <v>163249.34</v>
      </c>
      <c r="M498">
        <v>453</v>
      </c>
      <c r="N498">
        <v>3.3E-3</v>
      </c>
      <c r="O498" t="s">
        <v>1281</v>
      </c>
      <c r="P498">
        <f t="shared" si="15"/>
        <v>0.19020000000000001</v>
      </c>
      <c r="Q498" t="s">
        <v>106</v>
      </c>
      <c r="R498">
        <v>2025</v>
      </c>
      <c r="S498" t="s">
        <v>25</v>
      </c>
    </row>
    <row r="499" spans="1:19" x14ac:dyDescent="0.3">
      <c r="A499" t="s">
        <v>573</v>
      </c>
      <c r="B499">
        <v>45723</v>
      </c>
      <c r="C499" t="s">
        <v>102</v>
      </c>
      <c r="D499" t="s">
        <v>103</v>
      </c>
      <c r="E499" t="s">
        <v>22</v>
      </c>
      <c r="F499" t="s">
        <v>23</v>
      </c>
      <c r="G499">
        <v>38560.14</v>
      </c>
      <c r="H499">
        <v>24254.75</v>
      </c>
      <c r="I499">
        <v>14305.39</v>
      </c>
      <c r="J499">
        <v>18868.21</v>
      </c>
      <c r="K499">
        <v>100692.54</v>
      </c>
      <c r="L499">
        <v>53799.54</v>
      </c>
      <c r="M499">
        <v>689</v>
      </c>
      <c r="N499">
        <v>-8.3000000000000004E-2</v>
      </c>
      <c r="O499">
        <f t="shared" si="14"/>
        <v>0.371</v>
      </c>
      <c r="P499">
        <f t="shared" si="15"/>
        <v>1.8715999999999999</v>
      </c>
      <c r="Q499" t="s">
        <v>106</v>
      </c>
      <c r="R499">
        <v>2025</v>
      </c>
      <c r="S499" t="s">
        <v>82</v>
      </c>
    </row>
    <row r="500" spans="1:19" x14ac:dyDescent="0.3">
      <c r="A500" t="s">
        <v>574</v>
      </c>
      <c r="B500">
        <v>44713</v>
      </c>
      <c r="C500" t="s">
        <v>102</v>
      </c>
      <c r="D500" t="s">
        <v>103</v>
      </c>
      <c r="E500" t="s">
        <v>22</v>
      </c>
      <c r="F500" t="s">
        <v>23</v>
      </c>
      <c r="G500">
        <v>34920.660000000003</v>
      </c>
      <c r="H500">
        <v>25743.25</v>
      </c>
      <c r="I500">
        <v>9177.41</v>
      </c>
      <c r="J500">
        <v>17588.830000000002</v>
      </c>
      <c r="K500">
        <v>39965.21</v>
      </c>
      <c r="L500">
        <v>97412.57</v>
      </c>
      <c r="M500">
        <v>746</v>
      </c>
      <c r="N500">
        <v>8.5400000000000004E-2</v>
      </c>
      <c r="O500">
        <f t="shared" si="14"/>
        <v>0.26279999999999998</v>
      </c>
      <c r="P500">
        <f t="shared" si="15"/>
        <v>0.4103</v>
      </c>
      <c r="Q500" t="s">
        <v>58</v>
      </c>
      <c r="R500">
        <v>2022</v>
      </c>
      <c r="S500" t="s">
        <v>40</v>
      </c>
    </row>
    <row r="501" spans="1:19" x14ac:dyDescent="0.3">
      <c r="A501" t="s">
        <v>575</v>
      </c>
      <c r="B501">
        <v>45826</v>
      </c>
      <c r="C501" t="s">
        <v>48</v>
      </c>
      <c r="D501" t="s">
        <v>49</v>
      </c>
      <c r="E501" t="s">
        <v>32</v>
      </c>
      <c r="F501" t="s">
        <v>23</v>
      </c>
      <c r="G501">
        <v>80855.66</v>
      </c>
      <c r="H501">
        <v>44764.62</v>
      </c>
      <c r="I501">
        <v>36091.040000000001</v>
      </c>
      <c r="J501">
        <v>25962.62</v>
      </c>
      <c r="K501">
        <v>6789</v>
      </c>
      <c r="L501">
        <v>56081.09</v>
      </c>
      <c r="M501">
        <v>1437</v>
      </c>
      <c r="N501">
        <v>6.7000000000000004E-2</v>
      </c>
      <c r="O501">
        <f t="shared" si="14"/>
        <v>0.44640000000000002</v>
      </c>
      <c r="P501">
        <f t="shared" si="15"/>
        <v>0.1211</v>
      </c>
      <c r="Q501" t="s">
        <v>34</v>
      </c>
      <c r="R501">
        <v>2025</v>
      </c>
      <c r="S501" t="s">
        <v>25</v>
      </c>
    </row>
    <row r="502" spans="1:19" x14ac:dyDescent="0.3">
      <c r="A502" t="s">
        <v>576</v>
      </c>
      <c r="B502">
        <v>44788</v>
      </c>
      <c r="C502" t="s">
        <v>54</v>
      </c>
      <c r="D502" t="s">
        <v>55</v>
      </c>
      <c r="E502" t="s">
        <v>22</v>
      </c>
      <c r="F502" t="s">
        <v>23</v>
      </c>
      <c r="G502">
        <v>153461.29999999999</v>
      </c>
      <c r="H502">
        <v>110407.18</v>
      </c>
      <c r="I502">
        <v>43054.12</v>
      </c>
      <c r="J502">
        <v>188944.23</v>
      </c>
      <c r="K502">
        <v>9436.0300000000007</v>
      </c>
      <c r="L502">
        <v>202659.73</v>
      </c>
      <c r="M502">
        <v>952</v>
      </c>
      <c r="N502">
        <v>-0.1181</v>
      </c>
      <c r="O502">
        <f t="shared" si="14"/>
        <v>0.28060000000000002</v>
      </c>
      <c r="P502">
        <f t="shared" si="15"/>
        <v>4.6600000000000003E-2</v>
      </c>
      <c r="Q502" t="s">
        <v>76</v>
      </c>
      <c r="R502">
        <v>2022</v>
      </c>
      <c r="S502" t="s">
        <v>25</v>
      </c>
    </row>
    <row r="503" spans="1:19" x14ac:dyDescent="0.3">
      <c r="A503" t="s">
        <v>577</v>
      </c>
      <c r="B503">
        <v>45701</v>
      </c>
      <c r="C503" t="s">
        <v>20</v>
      </c>
      <c r="D503" t="s">
        <v>21</v>
      </c>
      <c r="E503" t="s">
        <v>38</v>
      </c>
      <c r="F503" t="s">
        <v>23</v>
      </c>
      <c r="G503">
        <v>47808.85</v>
      </c>
      <c r="H503">
        <v>30413.97</v>
      </c>
      <c r="I503">
        <v>17394.88</v>
      </c>
      <c r="J503">
        <v>33493.93</v>
      </c>
      <c r="K503">
        <v>5581.75</v>
      </c>
      <c r="L503">
        <v>89760.42</v>
      </c>
      <c r="M503">
        <v>904</v>
      </c>
      <c r="N503">
        <v>-9.0800000000000006E-2</v>
      </c>
      <c r="O503">
        <f t="shared" si="14"/>
        <v>0.36380000000000001</v>
      </c>
      <c r="P503">
        <f t="shared" si="15"/>
        <v>6.2199999999999998E-2</v>
      </c>
      <c r="Q503" t="s">
        <v>106</v>
      </c>
      <c r="R503">
        <v>2025</v>
      </c>
      <c r="S503" t="s">
        <v>25</v>
      </c>
    </row>
    <row r="504" spans="1:19" x14ac:dyDescent="0.3">
      <c r="A504" t="s">
        <v>578</v>
      </c>
      <c r="B504">
        <v>45025</v>
      </c>
      <c r="C504" t="s">
        <v>78</v>
      </c>
      <c r="D504" t="s">
        <v>79</v>
      </c>
      <c r="E504" t="s">
        <v>38</v>
      </c>
      <c r="F504" t="s">
        <v>23</v>
      </c>
      <c r="G504">
        <v>35783.040000000001</v>
      </c>
      <c r="H504">
        <v>31963.77</v>
      </c>
      <c r="I504">
        <v>3819.27</v>
      </c>
      <c r="J504">
        <v>30467.13</v>
      </c>
      <c r="K504">
        <v>37174.199999999997</v>
      </c>
      <c r="L504">
        <v>132894.01999999999</v>
      </c>
      <c r="M504">
        <v>994</v>
      </c>
      <c r="N504">
        <v>-1.43E-2</v>
      </c>
      <c r="O504">
        <f t="shared" si="14"/>
        <v>0.1067</v>
      </c>
      <c r="P504">
        <f t="shared" si="15"/>
        <v>0.2797</v>
      </c>
      <c r="Q504" t="s">
        <v>39</v>
      </c>
      <c r="R504">
        <v>2023</v>
      </c>
      <c r="S504" t="s">
        <v>25</v>
      </c>
    </row>
    <row r="505" spans="1:19" x14ac:dyDescent="0.3">
      <c r="A505" t="s">
        <v>579</v>
      </c>
      <c r="B505">
        <v>45920</v>
      </c>
      <c r="C505" t="s">
        <v>1282</v>
      </c>
      <c r="D505" t="s">
        <v>69</v>
      </c>
      <c r="E505" t="s">
        <v>22</v>
      </c>
      <c r="F505" t="s">
        <v>23</v>
      </c>
      <c r="G505">
        <v>143319.79999999999</v>
      </c>
      <c r="H505">
        <v>109441.98</v>
      </c>
      <c r="I505">
        <v>33877.82</v>
      </c>
      <c r="J505">
        <v>44886.63</v>
      </c>
      <c r="K505">
        <v>16692.2</v>
      </c>
      <c r="L505">
        <v>333676.46999999997</v>
      </c>
      <c r="M505">
        <v>708</v>
      </c>
      <c r="N505">
        <v>1.24E-2</v>
      </c>
      <c r="O505">
        <f t="shared" si="14"/>
        <v>0.2364</v>
      </c>
      <c r="P505">
        <f t="shared" si="15"/>
        <v>0.05</v>
      </c>
      <c r="Q505" t="s">
        <v>24</v>
      </c>
      <c r="R505">
        <v>2025</v>
      </c>
      <c r="S505" t="s">
        <v>25</v>
      </c>
    </row>
    <row r="506" spans="1:19" x14ac:dyDescent="0.3">
      <c r="A506" t="s">
        <v>580</v>
      </c>
      <c r="B506">
        <v>45040</v>
      </c>
      <c r="C506" t="s">
        <v>85</v>
      </c>
      <c r="D506" t="s">
        <v>86</v>
      </c>
      <c r="E506" t="s">
        <v>38</v>
      </c>
      <c r="F506" t="s">
        <v>23</v>
      </c>
      <c r="G506">
        <v>37136.269999999997</v>
      </c>
      <c r="H506">
        <v>26360.95</v>
      </c>
      <c r="I506">
        <v>10775.32</v>
      </c>
      <c r="J506">
        <v>0</v>
      </c>
      <c r="K506">
        <v>31357.05</v>
      </c>
      <c r="L506">
        <v>48096.95</v>
      </c>
      <c r="M506">
        <v>3610</v>
      </c>
      <c r="N506">
        <v>-9.98E-2</v>
      </c>
      <c r="O506">
        <f t="shared" si="14"/>
        <v>0.29020000000000001</v>
      </c>
      <c r="P506">
        <f t="shared" si="15"/>
        <v>0.65200000000000002</v>
      </c>
      <c r="Q506" t="s">
        <v>39</v>
      </c>
      <c r="R506">
        <v>2023</v>
      </c>
      <c r="S506" t="s">
        <v>82</v>
      </c>
    </row>
    <row r="507" spans="1:19" x14ac:dyDescent="0.3">
      <c r="A507" t="s">
        <v>581</v>
      </c>
      <c r="B507">
        <v>45960</v>
      </c>
      <c r="C507" t="s">
        <v>78</v>
      </c>
      <c r="D507" t="s">
        <v>79</v>
      </c>
      <c r="E507" t="s">
        <v>38</v>
      </c>
      <c r="F507" t="s">
        <v>23</v>
      </c>
      <c r="G507">
        <v>36960.81</v>
      </c>
      <c r="H507">
        <v>30479.75</v>
      </c>
      <c r="I507">
        <v>6481.06</v>
      </c>
      <c r="J507">
        <v>28927.54</v>
      </c>
      <c r="K507">
        <v>8926.02</v>
      </c>
      <c r="L507">
        <v>162622</v>
      </c>
      <c r="M507">
        <v>502</v>
      </c>
      <c r="N507">
        <v>5.1900000000000002E-2</v>
      </c>
      <c r="O507">
        <f t="shared" si="14"/>
        <v>0.17530000000000001</v>
      </c>
      <c r="P507">
        <f t="shared" si="15"/>
        <v>5.4899999999999997E-2</v>
      </c>
      <c r="Q507" t="s">
        <v>66</v>
      </c>
      <c r="R507">
        <v>2025</v>
      </c>
      <c r="S507" t="s">
        <v>25</v>
      </c>
    </row>
    <row r="508" spans="1:19" x14ac:dyDescent="0.3">
      <c r="A508" t="s">
        <v>582</v>
      </c>
      <c r="B508">
        <v>45126</v>
      </c>
      <c r="C508" t="s">
        <v>20</v>
      </c>
      <c r="D508" t="s">
        <v>21</v>
      </c>
      <c r="E508" t="s">
        <v>38</v>
      </c>
      <c r="F508" t="s">
        <v>23</v>
      </c>
      <c r="G508">
        <v>60012.26</v>
      </c>
      <c r="H508">
        <v>51239.83</v>
      </c>
      <c r="I508">
        <v>8772.43</v>
      </c>
      <c r="J508">
        <v>16504.560000000001</v>
      </c>
      <c r="K508">
        <v>25908.13</v>
      </c>
      <c r="L508">
        <v>102327.16</v>
      </c>
      <c r="M508">
        <v>3117</v>
      </c>
      <c r="N508">
        <v>3.0099999999999998E-2</v>
      </c>
      <c r="O508">
        <f t="shared" si="14"/>
        <v>0.1462</v>
      </c>
      <c r="P508">
        <f t="shared" si="15"/>
        <v>0.25319999999999998</v>
      </c>
      <c r="Q508" t="s">
        <v>56</v>
      </c>
      <c r="R508">
        <v>2023</v>
      </c>
      <c r="S508" t="s">
        <v>25</v>
      </c>
    </row>
    <row r="509" spans="1:19" x14ac:dyDescent="0.3">
      <c r="A509" t="s">
        <v>583</v>
      </c>
      <c r="B509">
        <v>44740</v>
      </c>
      <c r="C509" t="s">
        <v>85</v>
      </c>
      <c r="D509" t="s">
        <v>86</v>
      </c>
      <c r="E509" t="s">
        <v>22</v>
      </c>
      <c r="F509" t="s">
        <v>23</v>
      </c>
      <c r="G509">
        <v>29947.119999999999</v>
      </c>
      <c r="H509">
        <v>25214.44</v>
      </c>
      <c r="I509">
        <v>4732.68</v>
      </c>
      <c r="J509">
        <v>6068.73</v>
      </c>
      <c r="K509">
        <v>101287.06</v>
      </c>
      <c r="L509">
        <v>143270.76999999999</v>
      </c>
      <c r="M509">
        <v>728</v>
      </c>
      <c r="N509">
        <v>-9.4399999999999998E-2</v>
      </c>
      <c r="O509">
        <f t="shared" si="14"/>
        <v>0.158</v>
      </c>
      <c r="P509">
        <f t="shared" si="15"/>
        <v>0.70699999999999996</v>
      </c>
      <c r="Q509" t="s">
        <v>58</v>
      </c>
      <c r="R509">
        <v>2022</v>
      </c>
      <c r="S509" t="s">
        <v>82</v>
      </c>
    </row>
    <row r="510" spans="1:19" x14ac:dyDescent="0.3">
      <c r="A510" t="s">
        <v>584</v>
      </c>
      <c r="B510">
        <v>45164</v>
      </c>
      <c r="C510" t="s">
        <v>85</v>
      </c>
      <c r="D510" t="s">
        <v>86</v>
      </c>
      <c r="E510" t="s">
        <v>51</v>
      </c>
      <c r="F510" t="s">
        <v>23</v>
      </c>
      <c r="G510">
        <v>87305.600000000006</v>
      </c>
      <c r="H510">
        <v>76422.960000000006</v>
      </c>
      <c r="I510">
        <v>10882.64</v>
      </c>
      <c r="J510">
        <v>21366.240000000002</v>
      </c>
      <c r="K510">
        <v>287934.06</v>
      </c>
      <c r="L510">
        <v>155520.17000000001</v>
      </c>
      <c r="M510">
        <v>1307</v>
      </c>
      <c r="N510">
        <v>-4.7300000000000002E-2</v>
      </c>
      <c r="O510">
        <f t="shared" si="14"/>
        <v>0.1246</v>
      </c>
      <c r="P510">
        <f t="shared" si="15"/>
        <v>1.8513999999999999</v>
      </c>
      <c r="Q510" t="s">
        <v>56</v>
      </c>
      <c r="R510">
        <v>2023</v>
      </c>
      <c r="S510" t="s">
        <v>82</v>
      </c>
    </row>
    <row r="511" spans="1:19" x14ac:dyDescent="0.3">
      <c r="A511" t="s">
        <v>585</v>
      </c>
      <c r="B511">
        <v>45264</v>
      </c>
      <c r="C511" t="s">
        <v>54</v>
      </c>
      <c r="D511" t="s">
        <v>55</v>
      </c>
      <c r="E511" t="s">
        <v>32</v>
      </c>
      <c r="F511" t="s">
        <v>23</v>
      </c>
      <c r="G511">
        <v>169147.04859999998</v>
      </c>
      <c r="H511">
        <v>136933.78</v>
      </c>
      <c r="I511">
        <v>32213.27</v>
      </c>
      <c r="J511">
        <v>27335.29</v>
      </c>
      <c r="K511">
        <v>18046.88</v>
      </c>
      <c r="L511">
        <v>92821.7</v>
      </c>
      <c r="M511">
        <v>557</v>
      </c>
      <c r="N511">
        <v>-0.1774</v>
      </c>
      <c r="O511">
        <f t="shared" si="14"/>
        <v>0.19040000000000001</v>
      </c>
      <c r="P511">
        <f t="shared" si="15"/>
        <v>0.19439999999999999</v>
      </c>
      <c r="Q511" t="s">
        <v>44</v>
      </c>
      <c r="R511">
        <v>2023</v>
      </c>
      <c r="S511" t="s">
        <v>25</v>
      </c>
    </row>
    <row r="512" spans="1:19" x14ac:dyDescent="0.3">
      <c r="A512" t="s">
        <v>586</v>
      </c>
      <c r="B512">
        <v>45237</v>
      </c>
      <c r="C512" t="s">
        <v>61</v>
      </c>
      <c r="D512" t="s">
        <v>74</v>
      </c>
      <c r="E512" t="s">
        <v>38</v>
      </c>
      <c r="F512" t="s">
        <v>23</v>
      </c>
      <c r="G512">
        <v>45000.3</v>
      </c>
      <c r="H512">
        <v>40943.53</v>
      </c>
      <c r="I512">
        <v>4056.77</v>
      </c>
      <c r="J512">
        <v>33877.620000000003</v>
      </c>
      <c r="K512">
        <v>20319.18</v>
      </c>
      <c r="L512">
        <v>45219.29</v>
      </c>
      <c r="M512">
        <v>1662</v>
      </c>
      <c r="N512">
        <v>-7.1499999999999994E-2</v>
      </c>
      <c r="O512">
        <f t="shared" si="14"/>
        <v>9.01E-2</v>
      </c>
      <c r="P512">
        <f t="shared" si="15"/>
        <v>0.44929999999999998</v>
      </c>
      <c r="Q512" t="s">
        <v>44</v>
      </c>
      <c r="R512">
        <v>2023</v>
      </c>
      <c r="S512" t="s">
        <v>40</v>
      </c>
    </row>
    <row r="513" spans="1:19" x14ac:dyDescent="0.3">
      <c r="A513" t="s">
        <v>587</v>
      </c>
      <c r="B513">
        <v>44797</v>
      </c>
      <c r="C513" t="s">
        <v>61</v>
      </c>
      <c r="D513" t="s">
        <v>74</v>
      </c>
      <c r="E513" t="s">
        <v>22</v>
      </c>
      <c r="F513" t="s">
        <v>23</v>
      </c>
      <c r="G513">
        <v>65630.100000000006</v>
      </c>
      <c r="H513">
        <v>52291.85</v>
      </c>
      <c r="I513">
        <v>13338.25</v>
      </c>
      <c r="J513">
        <v>23650.57</v>
      </c>
      <c r="K513">
        <v>37922.74</v>
      </c>
      <c r="L513">
        <v>58628.35</v>
      </c>
      <c r="M513">
        <v>1473</v>
      </c>
      <c r="N513">
        <v>8.6999999999999994E-3</v>
      </c>
      <c r="O513">
        <f t="shared" si="14"/>
        <v>0.20319999999999999</v>
      </c>
      <c r="P513">
        <f t="shared" si="15"/>
        <v>0.64680000000000004</v>
      </c>
      <c r="Q513" t="s">
        <v>76</v>
      </c>
      <c r="R513">
        <v>2022</v>
      </c>
      <c r="S513" t="s">
        <v>82</v>
      </c>
    </row>
    <row r="514" spans="1:19" x14ac:dyDescent="0.3">
      <c r="A514" t="s">
        <v>588</v>
      </c>
      <c r="B514">
        <v>44919</v>
      </c>
      <c r="C514" t="s">
        <v>54</v>
      </c>
      <c r="D514" t="s">
        <v>55</v>
      </c>
      <c r="E514" t="s">
        <v>22</v>
      </c>
      <c r="F514" t="s">
        <v>23</v>
      </c>
      <c r="G514">
        <v>89505.72</v>
      </c>
      <c r="H514">
        <v>55602.96</v>
      </c>
      <c r="I514">
        <v>33902.76</v>
      </c>
      <c r="J514">
        <v>10882.68</v>
      </c>
      <c r="K514">
        <v>41835.839999999997</v>
      </c>
      <c r="L514">
        <v>110607.77</v>
      </c>
      <c r="M514">
        <v>375</v>
      </c>
      <c r="N514">
        <v>-4.7100000000000003E-2</v>
      </c>
      <c r="O514">
        <f t="shared" si="14"/>
        <v>0.37880000000000003</v>
      </c>
      <c r="P514">
        <f t="shared" si="15"/>
        <v>0.37819999999999998</v>
      </c>
      <c r="Q514" t="s">
        <v>46</v>
      </c>
      <c r="R514">
        <v>2022</v>
      </c>
      <c r="S514" t="s">
        <v>40</v>
      </c>
    </row>
    <row r="515" spans="1:19" x14ac:dyDescent="0.3">
      <c r="A515" t="s">
        <v>589</v>
      </c>
      <c r="B515">
        <v>45979</v>
      </c>
      <c r="C515" t="s">
        <v>78</v>
      </c>
      <c r="D515" t="s">
        <v>79</v>
      </c>
      <c r="E515" t="s">
        <v>38</v>
      </c>
      <c r="F515" t="s">
        <v>23</v>
      </c>
      <c r="G515">
        <v>31954.99</v>
      </c>
      <c r="H515">
        <v>19800.78</v>
      </c>
      <c r="I515">
        <v>12154.21</v>
      </c>
      <c r="J515">
        <v>41544.269999999997</v>
      </c>
      <c r="K515">
        <v>67490.2</v>
      </c>
      <c r="L515">
        <v>116333.77</v>
      </c>
      <c r="M515">
        <v>1588</v>
      </c>
      <c r="N515">
        <v>3.1699999999999999E-2</v>
      </c>
      <c r="O515">
        <f t="shared" ref="O515:O578" si="16">(ROUND(I515/G515,4))</f>
        <v>0.38040000000000002</v>
      </c>
      <c r="P515">
        <f t="shared" ref="P515:P578" si="17">ROUND(K515/L515,4)</f>
        <v>0.58009999999999995</v>
      </c>
      <c r="Q515" t="s">
        <v>66</v>
      </c>
      <c r="R515">
        <v>2025</v>
      </c>
      <c r="S515" t="s">
        <v>40</v>
      </c>
    </row>
    <row r="516" spans="1:19" x14ac:dyDescent="0.3">
      <c r="A516" t="s">
        <v>590</v>
      </c>
      <c r="B516">
        <v>45834</v>
      </c>
      <c r="C516" t="s">
        <v>48</v>
      </c>
      <c r="D516" t="s">
        <v>49</v>
      </c>
      <c r="E516" t="s">
        <v>32</v>
      </c>
      <c r="F516" t="s">
        <v>23</v>
      </c>
      <c r="G516">
        <v>30543.939850000002</v>
      </c>
      <c r="H516">
        <v>17099.88</v>
      </c>
      <c r="I516">
        <v>13444.06</v>
      </c>
      <c r="J516">
        <v>59804.78</v>
      </c>
      <c r="K516">
        <v>55997.53</v>
      </c>
      <c r="L516">
        <v>255506.69</v>
      </c>
      <c r="M516">
        <v>1809</v>
      </c>
      <c r="N516">
        <v>4.9000000000000002E-2</v>
      </c>
      <c r="O516">
        <f t="shared" si="16"/>
        <v>0.44019999999999998</v>
      </c>
      <c r="P516">
        <f t="shared" si="17"/>
        <v>0.21920000000000001</v>
      </c>
      <c r="Q516" t="s">
        <v>34</v>
      </c>
      <c r="R516">
        <v>2025</v>
      </c>
      <c r="S516" t="s">
        <v>25</v>
      </c>
    </row>
    <row r="517" spans="1:19" x14ac:dyDescent="0.3">
      <c r="A517" t="s">
        <v>591</v>
      </c>
      <c r="B517">
        <v>45627</v>
      </c>
      <c r="C517" t="s">
        <v>27</v>
      </c>
      <c r="D517" t="s">
        <v>28</v>
      </c>
      <c r="E517" t="s">
        <v>22</v>
      </c>
      <c r="F517" t="s">
        <v>23</v>
      </c>
      <c r="G517">
        <v>41563.85</v>
      </c>
      <c r="H517">
        <v>24857.14</v>
      </c>
      <c r="I517">
        <v>16706.71</v>
      </c>
      <c r="J517">
        <v>25846.34</v>
      </c>
      <c r="K517">
        <v>53106.97</v>
      </c>
      <c r="L517">
        <v>107746.86</v>
      </c>
      <c r="M517">
        <v>942</v>
      </c>
      <c r="N517">
        <v>3.9100000000000003E-2</v>
      </c>
      <c r="O517">
        <f t="shared" si="16"/>
        <v>0.40200000000000002</v>
      </c>
      <c r="P517">
        <f t="shared" si="17"/>
        <v>0.4929</v>
      </c>
      <c r="Q517" t="s">
        <v>52</v>
      </c>
      <c r="R517">
        <v>2024</v>
      </c>
      <c r="S517" t="s">
        <v>40</v>
      </c>
    </row>
    <row r="518" spans="1:19" x14ac:dyDescent="0.3">
      <c r="A518" t="s">
        <v>592</v>
      </c>
      <c r="B518">
        <v>45710</v>
      </c>
      <c r="C518" t="s">
        <v>42</v>
      </c>
      <c r="D518" t="s">
        <v>43</v>
      </c>
      <c r="E518" t="s">
        <v>38</v>
      </c>
      <c r="F518" t="s">
        <v>23</v>
      </c>
      <c r="G518">
        <v>90225.79</v>
      </c>
      <c r="H518">
        <v>70264.73</v>
      </c>
      <c r="I518">
        <v>19961.060000000001</v>
      </c>
      <c r="J518">
        <v>80714.36</v>
      </c>
      <c r="K518">
        <v>47370.22</v>
      </c>
      <c r="L518">
        <v>205504.55</v>
      </c>
      <c r="M518" t="s">
        <v>1281</v>
      </c>
      <c r="N518">
        <v>4.3700000000000003E-2</v>
      </c>
      <c r="O518">
        <f t="shared" si="16"/>
        <v>0.22120000000000001</v>
      </c>
      <c r="P518">
        <f t="shared" si="17"/>
        <v>0.23050000000000001</v>
      </c>
      <c r="Q518" t="s">
        <v>106</v>
      </c>
      <c r="R518">
        <v>2025</v>
      </c>
      <c r="S518" t="s">
        <v>25</v>
      </c>
    </row>
    <row r="519" spans="1:19" x14ac:dyDescent="0.3">
      <c r="A519" t="s">
        <v>593</v>
      </c>
      <c r="B519">
        <v>45794</v>
      </c>
      <c r="C519" t="s">
        <v>42</v>
      </c>
      <c r="D519" t="s">
        <v>43</v>
      </c>
      <c r="E519" t="s">
        <v>22</v>
      </c>
      <c r="F519" t="s">
        <v>23</v>
      </c>
      <c r="G519">
        <v>53674.54</v>
      </c>
      <c r="H519">
        <v>48465.78</v>
      </c>
      <c r="I519">
        <v>5208.76</v>
      </c>
      <c r="J519">
        <v>31303.61</v>
      </c>
      <c r="K519">
        <v>44568.37</v>
      </c>
      <c r="L519">
        <v>68533.88</v>
      </c>
      <c r="M519">
        <v>655</v>
      </c>
      <c r="N519">
        <v>6.1100000000000002E-2</v>
      </c>
      <c r="O519">
        <f t="shared" si="16"/>
        <v>9.7000000000000003E-2</v>
      </c>
      <c r="P519">
        <f t="shared" si="17"/>
        <v>0.65029999999999999</v>
      </c>
      <c r="Q519" t="s">
        <v>34</v>
      </c>
      <c r="R519">
        <v>2025</v>
      </c>
      <c r="S519" t="s">
        <v>82</v>
      </c>
    </row>
    <row r="520" spans="1:19" x14ac:dyDescent="0.3">
      <c r="A520" t="s">
        <v>594</v>
      </c>
      <c r="B520">
        <v>45406</v>
      </c>
      <c r="C520" t="s">
        <v>36</v>
      </c>
      <c r="D520" t="s">
        <v>37</v>
      </c>
      <c r="E520" t="s">
        <v>38</v>
      </c>
      <c r="F520" t="s">
        <v>23</v>
      </c>
      <c r="G520">
        <v>54201.24</v>
      </c>
      <c r="H520">
        <v>45031.55</v>
      </c>
      <c r="I520">
        <v>9169.69</v>
      </c>
      <c r="J520">
        <v>25301</v>
      </c>
      <c r="K520">
        <v>54443.43</v>
      </c>
      <c r="L520">
        <v>85234.7</v>
      </c>
      <c r="M520">
        <v>1072</v>
      </c>
      <c r="N520">
        <v>-6.1800000000000001E-2</v>
      </c>
      <c r="O520">
        <f t="shared" si="16"/>
        <v>0.16919999999999999</v>
      </c>
      <c r="P520">
        <f t="shared" si="17"/>
        <v>0.63870000000000005</v>
      </c>
      <c r="Q520" t="s">
        <v>111</v>
      </c>
      <c r="R520">
        <v>2024</v>
      </c>
      <c r="S520" t="s">
        <v>82</v>
      </c>
    </row>
    <row r="521" spans="1:19" x14ac:dyDescent="0.3">
      <c r="A521" t="s">
        <v>595</v>
      </c>
      <c r="B521">
        <v>45856</v>
      </c>
      <c r="C521" t="s">
        <v>85</v>
      </c>
      <c r="D521" t="s">
        <v>86</v>
      </c>
      <c r="E521" t="s">
        <v>22</v>
      </c>
      <c r="F521" t="s">
        <v>23</v>
      </c>
      <c r="G521">
        <v>127625.65</v>
      </c>
      <c r="H521">
        <v>105838.18</v>
      </c>
      <c r="I521">
        <v>21787.47</v>
      </c>
      <c r="J521">
        <v>106315.24</v>
      </c>
      <c r="K521">
        <v>17922.52</v>
      </c>
      <c r="L521">
        <v>121160.57</v>
      </c>
      <c r="M521">
        <v>995</v>
      </c>
      <c r="N521">
        <v>6.6E-3</v>
      </c>
      <c r="O521">
        <f t="shared" si="16"/>
        <v>0.17069999999999999</v>
      </c>
      <c r="P521">
        <f t="shared" si="17"/>
        <v>0.1479</v>
      </c>
      <c r="Q521" t="s">
        <v>24</v>
      </c>
      <c r="R521">
        <v>2025</v>
      </c>
      <c r="S521" t="s">
        <v>25</v>
      </c>
    </row>
    <row r="522" spans="1:19" x14ac:dyDescent="0.3">
      <c r="A522" t="s">
        <v>596</v>
      </c>
      <c r="B522">
        <v>44858</v>
      </c>
      <c r="C522" t="s">
        <v>1282</v>
      </c>
      <c r="D522" t="s">
        <v>69</v>
      </c>
      <c r="E522" t="s">
        <v>51</v>
      </c>
      <c r="F522" t="s">
        <v>23</v>
      </c>
      <c r="G522">
        <v>128608.92</v>
      </c>
      <c r="H522">
        <v>82741.759999999995</v>
      </c>
      <c r="I522">
        <v>45867.16</v>
      </c>
      <c r="J522">
        <v>8358.33</v>
      </c>
      <c r="K522">
        <v>22668.82</v>
      </c>
      <c r="L522">
        <v>87941.19</v>
      </c>
      <c r="M522">
        <v>1225</v>
      </c>
      <c r="N522">
        <v>2.9899999999999999E-2</v>
      </c>
      <c r="O522">
        <f t="shared" si="16"/>
        <v>0.35659999999999997</v>
      </c>
      <c r="P522">
        <f t="shared" si="17"/>
        <v>0.25779999999999997</v>
      </c>
      <c r="Q522" t="s">
        <v>46</v>
      </c>
      <c r="R522">
        <v>2022</v>
      </c>
      <c r="S522" t="s">
        <v>25</v>
      </c>
    </row>
    <row r="523" spans="1:19" x14ac:dyDescent="0.3">
      <c r="A523" t="s">
        <v>597</v>
      </c>
      <c r="B523">
        <v>44837</v>
      </c>
      <c r="C523" t="s">
        <v>20</v>
      </c>
      <c r="D523" t="s">
        <v>21</v>
      </c>
      <c r="E523" t="s">
        <v>38</v>
      </c>
      <c r="F523" t="s">
        <v>23</v>
      </c>
      <c r="G523">
        <v>112144.79</v>
      </c>
      <c r="H523">
        <v>89763.31</v>
      </c>
      <c r="I523">
        <v>22381.48</v>
      </c>
      <c r="J523">
        <v>31298.560000000001</v>
      </c>
      <c r="K523">
        <v>12805.92</v>
      </c>
      <c r="L523">
        <v>69743.95</v>
      </c>
      <c r="M523">
        <v>693</v>
      </c>
      <c r="N523">
        <v>-1.0699999999999999E-2</v>
      </c>
      <c r="O523">
        <f t="shared" si="16"/>
        <v>0.1996</v>
      </c>
      <c r="P523">
        <f t="shared" si="17"/>
        <v>0.18360000000000001</v>
      </c>
      <c r="Q523" t="s">
        <v>46</v>
      </c>
      <c r="R523">
        <v>2022</v>
      </c>
      <c r="S523" t="s">
        <v>25</v>
      </c>
    </row>
    <row r="524" spans="1:19" x14ac:dyDescent="0.3">
      <c r="A524" t="s">
        <v>598</v>
      </c>
      <c r="B524">
        <v>45156</v>
      </c>
      <c r="C524" t="s">
        <v>78</v>
      </c>
      <c r="D524" t="s">
        <v>79</v>
      </c>
      <c r="E524" t="s">
        <v>32</v>
      </c>
      <c r="F524" t="s">
        <v>23</v>
      </c>
      <c r="G524">
        <v>63836.143049999999</v>
      </c>
      <c r="H524">
        <v>38187.97</v>
      </c>
      <c r="I524">
        <v>25648.17</v>
      </c>
      <c r="J524">
        <v>47869.91</v>
      </c>
      <c r="K524">
        <v>12339.46</v>
      </c>
      <c r="L524">
        <v>150782.87</v>
      </c>
      <c r="M524">
        <v>1645</v>
      </c>
      <c r="N524">
        <v>-8.4599999999999995E-2</v>
      </c>
      <c r="O524">
        <f t="shared" si="16"/>
        <v>0.40179999999999999</v>
      </c>
      <c r="P524">
        <f t="shared" si="17"/>
        <v>8.1799999999999998E-2</v>
      </c>
      <c r="Q524" t="s">
        <v>56</v>
      </c>
      <c r="R524">
        <v>2023</v>
      </c>
      <c r="S524" t="s">
        <v>25</v>
      </c>
    </row>
    <row r="525" spans="1:19" x14ac:dyDescent="0.3">
      <c r="A525" t="s">
        <v>599</v>
      </c>
      <c r="B525">
        <v>44945</v>
      </c>
      <c r="C525" t="s">
        <v>85</v>
      </c>
      <c r="D525" t="s">
        <v>86</v>
      </c>
      <c r="E525" t="s">
        <v>38</v>
      </c>
      <c r="F525" t="s">
        <v>23</v>
      </c>
      <c r="G525">
        <v>96266.07</v>
      </c>
      <c r="H525">
        <v>57954.01</v>
      </c>
      <c r="I525">
        <v>38312.06</v>
      </c>
      <c r="J525">
        <v>4712.84</v>
      </c>
      <c r="K525">
        <v>6125.63</v>
      </c>
      <c r="L525">
        <v>35678.300000000003</v>
      </c>
      <c r="M525">
        <v>2153</v>
      </c>
      <c r="N525">
        <v>-1.5900000000000001E-2</v>
      </c>
      <c r="O525">
        <f t="shared" si="16"/>
        <v>0.39800000000000002</v>
      </c>
      <c r="P525">
        <f t="shared" si="17"/>
        <v>0.17169999999999999</v>
      </c>
      <c r="Q525" t="s">
        <v>118</v>
      </c>
      <c r="R525">
        <v>2023</v>
      </c>
      <c r="S525" t="s">
        <v>25</v>
      </c>
    </row>
    <row r="526" spans="1:19" x14ac:dyDescent="0.3">
      <c r="A526" t="s">
        <v>600</v>
      </c>
      <c r="B526">
        <v>45056</v>
      </c>
      <c r="C526" t="s">
        <v>61</v>
      </c>
      <c r="D526" t="s">
        <v>74</v>
      </c>
      <c r="E526" t="s">
        <v>22</v>
      </c>
      <c r="F526" t="s">
        <v>23</v>
      </c>
      <c r="G526">
        <v>58853.17</v>
      </c>
      <c r="H526">
        <v>37238.559999999998</v>
      </c>
      <c r="I526">
        <v>21614.61</v>
      </c>
      <c r="J526">
        <v>49139</v>
      </c>
      <c r="K526">
        <v>33778.959999999999</v>
      </c>
      <c r="L526">
        <v>125274.99</v>
      </c>
      <c r="M526">
        <v>681</v>
      </c>
      <c r="N526">
        <v>-0.2102</v>
      </c>
      <c r="O526">
        <f t="shared" si="16"/>
        <v>0.36730000000000002</v>
      </c>
      <c r="P526">
        <f t="shared" si="17"/>
        <v>0.26960000000000001</v>
      </c>
      <c r="Q526" t="s">
        <v>39</v>
      </c>
      <c r="R526">
        <v>2023</v>
      </c>
      <c r="S526" t="s">
        <v>25</v>
      </c>
    </row>
    <row r="527" spans="1:19" x14ac:dyDescent="0.3">
      <c r="A527" t="s">
        <v>601</v>
      </c>
      <c r="B527">
        <v>45974</v>
      </c>
      <c r="C527" t="s">
        <v>20</v>
      </c>
      <c r="D527" t="s">
        <v>21</v>
      </c>
      <c r="E527" t="s">
        <v>38</v>
      </c>
      <c r="F527" t="s">
        <v>23</v>
      </c>
      <c r="G527">
        <v>93026.32</v>
      </c>
      <c r="H527">
        <v>59867.07</v>
      </c>
      <c r="I527">
        <v>33159.25</v>
      </c>
      <c r="J527">
        <v>49464.959999999999</v>
      </c>
      <c r="K527">
        <v>24295.09</v>
      </c>
      <c r="L527">
        <v>99561.08</v>
      </c>
      <c r="M527">
        <v>997</v>
      </c>
      <c r="N527">
        <v>6.4100000000000004E-2</v>
      </c>
      <c r="O527">
        <f t="shared" si="16"/>
        <v>0.35649999999999998</v>
      </c>
      <c r="P527">
        <f t="shared" si="17"/>
        <v>0.24399999999999999</v>
      </c>
      <c r="Q527" t="s">
        <v>66</v>
      </c>
      <c r="R527">
        <v>2025</v>
      </c>
      <c r="S527" t="s">
        <v>25</v>
      </c>
    </row>
    <row r="528" spans="1:19" x14ac:dyDescent="0.3">
      <c r="A528" t="s">
        <v>602</v>
      </c>
      <c r="B528">
        <v>45193</v>
      </c>
      <c r="C528" t="s">
        <v>78</v>
      </c>
      <c r="D528" t="s">
        <v>79</v>
      </c>
      <c r="E528" t="s">
        <v>38</v>
      </c>
      <c r="F528" t="s">
        <v>23</v>
      </c>
      <c r="G528">
        <v>111386.53</v>
      </c>
      <c r="H528">
        <v>73608.210000000006</v>
      </c>
      <c r="I528">
        <v>37778.32</v>
      </c>
      <c r="J528">
        <v>68267.759999999995</v>
      </c>
      <c r="K528">
        <v>13050.16</v>
      </c>
      <c r="L528">
        <v>124045.95</v>
      </c>
      <c r="M528">
        <v>1297</v>
      </c>
      <c r="N528">
        <v>2.18E-2</v>
      </c>
      <c r="O528">
        <f t="shared" si="16"/>
        <v>0.3392</v>
      </c>
      <c r="P528">
        <f t="shared" si="17"/>
        <v>0.1052</v>
      </c>
      <c r="Q528" t="s">
        <v>56</v>
      </c>
      <c r="R528">
        <v>2023</v>
      </c>
      <c r="S528" t="s">
        <v>25</v>
      </c>
    </row>
    <row r="529" spans="1:19" x14ac:dyDescent="0.3">
      <c r="A529" t="s">
        <v>603</v>
      </c>
      <c r="B529">
        <v>45546</v>
      </c>
      <c r="C529" t="s">
        <v>42</v>
      </c>
      <c r="D529" t="s">
        <v>43</v>
      </c>
      <c r="E529" t="s">
        <v>22</v>
      </c>
      <c r="F529" t="s">
        <v>23</v>
      </c>
      <c r="G529">
        <v>225269.67</v>
      </c>
      <c r="H529">
        <v>143635.35</v>
      </c>
      <c r="I529">
        <v>81634.320000000007</v>
      </c>
      <c r="J529">
        <v>18316.080000000002</v>
      </c>
      <c r="K529">
        <v>29092.59</v>
      </c>
      <c r="L529">
        <v>71792.03</v>
      </c>
      <c r="M529">
        <v>714</v>
      </c>
      <c r="N529">
        <v>-3.5000000000000001E-3</v>
      </c>
      <c r="O529">
        <f t="shared" si="16"/>
        <v>0.3624</v>
      </c>
      <c r="P529">
        <f t="shared" si="17"/>
        <v>0.4052</v>
      </c>
      <c r="Q529" t="s">
        <v>72</v>
      </c>
      <c r="R529">
        <v>2024</v>
      </c>
      <c r="S529" t="s">
        <v>40</v>
      </c>
    </row>
    <row r="530" spans="1:19" x14ac:dyDescent="0.3">
      <c r="A530" t="s">
        <v>604</v>
      </c>
      <c r="B530">
        <v>45103</v>
      </c>
      <c r="C530" t="s">
        <v>48</v>
      </c>
      <c r="D530" t="s">
        <v>49</v>
      </c>
      <c r="E530" t="s">
        <v>38</v>
      </c>
      <c r="F530" t="s">
        <v>23</v>
      </c>
      <c r="G530">
        <v>111909.85</v>
      </c>
      <c r="H530">
        <v>69987.25</v>
      </c>
      <c r="I530">
        <v>41922.6</v>
      </c>
      <c r="J530">
        <v>20611.07</v>
      </c>
      <c r="K530">
        <v>19384.96</v>
      </c>
      <c r="L530">
        <v>70598.23</v>
      </c>
      <c r="M530">
        <v>465</v>
      </c>
      <c r="N530">
        <v>-0.12590000000000001</v>
      </c>
      <c r="O530">
        <f t="shared" si="16"/>
        <v>0.37459999999999999</v>
      </c>
      <c r="P530">
        <f t="shared" si="17"/>
        <v>0.27460000000000001</v>
      </c>
      <c r="Q530" t="s">
        <v>39</v>
      </c>
      <c r="R530">
        <v>2023</v>
      </c>
      <c r="S530" t="s">
        <v>25</v>
      </c>
    </row>
    <row r="531" spans="1:19" x14ac:dyDescent="0.3">
      <c r="A531" t="s">
        <v>605</v>
      </c>
      <c r="B531">
        <v>45726</v>
      </c>
      <c r="C531" t="s">
        <v>42</v>
      </c>
      <c r="D531" t="s">
        <v>43</v>
      </c>
      <c r="E531" t="s">
        <v>32</v>
      </c>
      <c r="F531" t="s">
        <v>23</v>
      </c>
      <c r="G531">
        <v>108904.07584999999</v>
      </c>
      <c r="H531">
        <v>89210.57</v>
      </c>
      <c r="I531">
        <v>19693.509999999998</v>
      </c>
      <c r="J531">
        <v>19866.650000000001</v>
      </c>
      <c r="K531">
        <v>17826.59</v>
      </c>
      <c r="L531">
        <v>141483.20000000001</v>
      </c>
      <c r="M531">
        <v>832</v>
      </c>
      <c r="N531">
        <v>-0.1351</v>
      </c>
      <c r="O531">
        <f t="shared" si="16"/>
        <v>0.18079999999999999</v>
      </c>
      <c r="P531">
        <f t="shared" si="17"/>
        <v>0.126</v>
      </c>
      <c r="Q531" t="s">
        <v>106</v>
      </c>
      <c r="R531">
        <v>2025</v>
      </c>
      <c r="S531" t="s">
        <v>25</v>
      </c>
    </row>
    <row r="532" spans="1:19" x14ac:dyDescent="0.3">
      <c r="A532" t="s">
        <v>606</v>
      </c>
      <c r="B532">
        <v>45329</v>
      </c>
      <c r="C532" t="s">
        <v>61</v>
      </c>
      <c r="D532" t="s">
        <v>74</v>
      </c>
      <c r="E532" t="s">
        <v>22</v>
      </c>
      <c r="F532" t="s">
        <v>23</v>
      </c>
      <c r="G532">
        <v>73140.97</v>
      </c>
      <c r="H532">
        <v>43686.400000000001</v>
      </c>
      <c r="I532">
        <v>29454.57</v>
      </c>
      <c r="J532">
        <v>104403.12</v>
      </c>
      <c r="K532">
        <v>6943.3</v>
      </c>
      <c r="L532">
        <v>205294.84</v>
      </c>
      <c r="M532">
        <v>938</v>
      </c>
      <c r="N532">
        <v>-1.54E-2</v>
      </c>
      <c r="O532">
        <f t="shared" si="16"/>
        <v>0.4027</v>
      </c>
      <c r="P532">
        <f t="shared" si="17"/>
        <v>3.3799999999999997E-2</v>
      </c>
      <c r="Q532" t="s">
        <v>80</v>
      </c>
      <c r="R532">
        <v>2024</v>
      </c>
      <c r="S532" t="s">
        <v>25</v>
      </c>
    </row>
    <row r="533" spans="1:19" x14ac:dyDescent="0.3">
      <c r="A533" t="s">
        <v>607</v>
      </c>
      <c r="B533">
        <v>45372</v>
      </c>
      <c r="C533" t="s">
        <v>102</v>
      </c>
      <c r="D533" t="s">
        <v>103</v>
      </c>
      <c r="E533" t="s">
        <v>32</v>
      </c>
      <c r="F533" t="s">
        <v>23</v>
      </c>
      <c r="G533">
        <v>148182.63675000001</v>
      </c>
      <c r="H533">
        <v>126108.64</v>
      </c>
      <c r="I533">
        <v>22074</v>
      </c>
      <c r="J533">
        <v>31664.28</v>
      </c>
      <c r="K533">
        <v>14094.42</v>
      </c>
      <c r="L533">
        <v>160029.01</v>
      </c>
      <c r="M533">
        <v>783</v>
      </c>
      <c r="N533">
        <v>1.61E-2</v>
      </c>
      <c r="O533">
        <f t="shared" si="16"/>
        <v>0.14899999999999999</v>
      </c>
      <c r="P533">
        <f t="shared" si="17"/>
        <v>8.8099999999999998E-2</v>
      </c>
      <c r="Q533" t="s">
        <v>80</v>
      </c>
      <c r="R533">
        <v>2024</v>
      </c>
      <c r="S533" t="s">
        <v>25</v>
      </c>
    </row>
    <row r="534" spans="1:19" x14ac:dyDescent="0.3">
      <c r="A534" t="s">
        <v>608</v>
      </c>
      <c r="B534">
        <v>45052</v>
      </c>
      <c r="C534" t="s">
        <v>36</v>
      </c>
      <c r="D534" t="s">
        <v>37</v>
      </c>
      <c r="E534" t="s">
        <v>22</v>
      </c>
      <c r="F534" t="s">
        <v>23</v>
      </c>
      <c r="G534">
        <v>41389.379999999997</v>
      </c>
      <c r="H534">
        <v>30513.77</v>
      </c>
      <c r="I534">
        <v>10875.61</v>
      </c>
      <c r="J534">
        <v>73417.100000000006</v>
      </c>
      <c r="K534">
        <v>85268.13</v>
      </c>
      <c r="L534">
        <v>114187.82</v>
      </c>
      <c r="M534">
        <v>920</v>
      </c>
      <c r="N534">
        <v>-1.32E-2</v>
      </c>
      <c r="O534">
        <f t="shared" si="16"/>
        <v>0.26279999999999998</v>
      </c>
      <c r="P534">
        <f t="shared" si="17"/>
        <v>0.74670000000000003</v>
      </c>
      <c r="Q534" t="s">
        <v>39</v>
      </c>
      <c r="R534">
        <v>2023</v>
      </c>
      <c r="S534" t="s">
        <v>82</v>
      </c>
    </row>
    <row r="535" spans="1:19" x14ac:dyDescent="0.3">
      <c r="A535" t="s">
        <v>609</v>
      </c>
      <c r="B535">
        <v>45243</v>
      </c>
      <c r="C535" t="s">
        <v>30</v>
      </c>
      <c r="D535" t="s">
        <v>31</v>
      </c>
      <c r="E535" t="s">
        <v>32</v>
      </c>
      <c r="F535" t="s">
        <v>23</v>
      </c>
      <c r="G535">
        <v>143878.43290000001</v>
      </c>
      <c r="H535">
        <v>86879.75</v>
      </c>
      <c r="I535">
        <v>56998.68</v>
      </c>
      <c r="J535">
        <v>68058.36</v>
      </c>
      <c r="K535">
        <v>23039.66</v>
      </c>
      <c r="L535">
        <v>175134.51</v>
      </c>
      <c r="M535">
        <v>881</v>
      </c>
      <c r="N535">
        <v>2.2599999999999999E-2</v>
      </c>
      <c r="O535">
        <f t="shared" si="16"/>
        <v>0.3962</v>
      </c>
      <c r="P535">
        <f t="shared" si="17"/>
        <v>0.13159999999999999</v>
      </c>
      <c r="Q535" t="s">
        <v>44</v>
      </c>
      <c r="R535">
        <v>2023</v>
      </c>
      <c r="S535" t="s">
        <v>25</v>
      </c>
    </row>
    <row r="536" spans="1:19" x14ac:dyDescent="0.3">
      <c r="A536" t="s">
        <v>610</v>
      </c>
      <c r="B536">
        <v>44667</v>
      </c>
      <c r="C536" t="s">
        <v>36</v>
      </c>
      <c r="D536" t="s">
        <v>37</v>
      </c>
      <c r="E536" t="s">
        <v>32</v>
      </c>
      <c r="F536" t="s">
        <v>23</v>
      </c>
      <c r="G536">
        <v>170731.95759999999</v>
      </c>
      <c r="H536">
        <v>120158.12</v>
      </c>
      <c r="I536">
        <v>50573.84</v>
      </c>
      <c r="J536">
        <v>50672.04</v>
      </c>
      <c r="K536">
        <v>49786.54</v>
      </c>
      <c r="L536">
        <v>101642.09</v>
      </c>
      <c r="M536">
        <v>686</v>
      </c>
      <c r="N536">
        <v>0.15609999999999999</v>
      </c>
      <c r="O536">
        <f t="shared" si="16"/>
        <v>0.29620000000000002</v>
      </c>
      <c r="P536">
        <f t="shared" si="17"/>
        <v>0.48980000000000001</v>
      </c>
      <c r="Q536" t="s">
        <v>58</v>
      </c>
      <c r="R536">
        <v>2022</v>
      </c>
      <c r="S536" t="s">
        <v>40</v>
      </c>
    </row>
    <row r="537" spans="1:19" x14ac:dyDescent="0.3">
      <c r="A537" t="s">
        <v>611</v>
      </c>
      <c r="B537">
        <v>44678</v>
      </c>
      <c r="C537" t="s">
        <v>54</v>
      </c>
      <c r="D537" t="s">
        <v>55</v>
      </c>
      <c r="E537" t="s">
        <v>22</v>
      </c>
      <c r="F537" t="s">
        <v>23</v>
      </c>
      <c r="G537">
        <v>28224.54</v>
      </c>
      <c r="H537">
        <v>25921.1</v>
      </c>
      <c r="I537">
        <v>2303.44</v>
      </c>
      <c r="J537">
        <v>82484.88</v>
      </c>
      <c r="K537">
        <v>5356.84</v>
      </c>
      <c r="L537">
        <v>89641.23</v>
      </c>
      <c r="M537">
        <v>1295</v>
      </c>
      <c r="N537">
        <v>1.9599999999999999E-2</v>
      </c>
      <c r="O537">
        <f t="shared" si="16"/>
        <v>8.1600000000000006E-2</v>
      </c>
      <c r="P537">
        <f t="shared" si="17"/>
        <v>5.9799999999999999E-2</v>
      </c>
      <c r="Q537" t="s">
        <v>58</v>
      </c>
      <c r="R537">
        <v>2022</v>
      </c>
      <c r="S537" t="s">
        <v>25</v>
      </c>
    </row>
    <row r="538" spans="1:19" x14ac:dyDescent="0.3">
      <c r="A538" t="s">
        <v>612</v>
      </c>
      <c r="B538">
        <v>45801</v>
      </c>
      <c r="C538" t="s">
        <v>1282</v>
      </c>
      <c r="D538" t="s">
        <v>69</v>
      </c>
      <c r="E538" t="s">
        <v>32</v>
      </c>
      <c r="F538" t="s">
        <v>23</v>
      </c>
      <c r="G538">
        <v>233925.24039999998</v>
      </c>
      <c r="H538">
        <v>182212.87</v>
      </c>
      <c r="I538">
        <v>51712.37</v>
      </c>
      <c r="J538">
        <v>60495.61</v>
      </c>
      <c r="K538">
        <v>53455.63</v>
      </c>
      <c r="L538">
        <v>106962.29</v>
      </c>
      <c r="M538">
        <v>553</v>
      </c>
      <c r="N538">
        <v>-0.2155</v>
      </c>
      <c r="O538">
        <f t="shared" si="16"/>
        <v>0.22109999999999999</v>
      </c>
      <c r="P538">
        <f t="shared" si="17"/>
        <v>0.49980000000000002</v>
      </c>
      <c r="Q538" t="s">
        <v>34</v>
      </c>
      <c r="R538">
        <v>2025</v>
      </c>
      <c r="S538" t="s">
        <v>40</v>
      </c>
    </row>
    <row r="539" spans="1:19" x14ac:dyDescent="0.3">
      <c r="A539" t="s">
        <v>613</v>
      </c>
      <c r="B539">
        <v>45863</v>
      </c>
      <c r="C539" t="s">
        <v>36</v>
      </c>
      <c r="D539" t="s">
        <v>37</v>
      </c>
      <c r="E539" t="s">
        <v>22</v>
      </c>
      <c r="F539" t="s">
        <v>23</v>
      </c>
      <c r="G539">
        <v>68445.2</v>
      </c>
      <c r="H539">
        <v>41429.29</v>
      </c>
      <c r="I539">
        <v>27015.91</v>
      </c>
      <c r="J539">
        <v>63172.37</v>
      </c>
      <c r="K539">
        <v>25373.8</v>
      </c>
      <c r="L539">
        <v>169180.15</v>
      </c>
      <c r="M539">
        <v>695</v>
      </c>
      <c r="N539">
        <v>-5.8400000000000001E-2</v>
      </c>
      <c r="O539">
        <f t="shared" si="16"/>
        <v>0.3947</v>
      </c>
      <c r="P539">
        <f t="shared" si="17"/>
        <v>0.15</v>
      </c>
      <c r="Q539" t="s">
        <v>24</v>
      </c>
      <c r="R539">
        <v>2025</v>
      </c>
      <c r="S539" t="s">
        <v>25</v>
      </c>
    </row>
    <row r="540" spans="1:19" x14ac:dyDescent="0.3">
      <c r="A540" t="s">
        <v>614</v>
      </c>
      <c r="B540">
        <v>45459</v>
      </c>
      <c r="C540" t="s">
        <v>78</v>
      </c>
      <c r="D540" t="s">
        <v>79</v>
      </c>
      <c r="E540" t="s">
        <v>38</v>
      </c>
      <c r="F540" t="s">
        <v>23</v>
      </c>
      <c r="G540">
        <v>59261.73</v>
      </c>
      <c r="H540">
        <v>51345.02</v>
      </c>
      <c r="I540">
        <v>7916.71</v>
      </c>
      <c r="J540">
        <v>31050.94</v>
      </c>
      <c r="K540">
        <v>77875.259999999995</v>
      </c>
      <c r="L540">
        <v>51518.63</v>
      </c>
      <c r="M540">
        <v>700</v>
      </c>
      <c r="N540">
        <v>0.13700000000000001</v>
      </c>
      <c r="O540">
        <f t="shared" si="16"/>
        <v>0.1336</v>
      </c>
      <c r="P540">
        <f t="shared" si="17"/>
        <v>1.5116000000000001</v>
      </c>
      <c r="Q540" t="s">
        <v>111</v>
      </c>
      <c r="R540">
        <v>2024</v>
      </c>
      <c r="S540" t="s">
        <v>82</v>
      </c>
    </row>
    <row r="541" spans="1:19" x14ac:dyDescent="0.3">
      <c r="A541" t="s">
        <v>615</v>
      </c>
      <c r="B541">
        <v>44694</v>
      </c>
      <c r="C541" t="s">
        <v>78</v>
      </c>
      <c r="D541" t="s">
        <v>79</v>
      </c>
      <c r="E541" t="s">
        <v>38</v>
      </c>
      <c r="F541" t="s">
        <v>23</v>
      </c>
      <c r="G541">
        <v>99146.93</v>
      </c>
      <c r="H541">
        <v>54709.4</v>
      </c>
      <c r="I541">
        <v>44437.53</v>
      </c>
      <c r="J541">
        <v>32398.79</v>
      </c>
      <c r="K541">
        <v>13350.2</v>
      </c>
      <c r="L541">
        <v>84265.24</v>
      </c>
      <c r="M541">
        <v>733</v>
      </c>
      <c r="N541">
        <v>1.06E-2</v>
      </c>
      <c r="O541">
        <f t="shared" si="16"/>
        <v>0.44819999999999999</v>
      </c>
      <c r="P541">
        <f t="shared" si="17"/>
        <v>0.15840000000000001</v>
      </c>
      <c r="Q541" t="s">
        <v>58</v>
      </c>
      <c r="R541">
        <v>2022</v>
      </c>
      <c r="S541" t="s">
        <v>25</v>
      </c>
    </row>
    <row r="542" spans="1:19" x14ac:dyDescent="0.3">
      <c r="A542" t="s">
        <v>616</v>
      </c>
      <c r="B542">
        <v>44917</v>
      </c>
      <c r="C542" t="s">
        <v>102</v>
      </c>
      <c r="D542" t="s">
        <v>103</v>
      </c>
      <c r="E542" t="s">
        <v>32</v>
      </c>
      <c r="F542" t="s">
        <v>23</v>
      </c>
      <c r="G542">
        <v>108446.08730000001</v>
      </c>
      <c r="H542">
        <v>61312.94</v>
      </c>
      <c r="I542">
        <v>47133.15</v>
      </c>
      <c r="J542">
        <v>76653.100000000006</v>
      </c>
      <c r="K542">
        <v>16242.88</v>
      </c>
      <c r="L542">
        <v>132632.19</v>
      </c>
      <c r="M542">
        <v>558</v>
      </c>
      <c r="N542">
        <v>8.9899999999999994E-2</v>
      </c>
      <c r="O542">
        <f t="shared" si="16"/>
        <v>0.43459999999999999</v>
      </c>
      <c r="P542">
        <f t="shared" si="17"/>
        <v>0.1225</v>
      </c>
      <c r="Q542" t="s">
        <v>46</v>
      </c>
      <c r="R542">
        <v>2022</v>
      </c>
      <c r="S542" t="s">
        <v>25</v>
      </c>
    </row>
    <row r="543" spans="1:19" x14ac:dyDescent="0.3">
      <c r="A543" t="s">
        <v>617</v>
      </c>
      <c r="B543">
        <v>44727</v>
      </c>
      <c r="C543" t="s">
        <v>102</v>
      </c>
      <c r="D543" t="s">
        <v>103</v>
      </c>
      <c r="E543" t="s">
        <v>38</v>
      </c>
      <c r="F543" t="s">
        <v>23</v>
      </c>
      <c r="G543">
        <v>61219.97</v>
      </c>
      <c r="H543">
        <v>55875.26</v>
      </c>
      <c r="I543">
        <v>5344.71</v>
      </c>
      <c r="J543">
        <v>69200.3</v>
      </c>
      <c r="K543">
        <v>74613.33</v>
      </c>
      <c r="L543">
        <v>177553.61</v>
      </c>
      <c r="M543">
        <v>1280</v>
      </c>
      <c r="N543">
        <v>2.9700000000000001E-2</v>
      </c>
      <c r="O543">
        <f t="shared" si="16"/>
        <v>8.7300000000000003E-2</v>
      </c>
      <c r="P543">
        <f t="shared" si="17"/>
        <v>0.42020000000000002</v>
      </c>
      <c r="Q543" t="s">
        <v>58</v>
      </c>
      <c r="R543">
        <v>2022</v>
      </c>
      <c r="S543" t="s">
        <v>40</v>
      </c>
    </row>
    <row r="544" spans="1:19" x14ac:dyDescent="0.3">
      <c r="A544" t="s">
        <v>618</v>
      </c>
      <c r="B544">
        <v>45322</v>
      </c>
      <c r="C544" t="s">
        <v>85</v>
      </c>
      <c r="D544" t="s">
        <v>86</v>
      </c>
      <c r="E544" t="s">
        <v>22</v>
      </c>
      <c r="F544" t="s">
        <v>23</v>
      </c>
      <c r="G544">
        <v>76229.56</v>
      </c>
      <c r="H544">
        <v>42973.04</v>
      </c>
      <c r="I544">
        <v>33256.519999999997</v>
      </c>
      <c r="J544">
        <v>14811.11</v>
      </c>
      <c r="K544">
        <v>32543.03</v>
      </c>
      <c r="L544">
        <v>53599.96</v>
      </c>
      <c r="M544">
        <v>552</v>
      </c>
      <c r="N544">
        <v>0.1066</v>
      </c>
      <c r="O544">
        <f t="shared" si="16"/>
        <v>0.43630000000000002</v>
      </c>
      <c r="P544">
        <f t="shared" si="17"/>
        <v>0.60709999999999997</v>
      </c>
      <c r="Q544" t="s">
        <v>80</v>
      </c>
      <c r="R544">
        <v>2024</v>
      </c>
      <c r="S544" t="s">
        <v>82</v>
      </c>
    </row>
    <row r="545" spans="1:19" x14ac:dyDescent="0.3">
      <c r="A545" t="s">
        <v>619</v>
      </c>
      <c r="B545">
        <v>45523</v>
      </c>
      <c r="C545" t="s">
        <v>30</v>
      </c>
      <c r="D545" t="s">
        <v>31</v>
      </c>
      <c r="E545" t="s">
        <v>32</v>
      </c>
      <c r="F545" t="s">
        <v>23</v>
      </c>
      <c r="G545">
        <v>105672.42</v>
      </c>
      <c r="H545">
        <v>91359</v>
      </c>
      <c r="I545">
        <v>14313.42</v>
      </c>
      <c r="J545">
        <v>22279.46</v>
      </c>
      <c r="K545">
        <v>28710.63</v>
      </c>
      <c r="L545">
        <v>80475.94</v>
      </c>
      <c r="M545">
        <v>2630</v>
      </c>
      <c r="N545">
        <v>9.8799999999999999E-2</v>
      </c>
      <c r="O545">
        <f t="shared" si="16"/>
        <v>0.13550000000000001</v>
      </c>
      <c r="P545">
        <f t="shared" si="17"/>
        <v>0.35680000000000001</v>
      </c>
      <c r="Q545" t="s">
        <v>72</v>
      </c>
      <c r="R545">
        <v>2024</v>
      </c>
      <c r="S545" t="s">
        <v>40</v>
      </c>
    </row>
    <row r="546" spans="1:19" x14ac:dyDescent="0.3">
      <c r="A546" t="s">
        <v>620</v>
      </c>
      <c r="B546">
        <v>44592</v>
      </c>
      <c r="C546" t="s">
        <v>27</v>
      </c>
      <c r="D546" t="s">
        <v>28</v>
      </c>
      <c r="E546" t="s">
        <v>51</v>
      </c>
      <c r="F546" t="s">
        <v>23</v>
      </c>
      <c r="G546">
        <v>24182.560000000001</v>
      </c>
      <c r="H546">
        <v>19575.89</v>
      </c>
      <c r="I546">
        <v>4606.67</v>
      </c>
      <c r="J546">
        <v>33287.599999999999</v>
      </c>
      <c r="K546">
        <v>7014.25</v>
      </c>
      <c r="L546">
        <v>165333.1</v>
      </c>
      <c r="M546">
        <v>1319</v>
      </c>
      <c r="N546">
        <v>5.3100000000000001E-2</v>
      </c>
      <c r="O546">
        <f t="shared" si="16"/>
        <v>0.1905</v>
      </c>
      <c r="P546">
        <f t="shared" si="17"/>
        <v>4.24E-2</v>
      </c>
      <c r="Q546" t="s">
        <v>90</v>
      </c>
      <c r="R546">
        <v>2022</v>
      </c>
      <c r="S546" t="s">
        <v>25</v>
      </c>
    </row>
    <row r="547" spans="1:19" x14ac:dyDescent="0.3">
      <c r="A547" t="s">
        <v>621</v>
      </c>
      <c r="B547">
        <v>45971</v>
      </c>
      <c r="C547" t="s">
        <v>42</v>
      </c>
      <c r="D547" t="s">
        <v>43</v>
      </c>
      <c r="E547" t="s">
        <v>22</v>
      </c>
      <c r="F547" t="s">
        <v>23</v>
      </c>
      <c r="G547">
        <v>45698.720000000001</v>
      </c>
      <c r="H547">
        <v>30603.24</v>
      </c>
      <c r="I547">
        <v>15095.48</v>
      </c>
      <c r="J547">
        <v>52257.95</v>
      </c>
      <c r="K547">
        <v>30361.9</v>
      </c>
      <c r="L547">
        <v>213551.91</v>
      </c>
      <c r="M547">
        <v>764</v>
      </c>
      <c r="N547">
        <v>4.3700000000000003E-2</v>
      </c>
      <c r="O547">
        <f t="shared" si="16"/>
        <v>0.33029999999999998</v>
      </c>
      <c r="P547">
        <f t="shared" si="17"/>
        <v>0.14219999999999999</v>
      </c>
      <c r="Q547" t="s">
        <v>66</v>
      </c>
      <c r="R547">
        <v>2025</v>
      </c>
      <c r="S547" t="s">
        <v>25</v>
      </c>
    </row>
    <row r="548" spans="1:19" x14ac:dyDescent="0.3">
      <c r="A548" t="s">
        <v>622</v>
      </c>
      <c r="B548">
        <v>45876</v>
      </c>
      <c r="C548" t="s">
        <v>78</v>
      </c>
      <c r="D548" t="s">
        <v>79</v>
      </c>
      <c r="E548" t="s">
        <v>38</v>
      </c>
      <c r="F548" t="s">
        <v>23</v>
      </c>
      <c r="G548">
        <v>43736</v>
      </c>
      <c r="H548">
        <v>34198.410000000003</v>
      </c>
      <c r="I548">
        <v>9537.59</v>
      </c>
      <c r="J548">
        <v>33651.26</v>
      </c>
      <c r="K548">
        <v>49745.1</v>
      </c>
      <c r="L548">
        <v>71136.45</v>
      </c>
      <c r="M548">
        <v>222</v>
      </c>
      <c r="N548">
        <v>1.9599999999999999E-2</v>
      </c>
      <c r="O548">
        <f t="shared" si="16"/>
        <v>0.21809999999999999</v>
      </c>
      <c r="P548">
        <f t="shared" si="17"/>
        <v>0.69930000000000003</v>
      </c>
      <c r="Q548" t="s">
        <v>24</v>
      </c>
      <c r="R548">
        <v>2025</v>
      </c>
      <c r="S548" t="s">
        <v>82</v>
      </c>
    </row>
    <row r="549" spans="1:19" x14ac:dyDescent="0.3">
      <c r="A549" t="s">
        <v>623</v>
      </c>
      <c r="B549">
        <v>44777</v>
      </c>
      <c r="C549" t="s">
        <v>85</v>
      </c>
      <c r="D549" t="s">
        <v>86</v>
      </c>
      <c r="E549" t="s">
        <v>22</v>
      </c>
      <c r="F549" t="s">
        <v>23</v>
      </c>
      <c r="G549">
        <v>268140.57</v>
      </c>
      <c r="H549">
        <v>156354.12</v>
      </c>
      <c r="I549">
        <v>111786.45</v>
      </c>
      <c r="J549">
        <v>135865.1</v>
      </c>
      <c r="K549">
        <v>65065.31</v>
      </c>
      <c r="L549">
        <v>185269.24</v>
      </c>
      <c r="M549">
        <v>807</v>
      </c>
      <c r="N549">
        <v>-2.0500000000000001E-2</v>
      </c>
      <c r="O549">
        <f t="shared" si="16"/>
        <v>0.41689999999999999</v>
      </c>
      <c r="P549">
        <f t="shared" si="17"/>
        <v>0.35120000000000001</v>
      </c>
      <c r="Q549" t="s">
        <v>76</v>
      </c>
      <c r="R549">
        <v>2022</v>
      </c>
      <c r="S549" t="s">
        <v>40</v>
      </c>
    </row>
    <row r="550" spans="1:19" x14ac:dyDescent="0.3">
      <c r="A550" t="s">
        <v>624</v>
      </c>
      <c r="B550">
        <v>45032</v>
      </c>
      <c r="C550" t="s">
        <v>36</v>
      </c>
      <c r="D550" t="s">
        <v>37</v>
      </c>
      <c r="E550" t="s">
        <v>38</v>
      </c>
      <c r="F550" t="s">
        <v>23</v>
      </c>
      <c r="G550">
        <v>86072.92</v>
      </c>
      <c r="H550">
        <v>58679.77</v>
      </c>
      <c r="I550">
        <v>27393.15</v>
      </c>
      <c r="J550">
        <v>18613.05</v>
      </c>
      <c r="K550">
        <v>15798.37</v>
      </c>
      <c r="L550">
        <v>121504.27</v>
      </c>
      <c r="M550">
        <v>506</v>
      </c>
      <c r="N550">
        <v>6.0199999999999997E-2</v>
      </c>
      <c r="O550">
        <f t="shared" si="16"/>
        <v>0.31830000000000003</v>
      </c>
      <c r="P550">
        <f t="shared" si="17"/>
        <v>0.13</v>
      </c>
      <c r="Q550" t="s">
        <v>39</v>
      </c>
      <c r="R550">
        <v>2023</v>
      </c>
      <c r="S550" t="s">
        <v>25</v>
      </c>
    </row>
    <row r="551" spans="1:19" x14ac:dyDescent="0.3">
      <c r="A551" t="s">
        <v>625</v>
      </c>
      <c r="B551">
        <v>45539</v>
      </c>
      <c r="C551" t="s">
        <v>78</v>
      </c>
      <c r="D551" t="s">
        <v>79</v>
      </c>
      <c r="E551" t="s">
        <v>22</v>
      </c>
      <c r="F551" t="s">
        <v>23</v>
      </c>
      <c r="G551">
        <v>38315.949999999997</v>
      </c>
      <c r="H551">
        <v>27134.99</v>
      </c>
      <c r="I551">
        <v>11180.96</v>
      </c>
      <c r="J551">
        <v>39131.53</v>
      </c>
      <c r="K551">
        <v>40032.620000000003</v>
      </c>
      <c r="L551">
        <v>70996.539999999994</v>
      </c>
      <c r="M551">
        <v>748</v>
      </c>
      <c r="N551">
        <v>2.9899999999999999E-2</v>
      </c>
      <c r="O551">
        <f t="shared" si="16"/>
        <v>0.2918</v>
      </c>
      <c r="P551">
        <f t="shared" si="17"/>
        <v>0.56389999999999996</v>
      </c>
      <c r="Q551" t="s">
        <v>72</v>
      </c>
      <c r="R551">
        <v>2024</v>
      </c>
      <c r="S551" t="s">
        <v>40</v>
      </c>
    </row>
    <row r="552" spans="1:19" x14ac:dyDescent="0.3">
      <c r="A552" t="s">
        <v>626</v>
      </c>
      <c r="B552">
        <v>44962</v>
      </c>
      <c r="C552" t="s">
        <v>48</v>
      </c>
      <c r="D552" t="s">
        <v>49</v>
      </c>
      <c r="E552" t="s">
        <v>38</v>
      </c>
      <c r="F552" t="s">
        <v>23</v>
      </c>
      <c r="G552">
        <v>17340.27</v>
      </c>
      <c r="H552">
        <v>11838.71</v>
      </c>
      <c r="I552">
        <v>5501.56</v>
      </c>
      <c r="J552">
        <v>24714.81</v>
      </c>
      <c r="K552">
        <v>195610.6</v>
      </c>
      <c r="L552">
        <v>138832.56</v>
      </c>
      <c r="M552">
        <v>687</v>
      </c>
      <c r="N552">
        <v>9.3100000000000002E-2</v>
      </c>
      <c r="O552">
        <f t="shared" si="16"/>
        <v>0.31730000000000003</v>
      </c>
      <c r="P552">
        <f t="shared" si="17"/>
        <v>1.409</v>
      </c>
      <c r="Q552" t="s">
        <v>118</v>
      </c>
      <c r="R552">
        <v>2023</v>
      </c>
      <c r="S552" t="s">
        <v>82</v>
      </c>
    </row>
    <row r="553" spans="1:19" x14ac:dyDescent="0.3">
      <c r="A553" t="s">
        <v>627</v>
      </c>
      <c r="B553">
        <v>45362</v>
      </c>
      <c r="C553" t="s">
        <v>1282</v>
      </c>
      <c r="D553" t="s">
        <v>69</v>
      </c>
      <c r="E553" t="s">
        <v>32</v>
      </c>
      <c r="F553" t="s">
        <v>23</v>
      </c>
      <c r="G553">
        <v>67169.192250000007</v>
      </c>
      <c r="H553">
        <v>45226.42</v>
      </c>
      <c r="I553">
        <v>21942.77</v>
      </c>
      <c r="J553">
        <v>85148.68</v>
      </c>
      <c r="K553">
        <v>279170.74</v>
      </c>
      <c r="L553">
        <v>139661.79999999999</v>
      </c>
      <c r="M553">
        <v>1247</v>
      </c>
      <c r="N553">
        <v>-3.8800000000000001E-2</v>
      </c>
      <c r="O553">
        <f t="shared" si="16"/>
        <v>0.32669999999999999</v>
      </c>
      <c r="P553">
        <f t="shared" si="17"/>
        <v>1.9988999999999999</v>
      </c>
      <c r="Q553" t="s">
        <v>80</v>
      </c>
      <c r="R553">
        <v>2024</v>
      </c>
      <c r="S553" t="s">
        <v>82</v>
      </c>
    </row>
    <row r="554" spans="1:19" x14ac:dyDescent="0.3">
      <c r="A554" t="s">
        <v>628</v>
      </c>
      <c r="B554">
        <v>45482</v>
      </c>
      <c r="C554" t="s">
        <v>27</v>
      </c>
      <c r="D554" t="s">
        <v>28</v>
      </c>
      <c r="E554" t="s">
        <v>32</v>
      </c>
      <c r="F554" t="s">
        <v>23</v>
      </c>
      <c r="G554">
        <v>70457.265850000011</v>
      </c>
      <c r="H554">
        <v>63498.48</v>
      </c>
      <c r="I554">
        <v>6958.78</v>
      </c>
      <c r="J554">
        <v>28438.240000000002</v>
      </c>
      <c r="K554">
        <v>15181.04</v>
      </c>
      <c r="L554">
        <v>74833.8</v>
      </c>
      <c r="M554">
        <v>383</v>
      </c>
      <c r="N554">
        <v>-1.89E-2</v>
      </c>
      <c r="O554">
        <f t="shared" si="16"/>
        <v>9.8799999999999999E-2</v>
      </c>
      <c r="P554">
        <f t="shared" si="17"/>
        <v>0.2029</v>
      </c>
      <c r="Q554" t="s">
        <v>72</v>
      </c>
      <c r="R554">
        <v>2024</v>
      </c>
      <c r="S554" t="s">
        <v>25</v>
      </c>
    </row>
    <row r="555" spans="1:19" x14ac:dyDescent="0.3">
      <c r="A555" t="s">
        <v>629</v>
      </c>
      <c r="B555">
        <v>45579</v>
      </c>
      <c r="C555" t="s">
        <v>20</v>
      </c>
      <c r="D555" t="s">
        <v>21</v>
      </c>
      <c r="E555" t="s">
        <v>38</v>
      </c>
      <c r="F555" t="s">
        <v>23</v>
      </c>
      <c r="G555">
        <v>54138.13</v>
      </c>
      <c r="H555">
        <v>35755.120000000003</v>
      </c>
      <c r="I555">
        <v>18383.009999999998</v>
      </c>
      <c r="J555">
        <v>27933.52</v>
      </c>
      <c r="K555">
        <v>10321.82</v>
      </c>
      <c r="L555">
        <v>175789.66</v>
      </c>
      <c r="M555">
        <v>617</v>
      </c>
      <c r="N555">
        <v>-3.39E-2</v>
      </c>
      <c r="O555">
        <f t="shared" si="16"/>
        <v>0.33960000000000001</v>
      </c>
      <c r="P555">
        <f t="shared" si="17"/>
        <v>5.8700000000000002E-2</v>
      </c>
      <c r="Q555" t="s">
        <v>52</v>
      </c>
      <c r="R555">
        <v>2024</v>
      </c>
      <c r="S555" t="s">
        <v>25</v>
      </c>
    </row>
    <row r="556" spans="1:19" x14ac:dyDescent="0.3">
      <c r="A556" t="s">
        <v>630</v>
      </c>
      <c r="B556">
        <v>44965</v>
      </c>
      <c r="C556" t="s">
        <v>85</v>
      </c>
      <c r="D556" t="s">
        <v>86</v>
      </c>
      <c r="E556" t="s">
        <v>32</v>
      </c>
      <c r="F556" t="s">
        <v>23</v>
      </c>
      <c r="G556">
        <v>1.145</v>
      </c>
      <c r="H556">
        <v>53649.11</v>
      </c>
      <c r="I556">
        <v>1.1499999999999999</v>
      </c>
      <c r="J556">
        <v>42732.08</v>
      </c>
      <c r="K556">
        <v>29231.64</v>
      </c>
      <c r="L556">
        <v>63328.97</v>
      </c>
      <c r="M556">
        <v>1408</v>
      </c>
      <c r="N556">
        <v>-6.2100000000000002E-2</v>
      </c>
      <c r="O556">
        <f t="shared" si="16"/>
        <v>1.0044</v>
      </c>
      <c r="P556">
        <f t="shared" si="17"/>
        <v>0.46160000000000001</v>
      </c>
      <c r="Q556" t="s">
        <v>118</v>
      </c>
      <c r="R556">
        <v>2023</v>
      </c>
      <c r="S556" t="s">
        <v>40</v>
      </c>
    </row>
    <row r="557" spans="1:19" x14ac:dyDescent="0.3">
      <c r="A557" t="s">
        <v>631</v>
      </c>
      <c r="B557">
        <v>44787</v>
      </c>
      <c r="C557" t="s">
        <v>27</v>
      </c>
      <c r="D557" t="s">
        <v>28</v>
      </c>
      <c r="E557" t="s">
        <v>32</v>
      </c>
      <c r="F557" t="s">
        <v>23</v>
      </c>
      <c r="G557">
        <v>36569.11</v>
      </c>
      <c r="H557">
        <v>31185.08</v>
      </c>
      <c r="I557">
        <v>5384.03</v>
      </c>
      <c r="J557">
        <v>173738.45</v>
      </c>
      <c r="K557">
        <v>12403.4</v>
      </c>
      <c r="L557">
        <v>264913.63</v>
      </c>
      <c r="M557">
        <v>791</v>
      </c>
      <c r="N557">
        <v>0.1048</v>
      </c>
      <c r="O557">
        <f t="shared" si="16"/>
        <v>0.1472</v>
      </c>
      <c r="P557">
        <f t="shared" si="17"/>
        <v>4.6800000000000001E-2</v>
      </c>
      <c r="Q557" t="s">
        <v>76</v>
      </c>
      <c r="R557">
        <v>2022</v>
      </c>
      <c r="S557" t="s">
        <v>25</v>
      </c>
    </row>
    <row r="558" spans="1:19" x14ac:dyDescent="0.3">
      <c r="A558" t="s">
        <v>632</v>
      </c>
      <c r="B558">
        <v>45179</v>
      </c>
      <c r="C558" t="s">
        <v>54</v>
      </c>
      <c r="D558" t="s">
        <v>55</v>
      </c>
      <c r="E558" t="s">
        <v>51</v>
      </c>
      <c r="F558" t="s">
        <v>23</v>
      </c>
      <c r="G558">
        <v>80295.27</v>
      </c>
      <c r="H558">
        <v>51125.36</v>
      </c>
      <c r="I558">
        <v>29169.91</v>
      </c>
      <c r="J558">
        <v>9717.73</v>
      </c>
      <c r="K558">
        <v>94724.67</v>
      </c>
      <c r="L558">
        <v>100716.62</v>
      </c>
      <c r="M558">
        <v>856</v>
      </c>
      <c r="N558">
        <v>7.0000000000000001E-3</v>
      </c>
      <c r="O558">
        <f t="shared" si="16"/>
        <v>0.36330000000000001</v>
      </c>
      <c r="P558">
        <f t="shared" si="17"/>
        <v>0.9405</v>
      </c>
      <c r="Q558" t="s">
        <v>56</v>
      </c>
      <c r="R558">
        <v>2023</v>
      </c>
      <c r="S558" t="s">
        <v>82</v>
      </c>
    </row>
    <row r="559" spans="1:19" x14ac:dyDescent="0.3">
      <c r="A559" t="s">
        <v>633</v>
      </c>
      <c r="B559">
        <v>44698</v>
      </c>
      <c r="C559" t="s">
        <v>1282</v>
      </c>
      <c r="D559" t="s">
        <v>69</v>
      </c>
      <c r="E559" t="s">
        <v>51</v>
      </c>
      <c r="F559" t="s">
        <v>23</v>
      </c>
      <c r="G559">
        <v>128630.87</v>
      </c>
      <c r="H559">
        <v>73222.97</v>
      </c>
      <c r="I559">
        <v>55407.9</v>
      </c>
      <c r="J559">
        <v>14322.18</v>
      </c>
      <c r="K559">
        <v>28013.14</v>
      </c>
      <c r="L559">
        <v>197342.41</v>
      </c>
      <c r="M559">
        <v>623</v>
      </c>
      <c r="N559">
        <v>-2.4799999999999999E-2</v>
      </c>
      <c r="O559">
        <f t="shared" si="16"/>
        <v>0.43080000000000002</v>
      </c>
      <c r="P559">
        <f t="shared" si="17"/>
        <v>0.14199999999999999</v>
      </c>
      <c r="Q559" t="s">
        <v>58</v>
      </c>
      <c r="R559">
        <v>2022</v>
      </c>
      <c r="S559" t="s">
        <v>25</v>
      </c>
    </row>
    <row r="560" spans="1:19" x14ac:dyDescent="0.3">
      <c r="A560" t="s">
        <v>634</v>
      </c>
      <c r="B560">
        <v>45024</v>
      </c>
      <c r="C560" t="s">
        <v>54</v>
      </c>
      <c r="D560" t="s">
        <v>55</v>
      </c>
      <c r="E560" t="s">
        <v>32</v>
      </c>
      <c r="F560" t="s">
        <v>23</v>
      </c>
      <c r="G560">
        <v>73523.438450000001</v>
      </c>
      <c r="H560">
        <v>48965.63</v>
      </c>
      <c r="I560">
        <v>24557.81</v>
      </c>
      <c r="J560">
        <v>44799.88</v>
      </c>
      <c r="K560">
        <v>103063.83</v>
      </c>
      <c r="L560">
        <v>228674.22</v>
      </c>
      <c r="M560">
        <v>668</v>
      </c>
      <c r="N560">
        <v>3.5299999999999998E-2</v>
      </c>
      <c r="O560">
        <f t="shared" si="16"/>
        <v>0.33400000000000002</v>
      </c>
      <c r="P560">
        <f t="shared" si="17"/>
        <v>0.45069999999999999</v>
      </c>
      <c r="Q560" t="s">
        <v>39</v>
      </c>
      <c r="R560">
        <v>2023</v>
      </c>
      <c r="S560" t="s">
        <v>40</v>
      </c>
    </row>
    <row r="561" spans="1:19" x14ac:dyDescent="0.3">
      <c r="A561" t="s">
        <v>635</v>
      </c>
      <c r="B561">
        <v>45404</v>
      </c>
      <c r="C561" t="s">
        <v>54</v>
      </c>
      <c r="D561" t="s">
        <v>55</v>
      </c>
      <c r="E561" t="s">
        <v>22</v>
      </c>
      <c r="F561" t="s">
        <v>23</v>
      </c>
      <c r="G561">
        <v>93790.68</v>
      </c>
      <c r="H561">
        <v>77277.89</v>
      </c>
      <c r="I561">
        <v>16512.79</v>
      </c>
      <c r="J561">
        <v>32338.92</v>
      </c>
      <c r="K561">
        <v>34790.550000000003</v>
      </c>
      <c r="L561">
        <v>74157.509999999995</v>
      </c>
      <c r="M561">
        <v>1134</v>
      </c>
      <c r="N561">
        <v>-6.3299999999999995E-2</v>
      </c>
      <c r="O561">
        <f t="shared" si="16"/>
        <v>0.17610000000000001</v>
      </c>
      <c r="P561">
        <f t="shared" si="17"/>
        <v>0.46910000000000002</v>
      </c>
      <c r="Q561" t="s">
        <v>111</v>
      </c>
      <c r="R561">
        <v>2024</v>
      </c>
      <c r="S561" t="s">
        <v>40</v>
      </c>
    </row>
    <row r="562" spans="1:19" x14ac:dyDescent="0.3">
      <c r="A562" t="s">
        <v>636</v>
      </c>
      <c r="B562">
        <v>45663</v>
      </c>
      <c r="C562" t="s">
        <v>30</v>
      </c>
      <c r="D562" t="s">
        <v>31</v>
      </c>
      <c r="E562" t="s">
        <v>38</v>
      </c>
      <c r="F562" t="s">
        <v>23</v>
      </c>
      <c r="G562">
        <v>271911.98</v>
      </c>
      <c r="H562">
        <v>169962.14</v>
      </c>
      <c r="I562">
        <v>101949.84</v>
      </c>
      <c r="J562">
        <v>34271.53</v>
      </c>
      <c r="K562">
        <v>25181.95</v>
      </c>
      <c r="L562">
        <v>323455.63</v>
      </c>
      <c r="M562">
        <v>1149</v>
      </c>
      <c r="N562">
        <v>3.44E-2</v>
      </c>
      <c r="O562">
        <f t="shared" si="16"/>
        <v>0.37490000000000001</v>
      </c>
      <c r="P562">
        <f t="shared" si="17"/>
        <v>7.7899999999999997E-2</v>
      </c>
      <c r="Q562" t="s">
        <v>106</v>
      </c>
      <c r="R562">
        <v>2025</v>
      </c>
      <c r="S562" t="s">
        <v>25</v>
      </c>
    </row>
    <row r="563" spans="1:19" x14ac:dyDescent="0.3">
      <c r="A563" t="s">
        <v>637</v>
      </c>
      <c r="B563">
        <v>45082</v>
      </c>
      <c r="C563" t="s">
        <v>36</v>
      </c>
      <c r="D563" t="s">
        <v>37</v>
      </c>
      <c r="E563" t="s">
        <v>32</v>
      </c>
      <c r="F563" t="s">
        <v>23</v>
      </c>
      <c r="G563">
        <v>102519.67035</v>
      </c>
      <c r="H563">
        <v>81024.460000000006</v>
      </c>
      <c r="I563">
        <v>21495.21</v>
      </c>
      <c r="J563">
        <v>14296.82</v>
      </c>
      <c r="K563">
        <v>22747.82</v>
      </c>
      <c r="L563">
        <v>31170.84</v>
      </c>
      <c r="M563">
        <v>617</v>
      </c>
      <c r="N563">
        <v>-9.5500000000000002E-2</v>
      </c>
      <c r="O563">
        <f t="shared" si="16"/>
        <v>0.2097</v>
      </c>
      <c r="P563">
        <f t="shared" si="17"/>
        <v>0.7298</v>
      </c>
      <c r="Q563" t="s">
        <v>39</v>
      </c>
      <c r="R563">
        <v>2023</v>
      </c>
      <c r="S563" t="s">
        <v>82</v>
      </c>
    </row>
    <row r="564" spans="1:19" x14ac:dyDescent="0.3">
      <c r="A564" t="s">
        <v>638</v>
      </c>
      <c r="B564">
        <v>45279</v>
      </c>
      <c r="C564" t="s">
        <v>1282</v>
      </c>
      <c r="D564" t="s">
        <v>69</v>
      </c>
      <c r="E564" t="s">
        <v>22</v>
      </c>
      <c r="F564" t="s">
        <v>23</v>
      </c>
      <c r="G564">
        <v>32566.76</v>
      </c>
      <c r="H564">
        <v>20293.830000000002</v>
      </c>
      <c r="I564">
        <v>12272.93</v>
      </c>
      <c r="J564">
        <v>0</v>
      </c>
      <c r="K564">
        <v>53902.41</v>
      </c>
      <c r="L564">
        <v>55618.27</v>
      </c>
      <c r="M564">
        <v>779</v>
      </c>
      <c r="N564">
        <v>-7.9000000000000008E-3</v>
      </c>
      <c r="O564">
        <f t="shared" si="16"/>
        <v>0.37690000000000001</v>
      </c>
      <c r="P564">
        <f t="shared" si="17"/>
        <v>0.96909999999999996</v>
      </c>
      <c r="Q564" t="s">
        <v>44</v>
      </c>
      <c r="R564">
        <v>2023</v>
      </c>
      <c r="S564" t="s">
        <v>82</v>
      </c>
    </row>
    <row r="565" spans="1:19" x14ac:dyDescent="0.3">
      <c r="A565" t="s">
        <v>639</v>
      </c>
      <c r="B565">
        <v>45743</v>
      </c>
      <c r="C565" t="s">
        <v>36</v>
      </c>
      <c r="D565" t="s">
        <v>37</v>
      </c>
      <c r="E565" t="s">
        <v>32</v>
      </c>
      <c r="F565" t="s">
        <v>23</v>
      </c>
      <c r="G565">
        <v>122404.95405</v>
      </c>
      <c r="H565">
        <v>80783.509999999995</v>
      </c>
      <c r="I565">
        <v>41621.449999999997</v>
      </c>
      <c r="J565">
        <v>57821.22</v>
      </c>
      <c r="K565">
        <v>68215.72</v>
      </c>
      <c r="L565">
        <v>249934.49</v>
      </c>
      <c r="M565">
        <v>611</v>
      </c>
      <c r="N565">
        <v>4.5699999999999998E-2</v>
      </c>
      <c r="O565">
        <f t="shared" si="16"/>
        <v>0.34</v>
      </c>
      <c r="P565">
        <f t="shared" si="17"/>
        <v>0.27289999999999998</v>
      </c>
      <c r="Q565" t="s">
        <v>106</v>
      </c>
      <c r="R565">
        <v>2025</v>
      </c>
      <c r="S565" t="s">
        <v>25</v>
      </c>
    </row>
    <row r="566" spans="1:19" x14ac:dyDescent="0.3">
      <c r="A566" t="s">
        <v>640</v>
      </c>
      <c r="B566">
        <v>45405</v>
      </c>
      <c r="C566" t="s">
        <v>48</v>
      </c>
      <c r="D566" t="s">
        <v>49</v>
      </c>
      <c r="E566" t="s">
        <v>51</v>
      </c>
      <c r="F566" t="s">
        <v>23</v>
      </c>
      <c r="G566">
        <v>44282.65</v>
      </c>
      <c r="H566">
        <v>39429.93</v>
      </c>
      <c r="I566">
        <v>4852.72</v>
      </c>
      <c r="J566">
        <v>101383.38</v>
      </c>
      <c r="K566">
        <v>15449.8</v>
      </c>
      <c r="L566">
        <v>173840.93</v>
      </c>
      <c r="M566">
        <v>569</v>
      </c>
      <c r="N566">
        <v>-0.11650000000000001</v>
      </c>
      <c r="O566">
        <f t="shared" si="16"/>
        <v>0.1096</v>
      </c>
      <c r="P566">
        <f t="shared" si="17"/>
        <v>8.8900000000000007E-2</v>
      </c>
      <c r="Q566" t="s">
        <v>111</v>
      </c>
      <c r="R566">
        <v>2024</v>
      </c>
      <c r="S566" t="s">
        <v>25</v>
      </c>
    </row>
    <row r="567" spans="1:19" x14ac:dyDescent="0.3">
      <c r="A567" t="s">
        <v>641</v>
      </c>
      <c r="B567">
        <v>44679</v>
      </c>
      <c r="C567" t="s">
        <v>102</v>
      </c>
      <c r="D567" t="s">
        <v>103</v>
      </c>
      <c r="E567" t="s">
        <v>22</v>
      </c>
      <c r="F567" t="s">
        <v>23</v>
      </c>
      <c r="G567">
        <v>61994.42</v>
      </c>
      <c r="H567">
        <v>42141.49</v>
      </c>
      <c r="I567">
        <v>19852.93</v>
      </c>
      <c r="J567">
        <v>16702.05</v>
      </c>
      <c r="K567">
        <v>46015.29</v>
      </c>
      <c r="L567">
        <v>110870.73</v>
      </c>
      <c r="M567">
        <v>752</v>
      </c>
      <c r="N567">
        <v>-6.6299999999999998E-2</v>
      </c>
      <c r="O567">
        <f t="shared" si="16"/>
        <v>0.32019999999999998</v>
      </c>
      <c r="P567">
        <f t="shared" si="17"/>
        <v>0.41499999999999998</v>
      </c>
      <c r="Q567" t="s">
        <v>58</v>
      </c>
      <c r="R567">
        <v>2022</v>
      </c>
      <c r="S567" t="s">
        <v>40</v>
      </c>
    </row>
    <row r="568" spans="1:19" x14ac:dyDescent="0.3">
      <c r="A568" t="s">
        <v>642</v>
      </c>
      <c r="B568">
        <v>45299</v>
      </c>
      <c r="C568" t="s">
        <v>61</v>
      </c>
      <c r="D568" t="s">
        <v>74</v>
      </c>
      <c r="E568" t="s">
        <v>38</v>
      </c>
      <c r="F568" t="s">
        <v>23</v>
      </c>
      <c r="G568">
        <v>34117.32</v>
      </c>
      <c r="H568">
        <v>28981.53</v>
      </c>
      <c r="I568">
        <v>5135.79</v>
      </c>
      <c r="J568">
        <v>9756.9500000000007</v>
      </c>
      <c r="K568">
        <v>18146.259999999998</v>
      </c>
      <c r="L568">
        <v>64018.66</v>
      </c>
      <c r="M568">
        <v>820</v>
      </c>
      <c r="N568">
        <v>-3.44E-2</v>
      </c>
      <c r="O568">
        <f t="shared" si="16"/>
        <v>0.15049999999999999</v>
      </c>
      <c r="P568">
        <f t="shared" si="17"/>
        <v>0.28349999999999997</v>
      </c>
      <c r="Q568" t="s">
        <v>80</v>
      </c>
      <c r="R568">
        <v>2024</v>
      </c>
      <c r="S568" t="s">
        <v>25</v>
      </c>
    </row>
    <row r="569" spans="1:19" x14ac:dyDescent="0.3">
      <c r="A569" t="s">
        <v>643</v>
      </c>
      <c r="B569">
        <v>45229</v>
      </c>
      <c r="C569" t="s">
        <v>78</v>
      </c>
      <c r="D569" t="s">
        <v>79</v>
      </c>
      <c r="E569" t="s">
        <v>32</v>
      </c>
      <c r="F569" t="s">
        <v>23</v>
      </c>
      <c r="G569">
        <v>83757.104949999994</v>
      </c>
      <c r="H569">
        <v>57959.57</v>
      </c>
      <c r="I569">
        <v>25797.54</v>
      </c>
      <c r="J569">
        <v>33209.370000000003</v>
      </c>
      <c r="K569">
        <v>13693.96</v>
      </c>
      <c r="L569">
        <v>50514.27</v>
      </c>
      <c r="M569">
        <v>1848</v>
      </c>
      <c r="N569">
        <v>-6.93E-2</v>
      </c>
      <c r="O569">
        <f t="shared" si="16"/>
        <v>0.308</v>
      </c>
      <c r="P569">
        <f t="shared" si="17"/>
        <v>0.27110000000000001</v>
      </c>
      <c r="Q569" t="s">
        <v>44</v>
      </c>
      <c r="R569">
        <v>2023</v>
      </c>
      <c r="S569" t="s">
        <v>25</v>
      </c>
    </row>
    <row r="570" spans="1:19" x14ac:dyDescent="0.3">
      <c r="A570" t="s">
        <v>644</v>
      </c>
      <c r="B570">
        <v>44964</v>
      </c>
      <c r="C570" t="s">
        <v>20</v>
      </c>
      <c r="D570" t="s">
        <v>21</v>
      </c>
      <c r="E570" t="s">
        <v>38</v>
      </c>
      <c r="F570" t="s">
        <v>23</v>
      </c>
      <c r="G570">
        <v>128336.27</v>
      </c>
      <c r="H570">
        <v>99394.52</v>
      </c>
      <c r="I570">
        <v>28941.75</v>
      </c>
      <c r="J570">
        <v>57928.79</v>
      </c>
      <c r="K570">
        <v>38480.82</v>
      </c>
      <c r="L570">
        <v>99041.57</v>
      </c>
      <c r="M570">
        <v>733</v>
      </c>
      <c r="N570">
        <v>2.7900000000000001E-2</v>
      </c>
      <c r="O570">
        <f t="shared" si="16"/>
        <v>0.22550000000000001</v>
      </c>
      <c r="P570">
        <f t="shared" si="17"/>
        <v>0.38850000000000001</v>
      </c>
      <c r="Q570" t="s">
        <v>118</v>
      </c>
      <c r="R570">
        <v>2023</v>
      </c>
      <c r="S570" t="s">
        <v>40</v>
      </c>
    </row>
    <row r="571" spans="1:19" x14ac:dyDescent="0.3">
      <c r="A571" t="s">
        <v>645</v>
      </c>
      <c r="B571">
        <v>44896</v>
      </c>
      <c r="C571" t="s">
        <v>30</v>
      </c>
      <c r="D571" t="s">
        <v>31</v>
      </c>
      <c r="E571" t="s">
        <v>22</v>
      </c>
      <c r="F571" t="s">
        <v>23</v>
      </c>
      <c r="G571">
        <v>149157.14000000001</v>
      </c>
      <c r="H571">
        <v>116230.04</v>
      </c>
      <c r="I571">
        <v>32927.1</v>
      </c>
      <c r="J571">
        <v>7087.74</v>
      </c>
      <c r="K571">
        <v>58433.14</v>
      </c>
      <c r="L571">
        <v>92352.320000000007</v>
      </c>
      <c r="M571">
        <v>761</v>
      </c>
      <c r="N571">
        <v>-1.0699999999999999E-2</v>
      </c>
      <c r="O571">
        <f t="shared" si="16"/>
        <v>0.2208</v>
      </c>
      <c r="P571">
        <f t="shared" si="17"/>
        <v>0.63270000000000004</v>
      </c>
      <c r="Q571" t="s">
        <v>46</v>
      </c>
      <c r="R571">
        <v>2022</v>
      </c>
      <c r="S571" t="s">
        <v>82</v>
      </c>
    </row>
    <row r="572" spans="1:19" x14ac:dyDescent="0.3">
      <c r="A572" t="s">
        <v>646</v>
      </c>
      <c r="B572">
        <v>44666</v>
      </c>
      <c r="C572" t="s">
        <v>85</v>
      </c>
      <c r="D572" t="s">
        <v>86</v>
      </c>
      <c r="E572" t="s">
        <v>38</v>
      </c>
      <c r="F572" t="s">
        <v>23</v>
      </c>
      <c r="G572">
        <v>132558.92000000001</v>
      </c>
      <c r="H572">
        <v>75401.600000000006</v>
      </c>
      <c r="I572">
        <v>57157.32</v>
      </c>
      <c r="J572">
        <v>30935.78</v>
      </c>
      <c r="K572">
        <v>19765.71</v>
      </c>
      <c r="L572">
        <v>146855.20000000001</v>
      </c>
      <c r="M572">
        <v>1539</v>
      </c>
      <c r="N572">
        <v>0.10340000000000001</v>
      </c>
      <c r="O572">
        <f t="shared" si="16"/>
        <v>0.43120000000000003</v>
      </c>
      <c r="P572">
        <f t="shared" si="17"/>
        <v>0.1346</v>
      </c>
      <c r="Q572" t="s">
        <v>58</v>
      </c>
      <c r="R572">
        <v>2022</v>
      </c>
      <c r="S572" t="s">
        <v>25</v>
      </c>
    </row>
    <row r="573" spans="1:19" x14ac:dyDescent="0.3">
      <c r="A573" t="s">
        <v>647</v>
      </c>
      <c r="B573" s="4">
        <v>44797</v>
      </c>
      <c r="C573" t="s">
        <v>48</v>
      </c>
      <c r="D573" t="s">
        <v>49</v>
      </c>
      <c r="E573" t="s">
        <v>22</v>
      </c>
      <c r="F573" t="s">
        <v>23</v>
      </c>
      <c r="G573">
        <v>32260.77</v>
      </c>
      <c r="H573">
        <v>22095.07</v>
      </c>
      <c r="I573">
        <v>10165.700000000001</v>
      </c>
      <c r="J573">
        <v>57005.99</v>
      </c>
      <c r="K573">
        <v>19760.93</v>
      </c>
      <c r="L573">
        <v>139946.34</v>
      </c>
      <c r="M573">
        <v>1000</v>
      </c>
      <c r="N573">
        <v>0.104</v>
      </c>
      <c r="O573">
        <f t="shared" si="16"/>
        <v>0.31509999999999999</v>
      </c>
      <c r="P573">
        <f t="shared" si="17"/>
        <v>0.14119999999999999</v>
      </c>
      <c r="Q573" t="s">
        <v>76</v>
      </c>
      <c r="R573">
        <v>2022</v>
      </c>
      <c r="S573" t="s">
        <v>25</v>
      </c>
    </row>
    <row r="574" spans="1:19" x14ac:dyDescent="0.3">
      <c r="A574" t="s">
        <v>648</v>
      </c>
      <c r="B574">
        <v>45061</v>
      </c>
      <c r="C574" t="s">
        <v>54</v>
      </c>
      <c r="D574" t="s">
        <v>55</v>
      </c>
      <c r="E574" t="s">
        <v>38</v>
      </c>
      <c r="F574" t="s">
        <v>23</v>
      </c>
      <c r="G574">
        <v>90441.27</v>
      </c>
      <c r="H574">
        <v>78779.56</v>
      </c>
      <c r="I574">
        <v>11661.71</v>
      </c>
      <c r="J574">
        <v>12425.31</v>
      </c>
      <c r="K574">
        <v>39480.15</v>
      </c>
      <c r="L574">
        <v>69247.66</v>
      </c>
      <c r="M574">
        <v>538</v>
      </c>
      <c r="N574">
        <v>-1.4E-3</v>
      </c>
      <c r="O574">
        <f t="shared" si="16"/>
        <v>0.12889999999999999</v>
      </c>
      <c r="P574">
        <f t="shared" si="17"/>
        <v>0.57010000000000005</v>
      </c>
      <c r="Q574" t="s">
        <v>39</v>
      </c>
      <c r="R574">
        <v>2023</v>
      </c>
      <c r="S574" t="s">
        <v>40</v>
      </c>
    </row>
    <row r="575" spans="1:19" x14ac:dyDescent="0.3">
      <c r="A575" t="s">
        <v>649</v>
      </c>
      <c r="B575">
        <v>44998</v>
      </c>
      <c r="C575" t="s">
        <v>30</v>
      </c>
      <c r="D575" t="s">
        <v>31</v>
      </c>
      <c r="E575" t="s">
        <v>51</v>
      </c>
      <c r="F575" t="s">
        <v>23</v>
      </c>
      <c r="G575">
        <v>141012.75</v>
      </c>
      <c r="H575">
        <v>114191.84</v>
      </c>
      <c r="I575">
        <v>26820.91</v>
      </c>
      <c r="J575">
        <v>14080.16</v>
      </c>
      <c r="K575">
        <v>25151.56</v>
      </c>
      <c r="L575">
        <v>72957.58</v>
      </c>
      <c r="M575">
        <v>556</v>
      </c>
      <c r="N575">
        <v>4.1099999999999998E-2</v>
      </c>
      <c r="O575">
        <f t="shared" si="16"/>
        <v>0.19020000000000001</v>
      </c>
      <c r="P575">
        <f t="shared" si="17"/>
        <v>0.34470000000000001</v>
      </c>
      <c r="Q575" t="s">
        <v>118</v>
      </c>
      <c r="R575">
        <v>2023</v>
      </c>
      <c r="S575" t="s">
        <v>40</v>
      </c>
    </row>
    <row r="576" spans="1:19" x14ac:dyDescent="0.3">
      <c r="A576" t="s">
        <v>650</v>
      </c>
      <c r="B576">
        <v>45804</v>
      </c>
      <c r="C576" t="s">
        <v>102</v>
      </c>
      <c r="D576" t="s">
        <v>103</v>
      </c>
      <c r="E576" t="s">
        <v>32</v>
      </c>
      <c r="F576" t="s">
        <v>23</v>
      </c>
      <c r="G576">
        <v>169739.66625000001</v>
      </c>
      <c r="H576">
        <v>149166.81</v>
      </c>
      <c r="I576">
        <v>20572.86</v>
      </c>
      <c r="J576">
        <v>46914.22</v>
      </c>
      <c r="K576">
        <v>126221.91</v>
      </c>
      <c r="L576">
        <v>109351.56</v>
      </c>
      <c r="M576">
        <v>544</v>
      </c>
      <c r="N576">
        <v>-8.6900000000000005E-2</v>
      </c>
      <c r="O576">
        <f t="shared" si="16"/>
        <v>0.1212</v>
      </c>
      <c r="P576">
        <f t="shared" si="17"/>
        <v>1.1543000000000001</v>
      </c>
      <c r="Q576" t="s">
        <v>34</v>
      </c>
      <c r="R576">
        <v>2025</v>
      </c>
      <c r="S576" t="s">
        <v>82</v>
      </c>
    </row>
    <row r="577" spans="1:19" x14ac:dyDescent="0.3">
      <c r="A577" t="s">
        <v>651</v>
      </c>
      <c r="B577" s="4">
        <v>44966</v>
      </c>
      <c r="C577" t="s">
        <v>48</v>
      </c>
      <c r="D577" t="s">
        <v>49</v>
      </c>
      <c r="E577" t="s">
        <v>22</v>
      </c>
      <c r="F577" t="s">
        <v>23</v>
      </c>
      <c r="G577">
        <v>50813.62</v>
      </c>
      <c r="H577">
        <v>40826.32</v>
      </c>
      <c r="I577">
        <v>9987.2999999999993</v>
      </c>
      <c r="J577">
        <v>27586.12</v>
      </c>
      <c r="K577">
        <v>12793.45</v>
      </c>
      <c r="L577">
        <v>195976.73</v>
      </c>
      <c r="M577">
        <v>845</v>
      </c>
      <c r="N577">
        <v>-4.7500000000000001E-2</v>
      </c>
      <c r="O577">
        <f t="shared" si="16"/>
        <v>0.19650000000000001</v>
      </c>
      <c r="P577">
        <f t="shared" si="17"/>
        <v>6.5299999999999997E-2</v>
      </c>
      <c r="Q577" t="s">
        <v>118</v>
      </c>
      <c r="R577">
        <v>2023</v>
      </c>
      <c r="S577" t="s">
        <v>25</v>
      </c>
    </row>
    <row r="578" spans="1:19" x14ac:dyDescent="0.3">
      <c r="A578" t="s">
        <v>652</v>
      </c>
      <c r="B578">
        <v>44930</v>
      </c>
      <c r="C578" t="s">
        <v>102</v>
      </c>
      <c r="D578" t="s">
        <v>103</v>
      </c>
      <c r="E578" t="s">
        <v>38</v>
      </c>
      <c r="F578" t="s">
        <v>23</v>
      </c>
      <c r="G578">
        <v>153292.19</v>
      </c>
      <c r="H578">
        <v>133739.88</v>
      </c>
      <c r="I578">
        <v>19552.310000000001</v>
      </c>
      <c r="J578">
        <v>14680.96</v>
      </c>
      <c r="K578">
        <v>8382.49</v>
      </c>
      <c r="L578">
        <v>49791.45</v>
      </c>
      <c r="M578">
        <v>610</v>
      </c>
      <c r="N578">
        <v>-2.3999999999999998E-3</v>
      </c>
      <c r="O578">
        <f t="shared" si="16"/>
        <v>0.1275</v>
      </c>
      <c r="P578">
        <f t="shared" si="17"/>
        <v>0.16839999999999999</v>
      </c>
      <c r="Q578" t="s">
        <v>118</v>
      </c>
      <c r="R578">
        <v>2023</v>
      </c>
      <c r="S578" t="s">
        <v>25</v>
      </c>
    </row>
    <row r="579" spans="1:19" x14ac:dyDescent="0.3">
      <c r="A579" t="s">
        <v>653</v>
      </c>
      <c r="B579">
        <v>44617</v>
      </c>
      <c r="C579" t="s">
        <v>102</v>
      </c>
      <c r="D579" t="s">
        <v>103</v>
      </c>
      <c r="E579" t="s">
        <v>38</v>
      </c>
      <c r="F579" t="s">
        <v>23</v>
      </c>
      <c r="G579">
        <v>91765.43</v>
      </c>
      <c r="H579">
        <v>73043.69</v>
      </c>
      <c r="I579">
        <v>18721.740000000002</v>
      </c>
      <c r="J579">
        <v>38571.25</v>
      </c>
      <c r="K579">
        <v>34441.120000000003</v>
      </c>
      <c r="L579">
        <v>73762.63</v>
      </c>
      <c r="M579">
        <v>1513</v>
      </c>
      <c r="N579">
        <v>4.8500000000000001E-2</v>
      </c>
      <c r="O579">
        <f t="shared" ref="O579:O642" si="18">(ROUND(I579/G579,4))</f>
        <v>0.20399999999999999</v>
      </c>
      <c r="P579">
        <f t="shared" ref="P579:P642" si="19">ROUND(K579/L579,4)</f>
        <v>0.46689999999999998</v>
      </c>
      <c r="Q579" t="s">
        <v>90</v>
      </c>
      <c r="R579">
        <v>2022</v>
      </c>
      <c r="S579" t="s">
        <v>40</v>
      </c>
    </row>
    <row r="580" spans="1:19" x14ac:dyDescent="0.3">
      <c r="A580" t="s">
        <v>654</v>
      </c>
      <c r="B580">
        <v>44583</v>
      </c>
      <c r="C580" t="s">
        <v>42</v>
      </c>
      <c r="D580" t="s">
        <v>43</v>
      </c>
      <c r="E580" t="s">
        <v>38</v>
      </c>
      <c r="F580" t="s">
        <v>23</v>
      </c>
      <c r="G580">
        <v>218266.16</v>
      </c>
      <c r="H580">
        <v>141709.88</v>
      </c>
      <c r="I580">
        <v>76556.28</v>
      </c>
      <c r="J580">
        <v>19711.48</v>
      </c>
      <c r="K580">
        <v>21373.69</v>
      </c>
      <c r="L580">
        <v>202887.46</v>
      </c>
      <c r="M580">
        <v>1169</v>
      </c>
      <c r="N580">
        <v>4.8999999999999998E-3</v>
      </c>
      <c r="O580">
        <f t="shared" si="18"/>
        <v>0.35070000000000001</v>
      </c>
      <c r="P580">
        <f t="shared" si="19"/>
        <v>0.1053</v>
      </c>
      <c r="Q580" t="s">
        <v>90</v>
      </c>
      <c r="R580">
        <v>2022</v>
      </c>
      <c r="S580" t="s">
        <v>25</v>
      </c>
    </row>
    <row r="581" spans="1:19" x14ac:dyDescent="0.3">
      <c r="A581" t="s">
        <v>655</v>
      </c>
      <c r="B581">
        <v>45000</v>
      </c>
      <c r="C581" t="s">
        <v>1282</v>
      </c>
      <c r="D581" t="s">
        <v>69</v>
      </c>
      <c r="E581" t="s">
        <v>51</v>
      </c>
      <c r="F581" t="s">
        <v>23</v>
      </c>
      <c r="G581">
        <v>99720.93</v>
      </c>
      <c r="H581">
        <v>88275.66</v>
      </c>
      <c r="I581">
        <v>11445.27</v>
      </c>
      <c r="J581">
        <v>24863.59</v>
      </c>
      <c r="K581">
        <v>153025.49</v>
      </c>
      <c r="L581">
        <v>125956.1</v>
      </c>
      <c r="M581">
        <v>1280</v>
      </c>
      <c r="N581">
        <v>-3.78E-2</v>
      </c>
      <c r="O581">
        <f t="shared" si="18"/>
        <v>0.1148</v>
      </c>
      <c r="P581">
        <f t="shared" si="19"/>
        <v>1.2149000000000001</v>
      </c>
      <c r="Q581" t="s">
        <v>118</v>
      </c>
      <c r="R581">
        <v>2023</v>
      </c>
      <c r="S581" t="s">
        <v>82</v>
      </c>
    </row>
    <row r="582" spans="1:19" x14ac:dyDescent="0.3">
      <c r="A582" t="s">
        <v>656</v>
      </c>
      <c r="B582">
        <v>45861</v>
      </c>
      <c r="C582" t="s">
        <v>102</v>
      </c>
      <c r="D582" t="s">
        <v>103</v>
      </c>
      <c r="E582" t="s">
        <v>32</v>
      </c>
      <c r="F582" t="s">
        <v>23</v>
      </c>
      <c r="G582">
        <v>95673.738250000009</v>
      </c>
      <c r="H582">
        <v>59441.68</v>
      </c>
      <c r="I582">
        <v>36232.06</v>
      </c>
      <c r="J582">
        <v>63105.440000000002</v>
      </c>
      <c r="K582">
        <v>111797.14</v>
      </c>
      <c r="L582">
        <v>204578.12</v>
      </c>
      <c r="M582">
        <v>2019</v>
      </c>
      <c r="N582">
        <v>2.5999999999999999E-2</v>
      </c>
      <c r="O582">
        <f t="shared" si="18"/>
        <v>0.37869999999999998</v>
      </c>
      <c r="P582">
        <f t="shared" si="19"/>
        <v>0.54649999999999999</v>
      </c>
      <c r="Q582" t="s">
        <v>24</v>
      </c>
      <c r="R582">
        <v>2025</v>
      </c>
      <c r="S582" t="s">
        <v>40</v>
      </c>
    </row>
    <row r="583" spans="1:19" x14ac:dyDescent="0.3">
      <c r="A583" t="s">
        <v>657</v>
      </c>
      <c r="B583">
        <v>44924</v>
      </c>
      <c r="C583" t="s">
        <v>27</v>
      </c>
      <c r="D583" t="s">
        <v>28</v>
      </c>
      <c r="E583" t="s">
        <v>51</v>
      </c>
      <c r="F583" t="s">
        <v>23</v>
      </c>
      <c r="G583">
        <v>144060.68</v>
      </c>
      <c r="H583">
        <v>126782.3</v>
      </c>
      <c r="I583">
        <v>17278.38</v>
      </c>
      <c r="J583">
        <v>85278.82</v>
      </c>
      <c r="K583">
        <v>28286.15</v>
      </c>
      <c r="L583">
        <v>307137.02</v>
      </c>
      <c r="M583">
        <v>796</v>
      </c>
      <c r="N583">
        <v>0.10059999999999999</v>
      </c>
      <c r="O583">
        <f t="shared" si="18"/>
        <v>0.11990000000000001</v>
      </c>
      <c r="P583">
        <f t="shared" si="19"/>
        <v>9.2100000000000001E-2</v>
      </c>
      <c r="Q583" t="s">
        <v>46</v>
      </c>
      <c r="R583">
        <v>2022</v>
      </c>
      <c r="S583" t="s">
        <v>25</v>
      </c>
    </row>
    <row r="584" spans="1:19" x14ac:dyDescent="0.3">
      <c r="A584" t="s">
        <v>658</v>
      </c>
      <c r="B584">
        <v>45164</v>
      </c>
      <c r="C584" t="s">
        <v>102</v>
      </c>
      <c r="D584" t="s">
        <v>103</v>
      </c>
      <c r="E584" t="s">
        <v>32</v>
      </c>
      <c r="F584" t="s">
        <v>23</v>
      </c>
      <c r="G584">
        <v>44716.143000000004</v>
      </c>
      <c r="H584">
        <v>31922.49</v>
      </c>
      <c r="I584">
        <v>12793.66</v>
      </c>
      <c r="J584">
        <v>48376.02</v>
      </c>
      <c r="K584">
        <v>77639.240000000005</v>
      </c>
      <c r="L584">
        <v>128229.68</v>
      </c>
      <c r="M584">
        <v>1294</v>
      </c>
      <c r="N584">
        <v>1.8E-3</v>
      </c>
      <c r="O584">
        <f t="shared" si="18"/>
        <v>0.28610000000000002</v>
      </c>
      <c r="P584">
        <f t="shared" si="19"/>
        <v>0.60550000000000004</v>
      </c>
      <c r="Q584" t="s">
        <v>56</v>
      </c>
      <c r="R584">
        <v>2023</v>
      </c>
      <c r="S584" t="s">
        <v>82</v>
      </c>
    </row>
    <row r="585" spans="1:19" x14ac:dyDescent="0.3">
      <c r="A585" t="s">
        <v>659</v>
      </c>
      <c r="B585">
        <v>44815</v>
      </c>
      <c r="C585" t="s">
        <v>48</v>
      </c>
      <c r="D585" t="s">
        <v>49</v>
      </c>
      <c r="E585" t="s">
        <v>32</v>
      </c>
      <c r="F585" t="s">
        <v>23</v>
      </c>
      <c r="G585">
        <v>104556.591</v>
      </c>
      <c r="H585">
        <v>59818.09</v>
      </c>
      <c r="I585">
        <v>44738.5</v>
      </c>
      <c r="J585">
        <v>31116.21</v>
      </c>
      <c r="K585">
        <v>23737.72</v>
      </c>
      <c r="L585">
        <v>150585.38</v>
      </c>
      <c r="M585">
        <v>951</v>
      </c>
      <c r="N585">
        <v>-0.1389</v>
      </c>
      <c r="O585">
        <f t="shared" si="18"/>
        <v>0.4279</v>
      </c>
      <c r="P585">
        <f t="shared" si="19"/>
        <v>0.15759999999999999</v>
      </c>
      <c r="Q585" t="s">
        <v>76</v>
      </c>
      <c r="R585">
        <v>2022</v>
      </c>
      <c r="S585" t="s">
        <v>25</v>
      </c>
    </row>
    <row r="586" spans="1:19" x14ac:dyDescent="0.3">
      <c r="A586" t="s">
        <v>660</v>
      </c>
      <c r="B586">
        <v>45917</v>
      </c>
      <c r="C586" t="s">
        <v>78</v>
      </c>
      <c r="D586" t="s">
        <v>79</v>
      </c>
      <c r="E586" t="s">
        <v>22</v>
      </c>
      <c r="F586" t="s">
        <v>23</v>
      </c>
      <c r="G586">
        <v>61925.14</v>
      </c>
      <c r="H586">
        <v>41184.720000000001</v>
      </c>
      <c r="I586">
        <v>20740.419999999998</v>
      </c>
      <c r="J586">
        <v>28323.88</v>
      </c>
      <c r="K586">
        <v>33363.5</v>
      </c>
      <c r="L586">
        <v>107800.93</v>
      </c>
      <c r="M586">
        <v>1301</v>
      </c>
      <c r="N586">
        <v>5.8999999999999997E-2</v>
      </c>
      <c r="O586">
        <f t="shared" si="18"/>
        <v>0.33489999999999998</v>
      </c>
      <c r="P586">
        <f t="shared" si="19"/>
        <v>0.3095</v>
      </c>
      <c r="Q586" t="s">
        <v>24</v>
      </c>
      <c r="R586">
        <v>2025</v>
      </c>
      <c r="S586" t="s">
        <v>40</v>
      </c>
    </row>
    <row r="587" spans="1:19" x14ac:dyDescent="0.3">
      <c r="A587" t="s">
        <v>661</v>
      </c>
      <c r="B587">
        <v>46012</v>
      </c>
      <c r="C587" t="s">
        <v>85</v>
      </c>
      <c r="D587" t="s">
        <v>86</v>
      </c>
      <c r="E587" t="s">
        <v>51</v>
      </c>
      <c r="F587" t="s">
        <v>23</v>
      </c>
      <c r="G587">
        <v>56640.67</v>
      </c>
      <c r="H587">
        <v>43448.88</v>
      </c>
      <c r="I587">
        <v>13191.79</v>
      </c>
      <c r="J587">
        <v>17857.03</v>
      </c>
      <c r="K587">
        <v>34022.75</v>
      </c>
      <c r="L587">
        <v>58810.58</v>
      </c>
      <c r="M587">
        <v>1613</v>
      </c>
      <c r="N587">
        <v>-2.87E-2</v>
      </c>
      <c r="O587">
        <f t="shared" si="18"/>
        <v>0.2329</v>
      </c>
      <c r="P587">
        <f t="shared" si="19"/>
        <v>0.57850000000000001</v>
      </c>
      <c r="Q587" t="s">
        <v>66</v>
      </c>
      <c r="R587">
        <v>2025</v>
      </c>
      <c r="S587" t="s">
        <v>40</v>
      </c>
    </row>
    <row r="588" spans="1:19" x14ac:dyDescent="0.3">
      <c r="A588" t="s">
        <v>662</v>
      </c>
      <c r="B588">
        <v>44976</v>
      </c>
      <c r="C588" t="s">
        <v>61</v>
      </c>
      <c r="D588" t="s">
        <v>74</v>
      </c>
      <c r="E588" t="s">
        <v>22</v>
      </c>
      <c r="F588" t="s">
        <v>23</v>
      </c>
      <c r="G588">
        <v>199466.89</v>
      </c>
      <c r="H588">
        <v>151194.62</v>
      </c>
      <c r="I588">
        <v>48272.27</v>
      </c>
      <c r="J588">
        <v>34883.599999999999</v>
      </c>
      <c r="K588">
        <v>12150.53</v>
      </c>
      <c r="L588">
        <v>101183.48</v>
      </c>
      <c r="M588">
        <v>932</v>
      </c>
      <c r="N588">
        <v>-7.0199999999999999E-2</v>
      </c>
      <c r="O588">
        <f t="shared" si="18"/>
        <v>0.24199999999999999</v>
      </c>
      <c r="P588">
        <f t="shared" si="19"/>
        <v>0.1201</v>
      </c>
      <c r="Q588" t="s">
        <v>118</v>
      </c>
      <c r="R588">
        <v>2023</v>
      </c>
      <c r="S588" t="s">
        <v>25</v>
      </c>
    </row>
    <row r="589" spans="1:19" x14ac:dyDescent="0.3">
      <c r="A589" t="s">
        <v>663</v>
      </c>
      <c r="B589">
        <v>45964</v>
      </c>
      <c r="C589" t="s">
        <v>85</v>
      </c>
      <c r="D589" t="s">
        <v>86</v>
      </c>
      <c r="E589" t="s">
        <v>38</v>
      </c>
      <c r="F589" t="s">
        <v>23</v>
      </c>
      <c r="G589">
        <v>35735.46</v>
      </c>
      <c r="H589">
        <v>21558.53</v>
      </c>
      <c r="I589">
        <v>14176.93</v>
      </c>
      <c r="J589">
        <v>49055.93</v>
      </c>
      <c r="K589">
        <v>6851.41</v>
      </c>
      <c r="L589">
        <v>88484.63</v>
      </c>
      <c r="M589">
        <v>702</v>
      </c>
      <c r="N589">
        <v>1.9400000000000001E-2</v>
      </c>
      <c r="O589">
        <f t="shared" si="18"/>
        <v>0.3967</v>
      </c>
      <c r="P589">
        <f t="shared" si="19"/>
        <v>7.7399999999999997E-2</v>
      </c>
      <c r="Q589" t="s">
        <v>66</v>
      </c>
      <c r="R589">
        <v>2025</v>
      </c>
      <c r="S589" t="s">
        <v>25</v>
      </c>
    </row>
    <row r="590" spans="1:19" x14ac:dyDescent="0.3">
      <c r="A590" t="s">
        <v>664</v>
      </c>
      <c r="B590">
        <v>44879</v>
      </c>
      <c r="C590" t="s">
        <v>61</v>
      </c>
      <c r="D590" t="s">
        <v>74</v>
      </c>
      <c r="E590" t="s">
        <v>22</v>
      </c>
      <c r="F590" t="s">
        <v>23</v>
      </c>
      <c r="G590">
        <v>434285.12640000001</v>
      </c>
      <c r="H590">
        <v>248896.41</v>
      </c>
      <c r="I590">
        <v>185388.71</v>
      </c>
      <c r="J590">
        <v>37077.93</v>
      </c>
      <c r="K590">
        <v>14661.93</v>
      </c>
      <c r="L590">
        <v>158436.4</v>
      </c>
      <c r="M590">
        <v>1232</v>
      </c>
      <c r="N590">
        <v>3.6400000000000002E-2</v>
      </c>
      <c r="O590">
        <f t="shared" si="18"/>
        <v>0.4269</v>
      </c>
      <c r="P590">
        <f t="shared" si="19"/>
        <v>9.2499999999999999E-2</v>
      </c>
      <c r="Q590" t="s">
        <v>46</v>
      </c>
      <c r="R590">
        <v>2022</v>
      </c>
      <c r="S590" t="s">
        <v>25</v>
      </c>
    </row>
    <row r="591" spans="1:19" x14ac:dyDescent="0.3">
      <c r="A591" t="s">
        <v>665</v>
      </c>
      <c r="B591">
        <v>45413</v>
      </c>
      <c r="C591" t="s">
        <v>54</v>
      </c>
      <c r="D591" t="s">
        <v>55</v>
      </c>
      <c r="E591" t="s">
        <v>38</v>
      </c>
      <c r="F591" t="s">
        <v>23</v>
      </c>
      <c r="G591">
        <v>122320.58</v>
      </c>
      <c r="H591">
        <v>83415.94</v>
      </c>
      <c r="I591">
        <v>38904.639999999999</v>
      </c>
      <c r="J591">
        <v>45181.47</v>
      </c>
      <c r="K591">
        <v>13190.63</v>
      </c>
      <c r="L591">
        <v>147868.21</v>
      </c>
      <c r="M591">
        <v>1689</v>
      </c>
      <c r="N591">
        <v>-8.0999999999999996E-3</v>
      </c>
      <c r="O591">
        <f t="shared" si="18"/>
        <v>0.31809999999999999</v>
      </c>
      <c r="P591">
        <f t="shared" si="19"/>
        <v>8.9200000000000002E-2</v>
      </c>
      <c r="Q591" t="s">
        <v>111</v>
      </c>
      <c r="R591">
        <v>2024</v>
      </c>
      <c r="S591" t="s">
        <v>25</v>
      </c>
    </row>
    <row r="592" spans="1:19" x14ac:dyDescent="0.3">
      <c r="A592" t="s">
        <v>666</v>
      </c>
      <c r="B592">
        <v>45875</v>
      </c>
      <c r="C592" t="s">
        <v>78</v>
      </c>
      <c r="D592" t="s">
        <v>79</v>
      </c>
      <c r="E592" t="s">
        <v>22</v>
      </c>
      <c r="F592" t="s">
        <v>23</v>
      </c>
      <c r="G592">
        <v>112066.9</v>
      </c>
      <c r="H592">
        <v>84031.05</v>
      </c>
      <c r="I592">
        <v>28035.85</v>
      </c>
      <c r="J592">
        <v>85485.81</v>
      </c>
      <c r="K592">
        <v>52843.56</v>
      </c>
      <c r="L592">
        <v>205363.45</v>
      </c>
      <c r="M592">
        <v>469</v>
      </c>
      <c r="N592">
        <v>0.11</v>
      </c>
      <c r="O592">
        <f t="shared" si="18"/>
        <v>0.25019999999999998</v>
      </c>
      <c r="P592">
        <f t="shared" si="19"/>
        <v>0.25729999999999997</v>
      </c>
      <c r="Q592" t="s">
        <v>24</v>
      </c>
      <c r="R592">
        <v>2025</v>
      </c>
      <c r="S592" t="s">
        <v>25</v>
      </c>
    </row>
    <row r="593" spans="1:19" x14ac:dyDescent="0.3">
      <c r="A593" t="s">
        <v>667</v>
      </c>
      <c r="B593">
        <v>45345</v>
      </c>
      <c r="C593" t="s">
        <v>30</v>
      </c>
      <c r="D593" t="s">
        <v>31</v>
      </c>
      <c r="E593" t="s">
        <v>51</v>
      </c>
      <c r="F593" t="s">
        <v>23</v>
      </c>
      <c r="G593">
        <v>111221.01</v>
      </c>
      <c r="H593">
        <v>76957.75</v>
      </c>
      <c r="I593">
        <v>34263.26</v>
      </c>
      <c r="J593">
        <v>32575.34</v>
      </c>
      <c r="K593">
        <v>102610.05</v>
      </c>
      <c r="L593">
        <v>71055.98</v>
      </c>
      <c r="M593">
        <v>440</v>
      </c>
      <c r="N593">
        <v>7.1300000000000002E-2</v>
      </c>
      <c r="O593">
        <f t="shared" si="18"/>
        <v>0.30809999999999998</v>
      </c>
      <c r="P593">
        <f t="shared" si="19"/>
        <v>1.4440999999999999</v>
      </c>
      <c r="Q593" t="s">
        <v>80</v>
      </c>
      <c r="R593">
        <v>2024</v>
      </c>
      <c r="S593" t="s">
        <v>82</v>
      </c>
    </row>
    <row r="594" spans="1:19" x14ac:dyDescent="0.3">
      <c r="A594" t="s">
        <v>668</v>
      </c>
      <c r="B594">
        <v>45350</v>
      </c>
      <c r="C594" t="s">
        <v>20</v>
      </c>
      <c r="D594" t="s">
        <v>21</v>
      </c>
      <c r="E594" t="s">
        <v>38</v>
      </c>
      <c r="F594" t="s">
        <v>23</v>
      </c>
      <c r="G594">
        <v>59198.07</v>
      </c>
      <c r="H594">
        <v>33124.9</v>
      </c>
      <c r="I594">
        <v>26073.17</v>
      </c>
      <c r="J594">
        <v>17051.919999999998</v>
      </c>
      <c r="K594">
        <v>46692.160000000003</v>
      </c>
      <c r="L594">
        <v>52908.21</v>
      </c>
      <c r="M594">
        <v>793</v>
      </c>
      <c r="N594">
        <v>8.8999999999999999E-3</v>
      </c>
      <c r="O594">
        <f t="shared" si="18"/>
        <v>0.44040000000000001</v>
      </c>
      <c r="P594">
        <f t="shared" si="19"/>
        <v>0.88249999999999995</v>
      </c>
      <c r="Q594" t="s">
        <v>80</v>
      </c>
      <c r="R594">
        <v>2024</v>
      </c>
      <c r="S594" t="s">
        <v>82</v>
      </c>
    </row>
    <row r="595" spans="1:19" x14ac:dyDescent="0.3">
      <c r="A595" t="s">
        <v>669</v>
      </c>
      <c r="B595">
        <v>45805</v>
      </c>
      <c r="C595" t="s">
        <v>36</v>
      </c>
      <c r="D595" t="s">
        <v>37</v>
      </c>
      <c r="E595" t="s">
        <v>22</v>
      </c>
      <c r="F595" t="s">
        <v>23</v>
      </c>
      <c r="G595">
        <v>58742.14</v>
      </c>
      <c r="H595">
        <v>49323.07</v>
      </c>
      <c r="I595">
        <v>9419.07</v>
      </c>
      <c r="J595">
        <v>36190.120000000003</v>
      </c>
      <c r="K595">
        <v>36831.449999999997</v>
      </c>
      <c r="L595">
        <v>120326.07</v>
      </c>
      <c r="M595">
        <v>440</v>
      </c>
      <c r="N595">
        <v>1.38E-2</v>
      </c>
      <c r="O595">
        <f t="shared" si="18"/>
        <v>0.1603</v>
      </c>
      <c r="P595">
        <f t="shared" si="19"/>
        <v>0.30609999999999998</v>
      </c>
      <c r="Q595" t="s">
        <v>34</v>
      </c>
      <c r="R595">
        <v>2025</v>
      </c>
      <c r="S595" t="s">
        <v>40</v>
      </c>
    </row>
    <row r="596" spans="1:19" x14ac:dyDescent="0.3">
      <c r="A596" t="s">
        <v>670</v>
      </c>
      <c r="B596">
        <v>45898</v>
      </c>
      <c r="C596" t="s">
        <v>1282</v>
      </c>
      <c r="D596" t="s">
        <v>69</v>
      </c>
      <c r="E596" t="s">
        <v>38</v>
      </c>
      <c r="F596" t="s">
        <v>23</v>
      </c>
      <c r="G596">
        <v>54773.68</v>
      </c>
      <c r="H596">
        <v>34417.879999999997</v>
      </c>
      <c r="I596">
        <v>20355.8</v>
      </c>
      <c r="J596">
        <v>22233.15</v>
      </c>
      <c r="K596">
        <v>16995.759999999998</v>
      </c>
      <c r="L596">
        <v>111761.48</v>
      </c>
      <c r="M596">
        <v>1429</v>
      </c>
      <c r="N596">
        <v>-2.06E-2</v>
      </c>
      <c r="O596">
        <f t="shared" si="18"/>
        <v>0.37159999999999999</v>
      </c>
      <c r="P596">
        <f t="shared" si="19"/>
        <v>0.15210000000000001</v>
      </c>
      <c r="Q596" t="s">
        <v>24</v>
      </c>
      <c r="R596">
        <v>2025</v>
      </c>
      <c r="S596" t="s">
        <v>25</v>
      </c>
    </row>
    <row r="597" spans="1:19" x14ac:dyDescent="0.3">
      <c r="A597" t="s">
        <v>671</v>
      </c>
      <c r="B597">
        <v>45276</v>
      </c>
      <c r="C597" t="s">
        <v>1282</v>
      </c>
      <c r="D597" t="s">
        <v>69</v>
      </c>
      <c r="E597" t="s">
        <v>38</v>
      </c>
      <c r="F597" t="s">
        <v>23</v>
      </c>
      <c r="G597">
        <v>67454.880000000005</v>
      </c>
      <c r="H597">
        <v>53805.16</v>
      </c>
      <c r="I597">
        <v>13649.72</v>
      </c>
      <c r="J597">
        <v>28340.04</v>
      </c>
      <c r="K597">
        <v>24792.43</v>
      </c>
      <c r="L597">
        <v>154141.70000000001</v>
      </c>
      <c r="M597">
        <v>518</v>
      </c>
      <c r="N597">
        <v>4.1500000000000002E-2</v>
      </c>
      <c r="O597">
        <f t="shared" si="18"/>
        <v>0.2024</v>
      </c>
      <c r="P597">
        <f t="shared" si="19"/>
        <v>0.1608</v>
      </c>
      <c r="Q597" t="s">
        <v>44</v>
      </c>
      <c r="R597">
        <v>2023</v>
      </c>
      <c r="S597" t="s">
        <v>25</v>
      </c>
    </row>
    <row r="598" spans="1:19" x14ac:dyDescent="0.3">
      <c r="A598" t="s">
        <v>672</v>
      </c>
      <c r="B598">
        <v>45359</v>
      </c>
      <c r="C598" t="s">
        <v>48</v>
      </c>
      <c r="D598" t="s">
        <v>49</v>
      </c>
      <c r="E598" t="s">
        <v>32</v>
      </c>
      <c r="F598" t="s">
        <v>23</v>
      </c>
      <c r="G598">
        <v>47589.531950000004</v>
      </c>
      <c r="H598">
        <v>36019.589999999997</v>
      </c>
      <c r="I598">
        <v>11569.94</v>
      </c>
      <c r="J598">
        <v>37339.15</v>
      </c>
      <c r="K598">
        <v>12103.9</v>
      </c>
      <c r="L598">
        <v>106366.64</v>
      </c>
      <c r="M598">
        <v>376</v>
      </c>
      <c r="N598">
        <v>-4.0599999999999997E-2</v>
      </c>
      <c r="O598">
        <f t="shared" si="18"/>
        <v>0.24310000000000001</v>
      </c>
      <c r="P598">
        <f t="shared" si="19"/>
        <v>0.1138</v>
      </c>
      <c r="Q598" t="s">
        <v>80</v>
      </c>
      <c r="R598">
        <v>2024</v>
      </c>
      <c r="S598" t="s">
        <v>25</v>
      </c>
    </row>
    <row r="599" spans="1:19" x14ac:dyDescent="0.3">
      <c r="A599" t="s">
        <v>673</v>
      </c>
      <c r="B599">
        <v>45637</v>
      </c>
      <c r="C599" t="s">
        <v>27</v>
      </c>
      <c r="D599" t="s">
        <v>28</v>
      </c>
      <c r="E599" t="s">
        <v>32</v>
      </c>
      <c r="F599" t="s">
        <v>23</v>
      </c>
      <c r="G599">
        <v>111445.55220000001</v>
      </c>
      <c r="H599">
        <v>61361.08</v>
      </c>
      <c r="I599">
        <v>50084.480000000003</v>
      </c>
      <c r="J599">
        <v>11049.26</v>
      </c>
      <c r="K599">
        <v>50940.800000000003</v>
      </c>
      <c r="L599">
        <v>63486.71</v>
      </c>
      <c r="M599">
        <v>1921</v>
      </c>
      <c r="N599">
        <v>0.1201</v>
      </c>
      <c r="O599">
        <f t="shared" si="18"/>
        <v>0.44940000000000002</v>
      </c>
      <c r="P599">
        <f t="shared" si="19"/>
        <v>0.8024</v>
      </c>
      <c r="Q599" t="s">
        <v>52</v>
      </c>
      <c r="R599">
        <v>2024</v>
      </c>
      <c r="S599" t="s">
        <v>82</v>
      </c>
    </row>
    <row r="600" spans="1:19" x14ac:dyDescent="0.3">
      <c r="A600" t="s">
        <v>674</v>
      </c>
      <c r="B600">
        <v>45591</v>
      </c>
      <c r="C600" t="s">
        <v>1282</v>
      </c>
      <c r="D600" t="s">
        <v>69</v>
      </c>
      <c r="E600" t="s">
        <v>32</v>
      </c>
      <c r="F600" t="s">
        <v>23</v>
      </c>
      <c r="G600">
        <v>119694.59019999999</v>
      </c>
      <c r="H600">
        <v>82947.289999999994</v>
      </c>
      <c r="I600">
        <v>36747.300000000003</v>
      </c>
      <c r="J600">
        <v>132774.26999999999</v>
      </c>
      <c r="K600">
        <v>106771.36</v>
      </c>
      <c r="L600">
        <v>148127.70000000001</v>
      </c>
      <c r="M600">
        <v>1104</v>
      </c>
      <c r="N600">
        <v>2.7E-2</v>
      </c>
      <c r="O600">
        <f t="shared" si="18"/>
        <v>0.307</v>
      </c>
      <c r="P600">
        <f t="shared" si="19"/>
        <v>0.7208</v>
      </c>
      <c r="Q600" t="s">
        <v>52</v>
      </c>
      <c r="R600">
        <v>2024</v>
      </c>
      <c r="S600" t="s">
        <v>82</v>
      </c>
    </row>
    <row r="601" spans="1:19" x14ac:dyDescent="0.3">
      <c r="A601" t="s">
        <v>675</v>
      </c>
      <c r="B601">
        <v>45081</v>
      </c>
      <c r="C601" t="s">
        <v>42</v>
      </c>
      <c r="D601" t="s">
        <v>43</v>
      </c>
      <c r="E601" t="s">
        <v>32</v>
      </c>
      <c r="F601" t="s">
        <v>23</v>
      </c>
      <c r="G601">
        <v>159538.79255000001</v>
      </c>
      <c r="H601">
        <v>143346.41</v>
      </c>
      <c r="I601">
        <v>16192.38</v>
      </c>
      <c r="J601">
        <v>42648.79</v>
      </c>
      <c r="K601">
        <v>22931.19</v>
      </c>
      <c r="L601">
        <v>123128.56</v>
      </c>
      <c r="M601">
        <v>594</v>
      </c>
      <c r="N601">
        <v>0.13980000000000001</v>
      </c>
      <c r="O601">
        <f t="shared" si="18"/>
        <v>0.10150000000000001</v>
      </c>
      <c r="P601">
        <f t="shared" si="19"/>
        <v>0.1862</v>
      </c>
      <c r="Q601" t="s">
        <v>39</v>
      </c>
      <c r="R601">
        <v>2023</v>
      </c>
      <c r="S601" t="s">
        <v>25</v>
      </c>
    </row>
    <row r="602" spans="1:19" x14ac:dyDescent="0.3">
      <c r="A602" t="s">
        <v>676</v>
      </c>
      <c r="B602">
        <v>45291</v>
      </c>
      <c r="C602" t="s">
        <v>54</v>
      </c>
      <c r="D602" t="s">
        <v>55</v>
      </c>
      <c r="E602" t="s">
        <v>38</v>
      </c>
      <c r="F602" t="s">
        <v>23</v>
      </c>
      <c r="G602">
        <v>45233.34</v>
      </c>
      <c r="H602">
        <v>27844.27</v>
      </c>
      <c r="I602">
        <v>17389.07</v>
      </c>
      <c r="J602">
        <v>13357.47</v>
      </c>
      <c r="K602">
        <v>55683.42</v>
      </c>
      <c r="L602">
        <v>201461.33</v>
      </c>
      <c r="M602">
        <v>301</v>
      </c>
      <c r="N602">
        <v>-1.84E-2</v>
      </c>
      <c r="O602">
        <f t="shared" si="18"/>
        <v>0.38440000000000002</v>
      </c>
      <c r="P602">
        <f t="shared" si="19"/>
        <v>0.27639999999999998</v>
      </c>
      <c r="Q602" t="s">
        <v>44</v>
      </c>
      <c r="R602">
        <v>2023</v>
      </c>
      <c r="S602" t="s">
        <v>25</v>
      </c>
    </row>
    <row r="603" spans="1:19" x14ac:dyDescent="0.3">
      <c r="A603" t="s">
        <v>677</v>
      </c>
      <c r="B603">
        <v>45038</v>
      </c>
      <c r="C603" t="s">
        <v>36</v>
      </c>
      <c r="D603" t="s">
        <v>37</v>
      </c>
      <c r="E603" t="s">
        <v>38</v>
      </c>
      <c r="F603" t="s">
        <v>23</v>
      </c>
      <c r="G603">
        <v>67593.47</v>
      </c>
      <c r="H603">
        <v>50948.95</v>
      </c>
      <c r="I603">
        <v>16644.52</v>
      </c>
      <c r="J603">
        <v>62021.81</v>
      </c>
      <c r="K603">
        <v>3390.55</v>
      </c>
      <c r="L603">
        <v>343176.24</v>
      </c>
      <c r="M603">
        <v>1260</v>
      </c>
      <c r="N603">
        <v>-3.2899999999999999E-2</v>
      </c>
      <c r="O603">
        <f t="shared" si="18"/>
        <v>0.2462</v>
      </c>
      <c r="P603">
        <f t="shared" si="19"/>
        <v>9.9000000000000008E-3</v>
      </c>
      <c r="Q603" t="s">
        <v>39</v>
      </c>
      <c r="R603">
        <v>2023</v>
      </c>
      <c r="S603" t="s">
        <v>25</v>
      </c>
    </row>
    <row r="604" spans="1:19" x14ac:dyDescent="0.3">
      <c r="A604" t="s">
        <v>678</v>
      </c>
      <c r="B604">
        <v>45116</v>
      </c>
      <c r="C604" t="s">
        <v>42</v>
      </c>
      <c r="D604" t="s">
        <v>43</v>
      </c>
      <c r="E604" t="s">
        <v>51</v>
      </c>
      <c r="F604" t="s">
        <v>23</v>
      </c>
      <c r="G604">
        <v>49657.84</v>
      </c>
      <c r="H604">
        <v>39673.910000000003</v>
      </c>
      <c r="I604">
        <v>9983.93</v>
      </c>
      <c r="J604">
        <v>36288.089999999997</v>
      </c>
      <c r="K604">
        <v>140544.73000000001</v>
      </c>
      <c r="L604">
        <v>116280.07</v>
      </c>
      <c r="M604">
        <v>444</v>
      </c>
      <c r="N604">
        <v>0.14649999999999999</v>
      </c>
      <c r="O604">
        <f t="shared" si="18"/>
        <v>0.2011</v>
      </c>
      <c r="P604">
        <f t="shared" si="19"/>
        <v>1.2087000000000001</v>
      </c>
      <c r="Q604" t="s">
        <v>56</v>
      </c>
      <c r="R604">
        <v>2023</v>
      </c>
      <c r="S604" t="s">
        <v>82</v>
      </c>
    </row>
    <row r="605" spans="1:19" x14ac:dyDescent="0.3">
      <c r="A605" t="s">
        <v>679</v>
      </c>
      <c r="B605">
        <v>44737</v>
      </c>
      <c r="C605" t="s">
        <v>102</v>
      </c>
      <c r="D605" t="s">
        <v>103</v>
      </c>
      <c r="E605" t="s">
        <v>22</v>
      </c>
      <c r="F605" t="s">
        <v>23</v>
      </c>
      <c r="G605">
        <v>294606.64</v>
      </c>
      <c r="H605">
        <v>247000.78</v>
      </c>
      <c r="I605">
        <v>47605.86</v>
      </c>
      <c r="J605">
        <v>41859.99</v>
      </c>
      <c r="K605">
        <v>20055.79</v>
      </c>
      <c r="L605">
        <v>94042.32</v>
      </c>
      <c r="M605">
        <v>1578</v>
      </c>
      <c r="N605">
        <v>-4.9700000000000001E-2</v>
      </c>
      <c r="O605">
        <f t="shared" si="18"/>
        <v>0.16159999999999999</v>
      </c>
      <c r="P605">
        <f t="shared" si="19"/>
        <v>0.21329999999999999</v>
      </c>
      <c r="Q605" t="s">
        <v>58</v>
      </c>
      <c r="R605">
        <v>2022</v>
      </c>
      <c r="S605" t="s">
        <v>25</v>
      </c>
    </row>
    <row r="606" spans="1:19" x14ac:dyDescent="0.3">
      <c r="A606" t="s">
        <v>680</v>
      </c>
      <c r="B606">
        <v>45726</v>
      </c>
      <c r="C606" t="s">
        <v>20</v>
      </c>
      <c r="D606" t="s">
        <v>21</v>
      </c>
      <c r="E606" t="s">
        <v>32</v>
      </c>
      <c r="F606" t="s">
        <v>23</v>
      </c>
      <c r="G606">
        <v>352730.13124999998</v>
      </c>
      <c r="H606">
        <v>238113.85</v>
      </c>
      <c r="I606">
        <v>114616.29</v>
      </c>
      <c r="J606">
        <v>49491.33</v>
      </c>
      <c r="K606">
        <v>35572.78</v>
      </c>
      <c r="L606">
        <v>178003.33</v>
      </c>
      <c r="M606">
        <v>857</v>
      </c>
      <c r="N606">
        <v>-5.3199999999999997E-2</v>
      </c>
      <c r="O606">
        <f t="shared" si="18"/>
        <v>0.32490000000000002</v>
      </c>
      <c r="P606">
        <f t="shared" si="19"/>
        <v>0.19980000000000001</v>
      </c>
      <c r="Q606" t="s">
        <v>106</v>
      </c>
      <c r="R606">
        <v>2025</v>
      </c>
      <c r="S606" t="s">
        <v>25</v>
      </c>
    </row>
    <row r="607" spans="1:19" x14ac:dyDescent="0.3">
      <c r="A607" t="s">
        <v>681</v>
      </c>
      <c r="B607">
        <v>45372</v>
      </c>
      <c r="C607" t="s">
        <v>85</v>
      </c>
      <c r="D607" t="s">
        <v>86</v>
      </c>
      <c r="E607" t="s">
        <v>38</v>
      </c>
      <c r="F607" t="s">
        <v>23</v>
      </c>
      <c r="G607">
        <v>137562.97</v>
      </c>
      <c r="H607">
        <v>89283.5</v>
      </c>
      <c r="I607">
        <v>48279.47</v>
      </c>
      <c r="J607">
        <v>32555.02</v>
      </c>
      <c r="K607">
        <v>54278.33</v>
      </c>
      <c r="L607">
        <v>84213.74</v>
      </c>
      <c r="M607">
        <v>1032</v>
      </c>
      <c r="N607">
        <v>5.96E-2</v>
      </c>
      <c r="O607">
        <f t="shared" si="18"/>
        <v>0.35099999999999998</v>
      </c>
      <c r="P607">
        <f t="shared" si="19"/>
        <v>0.64449999999999996</v>
      </c>
      <c r="Q607" t="s">
        <v>80</v>
      </c>
      <c r="R607">
        <v>2024</v>
      </c>
      <c r="S607" t="s">
        <v>82</v>
      </c>
    </row>
    <row r="608" spans="1:19" x14ac:dyDescent="0.3">
      <c r="A608" t="s">
        <v>682</v>
      </c>
      <c r="B608">
        <v>45472</v>
      </c>
      <c r="C608" t="s">
        <v>1282</v>
      </c>
      <c r="D608" t="s">
        <v>69</v>
      </c>
      <c r="E608" t="s">
        <v>32</v>
      </c>
      <c r="F608" t="s">
        <v>23</v>
      </c>
      <c r="G608">
        <v>64525.112450000001</v>
      </c>
      <c r="H608">
        <v>39746.35</v>
      </c>
      <c r="I608">
        <v>24778.76</v>
      </c>
      <c r="J608">
        <v>66598.7</v>
      </c>
      <c r="K608">
        <v>21205.11</v>
      </c>
      <c r="L608">
        <v>89141.39</v>
      </c>
      <c r="M608">
        <v>621</v>
      </c>
      <c r="N608">
        <v>-7.4999999999999997E-2</v>
      </c>
      <c r="O608">
        <f t="shared" si="18"/>
        <v>0.38400000000000001</v>
      </c>
      <c r="P608">
        <f t="shared" si="19"/>
        <v>0.2379</v>
      </c>
      <c r="Q608" t="s">
        <v>111</v>
      </c>
      <c r="R608">
        <v>2024</v>
      </c>
      <c r="S608" t="s">
        <v>25</v>
      </c>
    </row>
    <row r="609" spans="1:19" x14ac:dyDescent="0.3">
      <c r="A609" t="s">
        <v>683</v>
      </c>
      <c r="B609">
        <v>45650</v>
      </c>
      <c r="C609" t="s">
        <v>61</v>
      </c>
      <c r="D609" t="s">
        <v>74</v>
      </c>
      <c r="E609" t="s">
        <v>22</v>
      </c>
      <c r="F609" t="s">
        <v>23</v>
      </c>
      <c r="G609">
        <v>25398.54</v>
      </c>
      <c r="H609">
        <v>17227.47</v>
      </c>
      <c r="I609">
        <v>8171.07</v>
      </c>
      <c r="J609">
        <v>135376.24</v>
      </c>
      <c r="K609">
        <v>38909.14</v>
      </c>
      <c r="L609">
        <v>209734.39999999999</v>
      </c>
      <c r="M609">
        <v>636</v>
      </c>
      <c r="N609">
        <v>9.7699999999999995E-2</v>
      </c>
      <c r="O609">
        <f t="shared" si="18"/>
        <v>0.32169999999999999</v>
      </c>
      <c r="P609">
        <f t="shared" si="19"/>
        <v>0.1855</v>
      </c>
      <c r="Q609" t="s">
        <v>52</v>
      </c>
      <c r="R609">
        <v>2024</v>
      </c>
      <c r="S609" t="s">
        <v>25</v>
      </c>
    </row>
    <row r="610" spans="1:19" x14ac:dyDescent="0.3">
      <c r="A610" t="s">
        <v>684</v>
      </c>
      <c r="B610">
        <v>45871</v>
      </c>
      <c r="C610" t="s">
        <v>85</v>
      </c>
      <c r="D610" t="s">
        <v>86</v>
      </c>
      <c r="E610" t="s">
        <v>32</v>
      </c>
      <c r="F610" t="s">
        <v>23</v>
      </c>
      <c r="G610">
        <v>148404.54920000001</v>
      </c>
      <c r="H610">
        <v>129575.72</v>
      </c>
      <c r="I610">
        <v>18828.830000000002</v>
      </c>
      <c r="J610">
        <v>14845.07</v>
      </c>
      <c r="K610">
        <v>145378.23000000001</v>
      </c>
      <c r="L610">
        <v>194887.74</v>
      </c>
      <c r="M610">
        <v>1452</v>
      </c>
      <c r="N610">
        <v>1.4999999999999999E-2</v>
      </c>
      <c r="O610">
        <f t="shared" si="18"/>
        <v>0.12690000000000001</v>
      </c>
      <c r="P610">
        <f t="shared" si="19"/>
        <v>0.746</v>
      </c>
      <c r="Q610" t="s">
        <v>24</v>
      </c>
      <c r="R610">
        <v>2025</v>
      </c>
      <c r="S610" t="s">
        <v>82</v>
      </c>
    </row>
    <row r="611" spans="1:19" x14ac:dyDescent="0.3">
      <c r="A611" t="s">
        <v>685</v>
      </c>
      <c r="B611">
        <v>44882</v>
      </c>
      <c r="C611" t="s">
        <v>1282</v>
      </c>
      <c r="D611" t="s">
        <v>69</v>
      </c>
      <c r="E611" t="s">
        <v>32</v>
      </c>
      <c r="F611" t="s">
        <v>23</v>
      </c>
      <c r="G611">
        <v>117001.40135</v>
      </c>
      <c r="H611">
        <v>77743.5</v>
      </c>
      <c r="I611">
        <v>39257.910000000003</v>
      </c>
      <c r="J611">
        <v>28900.61</v>
      </c>
      <c r="K611">
        <v>9499.68</v>
      </c>
      <c r="L611">
        <v>55491.6</v>
      </c>
      <c r="M611">
        <v>633</v>
      </c>
      <c r="N611">
        <v>1.5900000000000001E-2</v>
      </c>
      <c r="O611">
        <f t="shared" si="18"/>
        <v>0.33550000000000002</v>
      </c>
      <c r="P611">
        <f t="shared" si="19"/>
        <v>0.17119999999999999</v>
      </c>
      <c r="Q611" t="s">
        <v>46</v>
      </c>
      <c r="R611">
        <v>2022</v>
      </c>
      <c r="S611" t="s">
        <v>25</v>
      </c>
    </row>
    <row r="612" spans="1:19" x14ac:dyDescent="0.3">
      <c r="A612" t="s">
        <v>686</v>
      </c>
      <c r="B612">
        <v>45277</v>
      </c>
      <c r="C612" t="s">
        <v>54</v>
      </c>
      <c r="D612" t="s">
        <v>55</v>
      </c>
      <c r="E612" t="s">
        <v>22</v>
      </c>
      <c r="F612" t="s">
        <v>23</v>
      </c>
      <c r="G612">
        <v>142554.76</v>
      </c>
      <c r="H612">
        <v>108041.47</v>
      </c>
      <c r="I612">
        <v>34513.29</v>
      </c>
      <c r="J612">
        <v>49996.3</v>
      </c>
      <c r="K612">
        <v>51957.11</v>
      </c>
      <c r="L612">
        <v>199980.65</v>
      </c>
      <c r="M612">
        <v>1486</v>
      </c>
      <c r="N612">
        <v>-2.93E-2</v>
      </c>
      <c r="O612">
        <f t="shared" si="18"/>
        <v>0.24210000000000001</v>
      </c>
      <c r="P612">
        <f t="shared" si="19"/>
        <v>0.25979999999999998</v>
      </c>
      <c r="Q612" t="s">
        <v>44</v>
      </c>
      <c r="R612">
        <v>2023</v>
      </c>
      <c r="S612" t="s">
        <v>25</v>
      </c>
    </row>
    <row r="613" spans="1:19" x14ac:dyDescent="0.3">
      <c r="A613" t="s">
        <v>687</v>
      </c>
      <c r="B613">
        <v>44937</v>
      </c>
      <c r="C613" t="s">
        <v>1282</v>
      </c>
      <c r="D613" t="s">
        <v>69</v>
      </c>
      <c r="E613" t="s">
        <v>38</v>
      </c>
      <c r="F613" t="s">
        <v>23</v>
      </c>
      <c r="G613">
        <v>46793.11</v>
      </c>
      <c r="H613">
        <v>30978.17</v>
      </c>
      <c r="I613">
        <v>15814.94</v>
      </c>
      <c r="J613">
        <v>87104.03</v>
      </c>
      <c r="K613">
        <v>77512.58</v>
      </c>
      <c r="L613">
        <v>139845.53</v>
      </c>
      <c r="M613">
        <v>930</v>
      </c>
      <c r="N613">
        <v>6.6900000000000001E-2</v>
      </c>
      <c r="O613">
        <f t="shared" si="18"/>
        <v>0.33800000000000002</v>
      </c>
      <c r="P613">
        <f t="shared" si="19"/>
        <v>0.55430000000000001</v>
      </c>
      <c r="Q613" t="s">
        <v>118</v>
      </c>
      <c r="R613">
        <v>2023</v>
      </c>
      <c r="S613" t="s">
        <v>40</v>
      </c>
    </row>
    <row r="614" spans="1:19" x14ac:dyDescent="0.3">
      <c r="A614" t="s">
        <v>688</v>
      </c>
      <c r="B614">
        <v>45118</v>
      </c>
      <c r="C614" t="s">
        <v>42</v>
      </c>
      <c r="D614" t="s">
        <v>43</v>
      </c>
      <c r="E614" t="s">
        <v>38</v>
      </c>
      <c r="F614" t="s">
        <v>23</v>
      </c>
      <c r="G614">
        <v>63854.71</v>
      </c>
      <c r="H614">
        <v>51868.73</v>
      </c>
      <c r="I614">
        <v>11985.98</v>
      </c>
      <c r="J614">
        <v>26400.34</v>
      </c>
      <c r="K614">
        <v>33767.199999999997</v>
      </c>
      <c r="L614">
        <v>99033.82</v>
      </c>
      <c r="M614">
        <v>620</v>
      </c>
      <c r="N614">
        <v>-2.7000000000000001E-3</v>
      </c>
      <c r="O614">
        <f t="shared" si="18"/>
        <v>0.18770000000000001</v>
      </c>
      <c r="P614">
        <f t="shared" si="19"/>
        <v>0.34100000000000003</v>
      </c>
      <c r="Q614" t="s">
        <v>56</v>
      </c>
      <c r="R614">
        <v>2023</v>
      </c>
      <c r="S614" t="s">
        <v>40</v>
      </c>
    </row>
    <row r="615" spans="1:19" x14ac:dyDescent="0.3">
      <c r="A615" t="s">
        <v>689</v>
      </c>
      <c r="B615">
        <v>45345</v>
      </c>
      <c r="C615" t="s">
        <v>20</v>
      </c>
      <c r="D615" t="s">
        <v>21</v>
      </c>
      <c r="E615" t="s">
        <v>32</v>
      </c>
      <c r="F615" t="s">
        <v>23</v>
      </c>
      <c r="G615">
        <v>70146.283849999993</v>
      </c>
      <c r="H615">
        <v>54050.78</v>
      </c>
      <c r="I615">
        <v>16095.51</v>
      </c>
      <c r="J615">
        <v>89233.48</v>
      </c>
      <c r="K615">
        <v>25015.83</v>
      </c>
      <c r="L615">
        <v>131135.20000000001</v>
      </c>
      <c r="M615">
        <v>827</v>
      </c>
      <c r="N615">
        <v>0.1129</v>
      </c>
      <c r="O615">
        <f t="shared" si="18"/>
        <v>0.22950000000000001</v>
      </c>
      <c r="P615">
        <f t="shared" si="19"/>
        <v>0.1908</v>
      </c>
      <c r="Q615" t="s">
        <v>80</v>
      </c>
      <c r="R615">
        <v>2024</v>
      </c>
      <c r="S615" t="s">
        <v>25</v>
      </c>
    </row>
    <row r="616" spans="1:19" x14ac:dyDescent="0.3">
      <c r="A616" t="s">
        <v>690</v>
      </c>
      <c r="B616">
        <v>44763</v>
      </c>
      <c r="C616" t="s">
        <v>1282</v>
      </c>
      <c r="D616" t="s">
        <v>69</v>
      </c>
      <c r="E616" t="s">
        <v>38</v>
      </c>
      <c r="F616" t="s">
        <v>23</v>
      </c>
      <c r="G616">
        <v>38565.14</v>
      </c>
      <c r="H616">
        <v>29246.67</v>
      </c>
      <c r="I616">
        <v>9318.4699999999993</v>
      </c>
      <c r="J616">
        <v>23959.27</v>
      </c>
      <c r="K616">
        <v>64046.11</v>
      </c>
      <c r="L616">
        <v>94062.720000000001</v>
      </c>
      <c r="M616">
        <v>981</v>
      </c>
      <c r="N616">
        <v>9.2999999999999992E-3</v>
      </c>
      <c r="O616">
        <f t="shared" si="18"/>
        <v>0.24160000000000001</v>
      </c>
      <c r="P616">
        <f t="shared" si="19"/>
        <v>0.68089999999999995</v>
      </c>
      <c r="Q616" t="s">
        <v>76</v>
      </c>
      <c r="R616">
        <v>2022</v>
      </c>
      <c r="S616" t="s">
        <v>82</v>
      </c>
    </row>
    <row r="617" spans="1:19" x14ac:dyDescent="0.3">
      <c r="A617" t="s">
        <v>691</v>
      </c>
      <c r="B617">
        <v>45002</v>
      </c>
      <c r="C617" t="s">
        <v>27</v>
      </c>
      <c r="D617" t="s">
        <v>28</v>
      </c>
      <c r="E617" t="s">
        <v>32</v>
      </c>
      <c r="F617" t="s">
        <v>23</v>
      </c>
      <c r="G617">
        <v>57408.971799999999</v>
      </c>
      <c r="H617">
        <v>42584.7</v>
      </c>
      <c r="I617">
        <v>14824.27</v>
      </c>
      <c r="J617">
        <v>47685.599999999999</v>
      </c>
      <c r="K617">
        <v>11681.79</v>
      </c>
      <c r="L617">
        <v>135161.81</v>
      </c>
      <c r="M617">
        <v>648</v>
      </c>
      <c r="N617">
        <v>5.7000000000000002E-3</v>
      </c>
      <c r="O617">
        <f t="shared" si="18"/>
        <v>0.25819999999999999</v>
      </c>
      <c r="P617">
        <f t="shared" si="19"/>
        <v>8.6400000000000005E-2</v>
      </c>
      <c r="Q617" t="s">
        <v>118</v>
      </c>
      <c r="R617">
        <v>2023</v>
      </c>
      <c r="S617" t="s">
        <v>25</v>
      </c>
    </row>
    <row r="618" spans="1:19" x14ac:dyDescent="0.3">
      <c r="A618" t="s">
        <v>692</v>
      </c>
      <c r="B618">
        <v>45143</v>
      </c>
      <c r="C618" t="s">
        <v>48</v>
      </c>
      <c r="D618" t="s">
        <v>49</v>
      </c>
      <c r="E618" t="s">
        <v>38</v>
      </c>
      <c r="F618" t="s">
        <v>23</v>
      </c>
      <c r="G618">
        <v>310403.74</v>
      </c>
      <c r="H618">
        <v>230456.99</v>
      </c>
      <c r="I618">
        <v>79946.75</v>
      </c>
      <c r="J618">
        <v>103399.64</v>
      </c>
      <c r="K618">
        <v>8352.98</v>
      </c>
      <c r="L618">
        <v>203622</v>
      </c>
      <c r="M618">
        <v>938</v>
      </c>
      <c r="N618">
        <v>-0.1283</v>
      </c>
      <c r="O618">
        <f t="shared" si="18"/>
        <v>0.2576</v>
      </c>
      <c r="P618">
        <f t="shared" si="19"/>
        <v>4.1000000000000002E-2</v>
      </c>
      <c r="Q618" t="s">
        <v>56</v>
      </c>
      <c r="R618">
        <v>2023</v>
      </c>
      <c r="S618" t="s">
        <v>25</v>
      </c>
    </row>
    <row r="619" spans="1:19" x14ac:dyDescent="0.3">
      <c r="A619" t="s">
        <v>693</v>
      </c>
      <c r="B619">
        <v>45277</v>
      </c>
      <c r="C619" t="s">
        <v>42</v>
      </c>
      <c r="D619" t="s">
        <v>43</v>
      </c>
      <c r="E619" t="s">
        <v>22</v>
      </c>
      <c r="F619" t="s">
        <v>23</v>
      </c>
      <c r="G619">
        <v>24191.67</v>
      </c>
      <c r="H619">
        <v>19900.400000000001</v>
      </c>
      <c r="I619">
        <v>4291.2700000000004</v>
      </c>
      <c r="J619">
        <v>22182.6</v>
      </c>
      <c r="K619">
        <v>33145.379999999997</v>
      </c>
      <c r="L619">
        <v>80951.929999999993</v>
      </c>
      <c r="M619">
        <v>836</v>
      </c>
      <c r="N619">
        <v>-2.6499999999999999E-2</v>
      </c>
      <c r="O619">
        <f t="shared" si="18"/>
        <v>0.1774</v>
      </c>
      <c r="P619">
        <f t="shared" si="19"/>
        <v>0.40939999999999999</v>
      </c>
      <c r="Q619" t="s">
        <v>44</v>
      </c>
      <c r="R619">
        <v>2023</v>
      </c>
      <c r="S619" t="s">
        <v>40</v>
      </c>
    </row>
    <row r="620" spans="1:19" x14ac:dyDescent="0.3">
      <c r="A620" t="s">
        <v>694</v>
      </c>
      <c r="B620">
        <v>45461</v>
      </c>
      <c r="C620" t="s">
        <v>20</v>
      </c>
      <c r="D620" t="s">
        <v>21</v>
      </c>
      <c r="E620" t="s">
        <v>32</v>
      </c>
      <c r="F620" t="s">
        <v>23</v>
      </c>
      <c r="G620">
        <v>53786.386450000005</v>
      </c>
      <c r="H620">
        <v>45072.2</v>
      </c>
      <c r="I620">
        <v>8714.18</v>
      </c>
      <c r="J620">
        <v>12832.77</v>
      </c>
      <c r="K620">
        <v>6228.01</v>
      </c>
      <c r="L620">
        <v>213488.87</v>
      </c>
      <c r="M620">
        <v>623</v>
      </c>
      <c r="N620">
        <v>-1.7100000000000001E-2</v>
      </c>
      <c r="O620">
        <f t="shared" si="18"/>
        <v>0.16200000000000001</v>
      </c>
      <c r="P620">
        <f t="shared" si="19"/>
        <v>2.92E-2</v>
      </c>
      <c r="Q620" t="s">
        <v>111</v>
      </c>
      <c r="R620">
        <v>2024</v>
      </c>
      <c r="S620" t="s">
        <v>25</v>
      </c>
    </row>
    <row r="621" spans="1:19" x14ac:dyDescent="0.3">
      <c r="A621" t="s">
        <v>695</v>
      </c>
      <c r="B621" s="4">
        <v>45344</v>
      </c>
      <c r="C621" t="s">
        <v>48</v>
      </c>
      <c r="D621" t="s">
        <v>49</v>
      </c>
      <c r="E621" t="s">
        <v>22</v>
      </c>
      <c r="F621" t="s">
        <v>23</v>
      </c>
      <c r="G621">
        <v>48605.13</v>
      </c>
      <c r="H621">
        <v>36207.050000000003</v>
      </c>
      <c r="I621">
        <v>12398.08</v>
      </c>
      <c r="J621">
        <v>26773.25</v>
      </c>
      <c r="K621">
        <v>23105.07</v>
      </c>
      <c r="L621">
        <v>46248.800000000003</v>
      </c>
      <c r="M621">
        <v>1658</v>
      </c>
      <c r="N621">
        <v>-1.2800000000000001E-2</v>
      </c>
      <c r="O621">
        <f t="shared" si="18"/>
        <v>0.25509999999999999</v>
      </c>
      <c r="P621">
        <f t="shared" si="19"/>
        <v>0.49959999999999999</v>
      </c>
      <c r="Q621" t="s">
        <v>80</v>
      </c>
      <c r="R621">
        <v>2024</v>
      </c>
      <c r="S621" t="s">
        <v>40</v>
      </c>
    </row>
    <row r="622" spans="1:19" x14ac:dyDescent="0.3">
      <c r="A622" t="s">
        <v>696</v>
      </c>
      <c r="B622">
        <v>45478</v>
      </c>
      <c r="C622" t="s">
        <v>78</v>
      </c>
      <c r="D622" t="s">
        <v>79</v>
      </c>
      <c r="E622" t="s">
        <v>32</v>
      </c>
      <c r="F622" t="s">
        <v>23</v>
      </c>
      <c r="G622">
        <v>36483.604449999999</v>
      </c>
      <c r="H622">
        <v>21412.68</v>
      </c>
      <c r="I622">
        <v>15070.93</v>
      </c>
      <c r="J622">
        <v>45093.88</v>
      </c>
      <c r="K622">
        <v>34916.949999999997</v>
      </c>
      <c r="L622">
        <v>95159.82</v>
      </c>
      <c r="M622">
        <v>913</v>
      </c>
      <c r="N622">
        <v>0.1145</v>
      </c>
      <c r="O622">
        <f t="shared" si="18"/>
        <v>0.41310000000000002</v>
      </c>
      <c r="P622">
        <f t="shared" si="19"/>
        <v>0.3669</v>
      </c>
      <c r="Q622" t="s">
        <v>72</v>
      </c>
      <c r="R622">
        <v>2024</v>
      </c>
      <c r="S622" t="s">
        <v>40</v>
      </c>
    </row>
    <row r="623" spans="1:19" x14ac:dyDescent="0.3">
      <c r="A623" t="s">
        <v>697</v>
      </c>
      <c r="B623">
        <v>45639</v>
      </c>
      <c r="C623" t="s">
        <v>48</v>
      </c>
      <c r="D623" t="s">
        <v>49</v>
      </c>
      <c r="E623" t="s">
        <v>38</v>
      </c>
      <c r="F623" t="s">
        <v>23</v>
      </c>
      <c r="G623">
        <v>80462.89</v>
      </c>
      <c r="H623">
        <v>68352.27</v>
      </c>
      <c r="I623">
        <v>12110.62</v>
      </c>
      <c r="J623">
        <v>52018.58</v>
      </c>
      <c r="K623">
        <v>49135.55</v>
      </c>
      <c r="L623">
        <v>162881.57999999999</v>
      </c>
      <c r="M623">
        <v>555</v>
      </c>
      <c r="N623">
        <v>1.37E-2</v>
      </c>
      <c r="O623">
        <f t="shared" si="18"/>
        <v>0.15049999999999999</v>
      </c>
      <c r="P623">
        <f t="shared" si="19"/>
        <v>0.30170000000000002</v>
      </c>
      <c r="Q623" t="s">
        <v>52</v>
      </c>
      <c r="R623">
        <v>2024</v>
      </c>
      <c r="S623" t="s">
        <v>40</v>
      </c>
    </row>
    <row r="624" spans="1:19" x14ac:dyDescent="0.3">
      <c r="A624" t="s">
        <v>698</v>
      </c>
      <c r="B624">
        <v>44993</v>
      </c>
      <c r="C624" t="s">
        <v>48</v>
      </c>
      <c r="D624" t="s">
        <v>49</v>
      </c>
      <c r="E624" t="s">
        <v>32</v>
      </c>
      <c r="F624" t="s">
        <v>23</v>
      </c>
      <c r="G624">
        <v>67465.678549999997</v>
      </c>
      <c r="H624">
        <v>45173.79</v>
      </c>
      <c r="I624">
        <v>22291.89</v>
      </c>
      <c r="J624">
        <v>78127.460000000006</v>
      </c>
      <c r="K624">
        <v>26638.02</v>
      </c>
      <c r="L624">
        <v>183909.01</v>
      </c>
      <c r="M624">
        <v>608</v>
      </c>
      <c r="N624">
        <v>-8.0000000000000002E-3</v>
      </c>
      <c r="O624">
        <f t="shared" si="18"/>
        <v>0.33040000000000003</v>
      </c>
      <c r="P624">
        <f t="shared" si="19"/>
        <v>0.14480000000000001</v>
      </c>
      <c r="Q624" t="s">
        <v>118</v>
      </c>
      <c r="R624">
        <v>2023</v>
      </c>
      <c r="S624" t="s">
        <v>25</v>
      </c>
    </row>
    <row r="625" spans="1:19" x14ac:dyDescent="0.3">
      <c r="A625" t="s">
        <v>699</v>
      </c>
      <c r="B625">
        <v>45861</v>
      </c>
      <c r="C625" t="s">
        <v>54</v>
      </c>
      <c r="D625" t="s">
        <v>55</v>
      </c>
      <c r="E625" t="s">
        <v>38</v>
      </c>
      <c r="F625" t="s">
        <v>23</v>
      </c>
      <c r="G625">
        <v>223298.61</v>
      </c>
      <c r="H625">
        <v>182234.87</v>
      </c>
      <c r="I625">
        <v>41063.74</v>
      </c>
      <c r="J625">
        <v>101366.48</v>
      </c>
      <c r="K625">
        <v>29124.880000000001</v>
      </c>
      <c r="L625">
        <v>312932.89</v>
      </c>
      <c r="M625">
        <v>1375</v>
      </c>
      <c r="N625">
        <v>-2.5600000000000001E-2</v>
      </c>
      <c r="O625">
        <f t="shared" si="18"/>
        <v>0.18390000000000001</v>
      </c>
      <c r="P625">
        <f t="shared" si="19"/>
        <v>9.3100000000000002E-2</v>
      </c>
      <c r="Q625" t="s">
        <v>24</v>
      </c>
      <c r="R625">
        <v>2025</v>
      </c>
      <c r="S625" t="s">
        <v>25</v>
      </c>
    </row>
    <row r="626" spans="1:19" x14ac:dyDescent="0.3">
      <c r="A626" t="s">
        <v>700</v>
      </c>
      <c r="B626">
        <v>45006</v>
      </c>
      <c r="C626" t="s">
        <v>20</v>
      </c>
      <c r="D626" t="s">
        <v>21</v>
      </c>
      <c r="E626" t="s">
        <v>32</v>
      </c>
      <c r="F626" t="s">
        <v>23</v>
      </c>
      <c r="G626">
        <v>167230.49034999998</v>
      </c>
      <c r="H626">
        <v>118701.85</v>
      </c>
      <c r="I626">
        <v>48528.639999999999</v>
      </c>
      <c r="J626">
        <v>30584.19</v>
      </c>
      <c r="K626">
        <v>106275.95</v>
      </c>
      <c r="L626">
        <v>64742.8</v>
      </c>
      <c r="M626">
        <v>603</v>
      </c>
      <c r="N626">
        <v>2.7300000000000001E-2</v>
      </c>
      <c r="O626">
        <f t="shared" si="18"/>
        <v>0.29020000000000001</v>
      </c>
      <c r="P626">
        <f t="shared" si="19"/>
        <v>1.6415</v>
      </c>
      <c r="Q626" t="s">
        <v>118</v>
      </c>
      <c r="R626">
        <v>2023</v>
      </c>
      <c r="S626" t="s">
        <v>82</v>
      </c>
    </row>
    <row r="627" spans="1:19" x14ac:dyDescent="0.3">
      <c r="A627" t="s">
        <v>701</v>
      </c>
      <c r="B627">
        <v>45738</v>
      </c>
      <c r="C627" t="s">
        <v>54</v>
      </c>
      <c r="D627" t="s">
        <v>55</v>
      </c>
      <c r="E627" t="s">
        <v>22</v>
      </c>
      <c r="F627" t="s">
        <v>23</v>
      </c>
      <c r="G627">
        <v>85456.08</v>
      </c>
      <c r="H627">
        <v>49274.45</v>
      </c>
      <c r="I627">
        <v>36181.629999999997</v>
      </c>
      <c r="J627">
        <v>54892.83</v>
      </c>
      <c r="K627">
        <v>28277.11</v>
      </c>
      <c r="L627">
        <v>87446.69</v>
      </c>
      <c r="M627">
        <v>610</v>
      </c>
      <c r="N627">
        <v>-0.108</v>
      </c>
      <c r="O627">
        <f t="shared" si="18"/>
        <v>0.4234</v>
      </c>
      <c r="P627">
        <f t="shared" si="19"/>
        <v>0.32340000000000002</v>
      </c>
      <c r="Q627" t="s">
        <v>106</v>
      </c>
      <c r="R627">
        <v>2025</v>
      </c>
      <c r="S627" t="s">
        <v>40</v>
      </c>
    </row>
    <row r="628" spans="1:19" x14ac:dyDescent="0.3">
      <c r="A628" t="s">
        <v>702</v>
      </c>
      <c r="B628">
        <v>45229</v>
      </c>
      <c r="C628" t="s">
        <v>1282</v>
      </c>
      <c r="D628" t="s">
        <v>69</v>
      </c>
      <c r="E628" t="s">
        <v>38</v>
      </c>
      <c r="F628" t="s">
        <v>23</v>
      </c>
      <c r="G628">
        <v>53070.98</v>
      </c>
      <c r="H628">
        <v>43579.25</v>
      </c>
      <c r="I628">
        <v>9491.73</v>
      </c>
      <c r="J628">
        <v>10676.82</v>
      </c>
      <c r="K628">
        <v>9899.77</v>
      </c>
      <c r="L628">
        <v>35138.83</v>
      </c>
      <c r="M628">
        <v>826</v>
      </c>
      <c r="N628">
        <v>-0.12670000000000001</v>
      </c>
      <c r="O628">
        <f t="shared" si="18"/>
        <v>0.17879999999999999</v>
      </c>
      <c r="P628">
        <f t="shared" si="19"/>
        <v>0.28170000000000001</v>
      </c>
      <c r="Q628" t="s">
        <v>44</v>
      </c>
      <c r="R628">
        <v>2023</v>
      </c>
      <c r="S628" t="s">
        <v>25</v>
      </c>
    </row>
    <row r="629" spans="1:19" x14ac:dyDescent="0.3">
      <c r="A629" t="s">
        <v>703</v>
      </c>
      <c r="B629">
        <v>45241</v>
      </c>
      <c r="C629" t="s">
        <v>85</v>
      </c>
      <c r="D629" t="s">
        <v>86</v>
      </c>
      <c r="E629" t="s">
        <v>38</v>
      </c>
      <c r="F629" t="s">
        <v>23</v>
      </c>
      <c r="G629">
        <v>155297.32</v>
      </c>
      <c r="H629">
        <v>85694.19</v>
      </c>
      <c r="I629">
        <v>69603.13</v>
      </c>
      <c r="J629">
        <v>35653.18</v>
      </c>
      <c r="K629">
        <v>25609.16</v>
      </c>
      <c r="L629">
        <v>186163.62</v>
      </c>
      <c r="M629">
        <v>957</v>
      </c>
      <c r="N629">
        <v>0.1699</v>
      </c>
      <c r="O629">
        <f t="shared" si="18"/>
        <v>0.44819999999999999</v>
      </c>
      <c r="P629">
        <f t="shared" si="19"/>
        <v>0.1376</v>
      </c>
      <c r="Q629" t="s">
        <v>44</v>
      </c>
      <c r="R629">
        <v>2023</v>
      </c>
      <c r="S629" t="s">
        <v>25</v>
      </c>
    </row>
    <row r="630" spans="1:19" x14ac:dyDescent="0.3">
      <c r="A630" t="s">
        <v>704</v>
      </c>
      <c r="B630">
        <v>45855</v>
      </c>
      <c r="C630" t="s">
        <v>1282</v>
      </c>
      <c r="D630" t="s">
        <v>69</v>
      </c>
      <c r="E630" t="s">
        <v>22</v>
      </c>
      <c r="F630" t="s">
        <v>23</v>
      </c>
      <c r="G630">
        <v>136836.15</v>
      </c>
      <c r="H630">
        <v>116103</v>
      </c>
      <c r="I630">
        <v>20733.150000000001</v>
      </c>
      <c r="J630">
        <v>32400.560000000001</v>
      </c>
      <c r="K630">
        <v>8388.82</v>
      </c>
      <c r="L630">
        <v>76043.83</v>
      </c>
      <c r="M630">
        <v>497</v>
      </c>
      <c r="N630">
        <v>6.9500000000000006E-2</v>
      </c>
      <c r="O630">
        <f t="shared" si="18"/>
        <v>0.1515</v>
      </c>
      <c r="P630">
        <f t="shared" si="19"/>
        <v>0.1103</v>
      </c>
      <c r="Q630" t="s">
        <v>24</v>
      </c>
      <c r="R630">
        <v>2025</v>
      </c>
      <c r="S630" t="s">
        <v>25</v>
      </c>
    </row>
    <row r="631" spans="1:19" x14ac:dyDescent="0.3">
      <c r="A631" t="s">
        <v>705</v>
      </c>
      <c r="B631">
        <v>45474</v>
      </c>
      <c r="C631" t="s">
        <v>85</v>
      </c>
      <c r="D631" t="s">
        <v>86</v>
      </c>
      <c r="E631" t="s">
        <v>38</v>
      </c>
      <c r="F631" t="s">
        <v>23</v>
      </c>
      <c r="G631">
        <v>53001.55</v>
      </c>
      <c r="H631">
        <v>46865.79</v>
      </c>
      <c r="I631">
        <v>6135.76</v>
      </c>
      <c r="J631">
        <v>76887.19</v>
      </c>
      <c r="K631">
        <v>31786.04</v>
      </c>
      <c r="L631">
        <v>170763.92</v>
      </c>
      <c r="M631">
        <v>1662</v>
      </c>
      <c r="N631">
        <v>-3.8399999999999997E-2</v>
      </c>
      <c r="O631">
        <f t="shared" si="18"/>
        <v>0.1158</v>
      </c>
      <c r="P631">
        <f t="shared" si="19"/>
        <v>0.18609999999999999</v>
      </c>
      <c r="Q631" t="s">
        <v>72</v>
      </c>
      <c r="R631">
        <v>2024</v>
      </c>
      <c r="S631" t="s">
        <v>25</v>
      </c>
    </row>
    <row r="632" spans="1:19" x14ac:dyDescent="0.3">
      <c r="A632" t="s">
        <v>706</v>
      </c>
      <c r="B632">
        <v>45431</v>
      </c>
      <c r="C632" t="s">
        <v>42</v>
      </c>
      <c r="D632" t="s">
        <v>43</v>
      </c>
      <c r="E632" t="s">
        <v>51</v>
      </c>
      <c r="F632" t="s">
        <v>23</v>
      </c>
      <c r="G632">
        <v>113805.88</v>
      </c>
      <c r="H632">
        <v>64633.97</v>
      </c>
      <c r="I632">
        <v>49171.91</v>
      </c>
      <c r="J632">
        <v>29835.74</v>
      </c>
      <c r="K632">
        <v>34751.300000000003</v>
      </c>
      <c r="L632">
        <v>50679.13</v>
      </c>
      <c r="M632">
        <v>735</v>
      </c>
      <c r="N632">
        <v>1.83E-2</v>
      </c>
      <c r="O632">
        <f t="shared" si="18"/>
        <v>0.43209999999999998</v>
      </c>
      <c r="P632">
        <f t="shared" si="19"/>
        <v>0.68569999999999998</v>
      </c>
      <c r="Q632" t="s">
        <v>111</v>
      </c>
      <c r="R632">
        <v>2024</v>
      </c>
      <c r="S632" t="s">
        <v>82</v>
      </c>
    </row>
    <row r="633" spans="1:19" x14ac:dyDescent="0.3">
      <c r="A633" t="s">
        <v>707</v>
      </c>
      <c r="B633">
        <v>44638</v>
      </c>
      <c r="C633" t="s">
        <v>78</v>
      </c>
      <c r="D633" t="s">
        <v>79</v>
      </c>
      <c r="E633" t="s">
        <v>32</v>
      </c>
      <c r="F633" t="s">
        <v>23</v>
      </c>
      <c r="G633">
        <v>131088.9203</v>
      </c>
      <c r="H633">
        <v>103823.56</v>
      </c>
      <c r="I633">
        <v>27265.360000000001</v>
      </c>
      <c r="J633">
        <v>50589.95</v>
      </c>
      <c r="K633">
        <v>11466.33</v>
      </c>
      <c r="L633">
        <v>121338.57</v>
      </c>
      <c r="M633">
        <v>866</v>
      </c>
      <c r="N633">
        <v>-3.8399999999999997E-2</v>
      </c>
      <c r="O633">
        <f t="shared" si="18"/>
        <v>0.20799999999999999</v>
      </c>
      <c r="P633">
        <f t="shared" si="19"/>
        <v>9.4500000000000001E-2</v>
      </c>
      <c r="Q633" t="s">
        <v>90</v>
      </c>
      <c r="R633">
        <v>2022</v>
      </c>
      <c r="S633" t="s">
        <v>25</v>
      </c>
    </row>
    <row r="634" spans="1:19" x14ac:dyDescent="0.3">
      <c r="A634" t="s">
        <v>708</v>
      </c>
      <c r="B634">
        <v>45139</v>
      </c>
      <c r="C634" t="s">
        <v>61</v>
      </c>
      <c r="D634" t="s">
        <v>74</v>
      </c>
      <c r="E634" t="s">
        <v>32</v>
      </c>
      <c r="F634" t="s">
        <v>23</v>
      </c>
      <c r="G634">
        <v>23310.127549999997</v>
      </c>
      <c r="H634">
        <v>19823.59</v>
      </c>
      <c r="I634">
        <v>3486.54</v>
      </c>
      <c r="J634">
        <v>37068.879999999997</v>
      </c>
      <c r="K634">
        <v>42061.09</v>
      </c>
      <c r="L634">
        <v>164469.48000000001</v>
      </c>
      <c r="M634">
        <v>933</v>
      </c>
      <c r="N634">
        <v>-3.4000000000000002E-2</v>
      </c>
      <c r="O634">
        <f t="shared" si="18"/>
        <v>0.14960000000000001</v>
      </c>
      <c r="P634">
        <f t="shared" si="19"/>
        <v>0.25569999999999998</v>
      </c>
      <c r="Q634" t="s">
        <v>56</v>
      </c>
      <c r="R634">
        <v>2023</v>
      </c>
      <c r="S634" t="s">
        <v>25</v>
      </c>
    </row>
    <row r="635" spans="1:19" x14ac:dyDescent="0.3">
      <c r="A635" t="s">
        <v>709</v>
      </c>
      <c r="B635" s="4">
        <v>45214</v>
      </c>
      <c r="C635" t="s">
        <v>48</v>
      </c>
      <c r="D635" t="s">
        <v>49</v>
      </c>
      <c r="E635" t="s">
        <v>22</v>
      </c>
      <c r="F635" t="s">
        <v>23</v>
      </c>
      <c r="G635">
        <v>47387.57</v>
      </c>
      <c r="H635">
        <v>41989.9</v>
      </c>
      <c r="I635">
        <v>5397.67</v>
      </c>
      <c r="J635">
        <v>55724.69</v>
      </c>
      <c r="K635">
        <v>25431.13</v>
      </c>
      <c r="L635">
        <v>86247.360000000001</v>
      </c>
      <c r="M635">
        <v>1027</v>
      </c>
      <c r="N635">
        <v>7.1800000000000003E-2</v>
      </c>
      <c r="O635">
        <f t="shared" si="18"/>
        <v>0.1139</v>
      </c>
      <c r="P635">
        <f t="shared" si="19"/>
        <v>0.2949</v>
      </c>
      <c r="Q635" t="s">
        <v>44</v>
      </c>
      <c r="R635">
        <v>2023</v>
      </c>
      <c r="S635" t="s">
        <v>25</v>
      </c>
    </row>
    <row r="636" spans="1:19" x14ac:dyDescent="0.3">
      <c r="A636" t="s">
        <v>710</v>
      </c>
      <c r="B636">
        <v>44624</v>
      </c>
      <c r="C636" t="s">
        <v>54</v>
      </c>
      <c r="D636" t="s">
        <v>55</v>
      </c>
      <c r="E636" t="s">
        <v>22</v>
      </c>
      <c r="F636" t="s">
        <v>23</v>
      </c>
      <c r="G636">
        <v>81571.13</v>
      </c>
      <c r="H636" t="s">
        <v>1281</v>
      </c>
      <c r="I636" t="s">
        <v>1281</v>
      </c>
      <c r="J636">
        <v>6354.24</v>
      </c>
      <c r="K636">
        <v>22608.18</v>
      </c>
      <c r="L636">
        <v>136085.13</v>
      </c>
      <c r="M636">
        <v>1182</v>
      </c>
      <c r="N636">
        <v>3.1800000000000002E-2</v>
      </c>
      <c r="O636" t="s">
        <v>1281</v>
      </c>
      <c r="P636">
        <f t="shared" si="19"/>
        <v>0.1661</v>
      </c>
      <c r="Q636" t="s">
        <v>90</v>
      </c>
      <c r="R636">
        <v>2022</v>
      </c>
      <c r="S636" t="s">
        <v>25</v>
      </c>
    </row>
    <row r="637" spans="1:19" x14ac:dyDescent="0.3">
      <c r="A637" t="s">
        <v>711</v>
      </c>
      <c r="B637">
        <v>45307</v>
      </c>
      <c r="C637" t="s">
        <v>20</v>
      </c>
      <c r="D637" t="s">
        <v>21</v>
      </c>
      <c r="E637" t="s">
        <v>38</v>
      </c>
      <c r="F637" t="s">
        <v>23</v>
      </c>
      <c r="G637">
        <v>48676.62</v>
      </c>
      <c r="H637">
        <v>34216.58</v>
      </c>
      <c r="I637">
        <v>14460.04</v>
      </c>
      <c r="J637">
        <v>36368.720000000001</v>
      </c>
      <c r="K637">
        <v>4649.3999999999996</v>
      </c>
      <c r="L637">
        <v>235079.01</v>
      </c>
      <c r="M637">
        <v>1232</v>
      </c>
      <c r="N637">
        <v>0.05</v>
      </c>
      <c r="O637">
        <f t="shared" si="18"/>
        <v>0.29709999999999998</v>
      </c>
      <c r="P637">
        <f t="shared" si="19"/>
        <v>1.9800000000000002E-2</v>
      </c>
      <c r="Q637" t="s">
        <v>80</v>
      </c>
      <c r="R637">
        <v>2024</v>
      </c>
      <c r="S637" t="s">
        <v>25</v>
      </c>
    </row>
    <row r="638" spans="1:19" x14ac:dyDescent="0.3">
      <c r="A638" t="s">
        <v>712</v>
      </c>
      <c r="B638">
        <v>45651</v>
      </c>
      <c r="C638" t="s">
        <v>85</v>
      </c>
      <c r="D638" t="s">
        <v>86</v>
      </c>
      <c r="E638" t="s">
        <v>38</v>
      </c>
      <c r="F638" t="s">
        <v>23</v>
      </c>
      <c r="G638">
        <v>236282.85</v>
      </c>
      <c r="H638">
        <v>160789.47</v>
      </c>
      <c r="I638">
        <v>75493.38</v>
      </c>
      <c r="J638">
        <v>34532.160000000003</v>
      </c>
      <c r="K638">
        <v>20872.599999999999</v>
      </c>
      <c r="L638">
        <v>47728.71</v>
      </c>
      <c r="M638">
        <v>715</v>
      </c>
      <c r="N638">
        <v>9.8299999999999998E-2</v>
      </c>
      <c r="O638">
        <f t="shared" si="18"/>
        <v>0.31950000000000001</v>
      </c>
      <c r="P638">
        <f t="shared" si="19"/>
        <v>0.43730000000000002</v>
      </c>
      <c r="Q638" t="s">
        <v>52</v>
      </c>
      <c r="R638">
        <v>2024</v>
      </c>
      <c r="S638" t="s">
        <v>40</v>
      </c>
    </row>
    <row r="639" spans="1:19" x14ac:dyDescent="0.3">
      <c r="A639" t="s">
        <v>713</v>
      </c>
      <c r="B639">
        <v>45266</v>
      </c>
      <c r="C639" t="s">
        <v>42</v>
      </c>
      <c r="D639" t="s">
        <v>43</v>
      </c>
      <c r="E639" t="s">
        <v>22</v>
      </c>
      <c r="F639" t="s">
        <v>23</v>
      </c>
      <c r="G639">
        <v>63094.01</v>
      </c>
      <c r="H639">
        <v>56377.52</v>
      </c>
      <c r="I639">
        <v>6716.49</v>
      </c>
      <c r="J639">
        <v>29755.51</v>
      </c>
      <c r="K639">
        <v>113482.15</v>
      </c>
      <c r="L639">
        <v>143780.29999999999</v>
      </c>
      <c r="M639">
        <v>801</v>
      </c>
      <c r="N639">
        <v>6.0400000000000002E-2</v>
      </c>
      <c r="O639">
        <f t="shared" si="18"/>
        <v>0.1065</v>
      </c>
      <c r="P639">
        <f t="shared" si="19"/>
        <v>0.7893</v>
      </c>
      <c r="Q639" t="s">
        <v>44</v>
      </c>
      <c r="R639">
        <v>2023</v>
      </c>
      <c r="S639" t="s">
        <v>82</v>
      </c>
    </row>
    <row r="640" spans="1:19" x14ac:dyDescent="0.3">
      <c r="A640" t="s">
        <v>714</v>
      </c>
      <c r="B640">
        <v>45356</v>
      </c>
      <c r="C640" t="s">
        <v>48</v>
      </c>
      <c r="D640" t="s">
        <v>49</v>
      </c>
      <c r="E640" t="s">
        <v>38</v>
      </c>
      <c r="F640" t="s">
        <v>23</v>
      </c>
      <c r="G640">
        <v>25777.01</v>
      </c>
      <c r="H640">
        <v>20758.47</v>
      </c>
      <c r="I640">
        <v>5018.54</v>
      </c>
      <c r="J640">
        <v>13046.4</v>
      </c>
      <c r="K640">
        <v>7581.76</v>
      </c>
      <c r="L640">
        <v>38119.9</v>
      </c>
      <c r="M640">
        <v>536</v>
      </c>
      <c r="N640">
        <v>7.0099999999999996E-2</v>
      </c>
      <c r="O640">
        <f t="shared" si="18"/>
        <v>0.19470000000000001</v>
      </c>
      <c r="P640">
        <f t="shared" si="19"/>
        <v>0.19889999999999999</v>
      </c>
      <c r="Q640" t="s">
        <v>80</v>
      </c>
      <c r="R640">
        <v>2024</v>
      </c>
      <c r="S640" t="s">
        <v>25</v>
      </c>
    </row>
    <row r="641" spans="1:19" x14ac:dyDescent="0.3">
      <c r="A641" t="s">
        <v>715</v>
      </c>
      <c r="B641">
        <v>45752</v>
      </c>
      <c r="C641" t="s">
        <v>78</v>
      </c>
      <c r="D641" t="s">
        <v>79</v>
      </c>
      <c r="E641" t="s">
        <v>22</v>
      </c>
      <c r="F641" t="s">
        <v>23</v>
      </c>
      <c r="G641">
        <v>200177.69</v>
      </c>
      <c r="H641">
        <v>111657.39</v>
      </c>
      <c r="I641">
        <v>88520.3</v>
      </c>
      <c r="J641">
        <v>57130.21</v>
      </c>
      <c r="K641">
        <v>49030.66</v>
      </c>
      <c r="L641">
        <v>88787.46</v>
      </c>
      <c r="M641">
        <v>1290</v>
      </c>
      <c r="N641">
        <v>-2.2100000000000002E-2</v>
      </c>
      <c r="O641">
        <f t="shared" si="18"/>
        <v>0.44219999999999998</v>
      </c>
      <c r="P641">
        <f t="shared" si="19"/>
        <v>0.55220000000000002</v>
      </c>
      <c r="Q641" t="s">
        <v>34</v>
      </c>
      <c r="R641">
        <v>2025</v>
      </c>
      <c r="S641" t="s">
        <v>40</v>
      </c>
    </row>
    <row r="642" spans="1:19" x14ac:dyDescent="0.3">
      <c r="A642" t="s">
        <v>716</v>
      </c>
      <c r="B642">
        <v>45885</v>
      </c>
      <c r="C642" t="s">
        <v>102</v>
      </c>
      <c r="D642" t="s">
        <v>103</v>
      </c>
      <c r="E642" t="s">
        <v>32</v>
      </c>
      <c r="F642" t="s">
        <v>23</v>
      </c>
      <c r="G642">
        <v>82194.683749999997</v>
      </c>
      <c r="H642">
        <v>49836.639999999999</v>
      </c>
      <c r="I642">
        <v>32358.04</v>
      </c>
      <c r="J642">
        <v>40883.43</v>
      </c>
      <c r="K642">
        <v>11492.62</v>
      </c>
      <c r="L642">
        <v>180932.91</v>
      </c>
      <c r="M642">
        <v>1920</v>
      </c>
      <c r="N642">
        <v>0.13519999999999999</v>
      </c>
      <c r="O642">
        <f t="shared" si="18"/>
        <v>0.39369999999999999</v>
      </c>
      <c r="P642">
        <f t="shared" si="19"/>
        <v>6.3500000000000001E-2</v>
      </c>
      <c r="Q642" t="s">
        <v>24</v>
      </c>
      <c r="R642">
        <v>2025</v>
      </c>
      <c r="S642" t="s">
        <v>25</v>
      </c>
    </row>
    <row r="643" spans="1:19" x14ac:dyDescent="0.3">
      <c r="A643" t="s">
        <v>717</v>
      </c>
      <c r="B643">
        <v>44963</v>
      </c>
      <c r="C643" t="s">
        <v>36</v>
      </c>
      <c r="D643" t="s">
        <v>37</v>
      </c>
      <c r="E643" t="s">
        <v>22</v>
      </c>
      <c r="F643" t="s">
        <v>23</v>
      </c>
      <c r="G643">
        <v>55846.6</v>
      </c>
      <c r="H643">
        <v>42923.8</v>
      </c>
      <c r="I643">
        <v>12922.8</v>
      </c>
      <c r="J643">
        <v>51557.53</v>
      </c>
      <c r="K643">
        <v>19812.32</v>
      </c>
      <c r="L643">
        <v>111637.7</v>
      </c>
      <c r="M643">
        <v>1427</v>
      </c>
      <c r="N643">
        <v>6.0999999999999999E-2</v>
      </c>
      <c r="O643">
        <f t="shared" ref="O643:O706" si="20">(ROUND(I643/G643,4))</f>
        <v>0.23139999999999999</v>
      </c>
      <c r="P643">
        <f t="shared" ref="P643:P706" si="21">ROUND(K643/L643,4)</f>
        <v>0.17749999999999999</v>
      </c>
      <c r="Q643" t="s">
        <v>118</v>
      </c>
      <c r="R643">
        <v>2023</v>
      </c>
      <c r="S643" t="s">
        <v>25</v>
      </c>
    </row>
    <row r="644" spans="1:19" x14ac:dyDescent="0.3">
      <c r="A644" t="s">
        <v>718</v>
      </c>
      <c r="B644">
        <v>45004</v>
      </c>
      <c r="C644" t="s">
        <v>48</v>
      </c>
      <c r="D644" t="s">
        <v>49</v>
      </c>
      <c r="E644" t="s">
        <v>38</v>
      </c>
      <c r="F644" t="s">
        <v>23</v>
      </c>
      <c r="G644">
        <v>76812.649999999994</v>
      </c>
      <c r="H644">
        <v>68674.509999999995</v>
      </c>
      <c r="I644">
        <v>8138.14</v>
      </c>
      <c r="J644">
        <v>68473.69</v>
      </c>
      <c r="K644">
        <v>6176.33</v>
      </c>
      <c r="L644">
        <v>74238.87</v>
      </c>
      <c r="M644">
        <v>986</v>
      </c>
      <c r="N644">
        <v>-9.7999999999999997E-3</v>
      </c>
      <c r="O644">
        <f t="shared" si="20"/>
        <v>0.10589999999999999</v>
      </c>
      <c r="P644">
        <f t="shared" si="21"/>
        <v>8.3199999999999996E-2</v>
      </c>
      <c r="Q644" t="s">
        <v>118</v>
      </c>
      <c r="R644">
        <v>2023</v>
      </c>
      <c r="S644" t="s">
        <v>25</v>
      </c>
    </row>
    <row r="645" spans="1:19" x14ac:dyDescent="0.3">
      <c r="A645" t="s">
        <v>719</v>
      </c>
      <c r="B645">
        <v>45930</v>
      </c>
      <c r="C645" t="s">
        <v>48</v>
      </c>
      <c r="D645" t="s">
        <v>49</v>
      </c>
      <c r="E645" t="s">
        <v>32</v>
      </c>
      <c r="F645" t="s">
        <v>23</v>
      </c>
      <c r="G645">
        <v>85466.017449999999</v>
      </c>
      <c r="H645">
        <v>68417.67</v>
      </c>
      <c r="I645">
        <v>17048.349999999999</v>
      </c>
      <c r="J645">
        <v>60989.46</v>
      </c>
      <c r="K645">
        <v>21543.86</v>
      </c>
      <c r="L645">
        <v>149283.41</v>
      </c>
      <c r="M645">
        <v>740</v>
      </c>
      <c r="N645">
        <v>1.7000000000000001E-2</v>
      </c>
      <c r="O645">
        <f t="shared" si="20"/>
        <v>0.19950000000000001</v>
      </c>
      <c r="P645">
        <f t="shared" si="21"/>
        <v>0.14430000000000001</v>
      </c>
      <c r="Q645" t="s">
        <v>24</v>
      </c>
      <c r="R645">
        <v>2025</v>
      </c>
      <c r="S645" t="s">
        <v>25</v>
      </c>
    </row>
    <row r="646" spans="1:19" x14ac:dyDescent="0.3">
      <c r="A646" t="s">
        <v>720</v>
      </c>
      <c r="B646">
        <v>44635</v>
      </c>
      <c r="C646" t="s">
        <v>1282</v>
      </c>
      <c r="D646" t="s">
        <v>69</v>
      </c>
      <c r="E646" t="s">
        <v>38</v>
      </c>
      <c r="F646" t="s">
        <v>23</v>
      </c>
      <c r="G646">
        <v>53604.91</v>
      </c>
      <c r="H646">
        <v>38059.58</v>
      </c>
      <c r="I646">
        <v>15545.33</v>
      </c>
      <c r="J646">
        <v>14974.21</v>
      </c>
      <c r="K646">
        <v>15764.02</v>
      </c>
      <c r="L646">
        <v>84193.48</v>
      </c>
      <c r="M646">
        <v>489</v>
      </c>
      <c r="N646">
        <v>1.12E-2</v>
      </c>
      <c r="O646">
        <f t="shared" si="20"/>
        <v>0.28999999999999998</v>
      </c>
      <c r="P646">
        <f t="shared" si="21"/>
        <v>0.18720000000000001</v>
      </c>
      <c r="Q646" t="s">
        <v>90</v>
      </c>
      <c r="R646">
        <v>2022</v>
      </c>
      <c r="S646" t="s">
        <v>25</v>
      </c>
    </row>
    <row r="647" spans="1:19" x14ac:dyDescent="0.3">
      <c r="A647" t="s">
        <v>721</v>
      </c>
      <c r="B647">
        <v>45688</v>
      </c>
      <c r="C647" t="s">
        <v>48</v>
      </c>
      <c r="D647" t="s">
        <v>49</v>
      </c>
      <c r="E647" t="s">
        <v>32</v>
      </c>
      <c r="F647" t="s">
        <v>23</v>
      </c>
      <c r="G647">
        <v>178847.00770000002</v>
      </c>
      <c r="H647">
        <v>127003.53</v>
      </c>
      <c r="I647">
        <v>51843.48</v>
      </c>
      <c r="J647">
        <v>22666.18</v>
      </c>
      <c r="K647">
        <v>177407.35</v>
      </c>
      <c r="L647">
        <v>80199.86</v>
      </c>
      <c r="M647">
        <v>452</v>
      </c>
      <c r="N647">
        <v>8.1100000000000005E-2</v>
      </c>
      <c r="O647">
        <f t="shared" si="20"/>
        <v>0.28989999999999999</v>
      </c>
      <c r="P647">
        <f t="shared" si="21"/>
        <v>2.2121</v>
      </c>
      <c r="Q647" t="s">
        <v>106</v>
      </c>
      <c r="R647">
        <v>2025</v>
      </c>
      <c r="S647" t="s">
        <v>82</v>
      </c>
    </row>
    <row r="648" spans="1:19" x14ac:dyDescent="0.3">
      <c r="A648" t="s">
        <v>722</v>
      </c>
      <c r="B648">
        <v>45146</v>
      </c>
      <c r="C648" t="s">
        <v>78</v>
      </c>
      <c r="D648" t="s">
        <v>79</v>
      </c>
      <c r="E648" t="s">
        <v>51</v>
      </c>
      <c r="F648" t="s">
        <v>23</v>
      </c>
      <c r="G648">
        <v>84615.37</v>
      </c>
      <c r="H648" t="s">
        <v>1281</v>
      </c>
      <c r="I648" t="s">
        <v>1281</v>
      </c>
      <c r="J648">
        <v>46688.53</v>
      </c>
      <c r="K648">
        <v>66167.59</v>
      </c>
      <c r="L648">
        <v>62891.03</v>
      </c>
      <c r="M648">
        <v>1079</v>
      </c>
      <c r="N648">
        <v>-1.0800000000000001E-2</v>
      </c>
      <c r="O648" t="s">
        <v>1281</v>
      </c>
      <c r="P648">
        <f t="shared" si="21"/>
        <v>1.0521</v>
      </c>
      <c r="Q648" t="s">
        <v>56</v>
      </c>
      <c r="R648">
        <v>2023</v>
      </c>
      <c r="S648" t="s">
        <v>82</v>
      </c>
    </row>
    <row r="649" spans="1:19" x14ac:dyDescent="0.3">
      <c r="A649" t="s">
        <v>723</v>
      </c>
      <c r="B649">
        <v>45535</v>
      </c>
      <c r="C649" t="s">
        <v>102</v>
      </c>
      <c r="D649" t="s">
        <v>103</v>
      </c>
      <c r="E649" t="s">
        <v>38</v>
      </c>
      <c r="F649" t="s">
        <v>23</v>
      </c>
      <c r="G649">
        <v>78724.240000000005</v>
      </c>
      <c r="H649">
        <v>50920.29</v>
      </c>
      <c r="I649">
        <v>27803.95</v>
      </c>
      <c r="J649">
        <v>45310.58</v>
      </c>
      <c r="K649">
        <v>39693.19</v>
      </c>
      <c r="L649">
        <v>92222.44</v>
      </c>
      <c r="M649">
        <v>1861</v>
      </c>
      <c r="N649">
        <v>-3.6400000000000002E-2</v>
      </c>
      <c r="O649">
        <f t="shared" si="20"/>
        <v>0.35320000000000001</v>
      </c>
      <c r="P649">
        <f t="shared" si="21"/>
        <v>0.4304</v>
      </c>
      <c r="Q649" t="s">
        <v>72</v>
      </c>
      <c r="R649">
        <v>2024</v>
      </c>
      <c r="S649" t="s">
        <v>40</v>
      </c>
    </row>
    <row r="650" spans="1:19" x14ac:dyDescent="0.3">
      <c r="A650" t="s">
        <v>724</v>
      </c>
      <c r="B650">
        <v>44860</v>
      </c>
      <c r="C650" t="s">
        <v>20</v>
      </c>
      <c r="D650" t="s">
        <v>21</v>
      </c>
      <c r="E650" t="s">
        <v>38</v>
      </c>
      <c r="F650" t="s">
        <v>23</v>
      </c>
      <c r="G650">
        <v>76871.92</v>
      </c>
      <c r="H650">
        <v>68107.83</v>
      </c>
      <c r="I650">
        <v>8764.09</v>
      </c>
      <c r="J650">
        <v>0</v>
      </c>
      <c r="K650">
        <v>45598.28</v>
      </c>
      <c r="L650">
        <v>237699.25</v>
      </c>
      <c r="M650">
        <v>1432</v>
      </c>
      <c r="N650">
        <v>1.7000000000000001E-2</v>
      </c>
      <c r="O650">
        <f t="shared" si="20"/>
        <v>0.114</v>
      </c>
      <c r="P650">
        <f t="shared" si="21"/>
        <v>0.1918</v>
      </c>
      <c r="Q650" t="s">
        <v>46</v>
      </c>
      <c r="R650">
        <v>2022</v>
      </c>
      <c r="S650" t="s">
        <v>25</v>
      </c>
    </row>
    <row r="651" spans="1:19" x14ac:dyDescent="0.3">
      <c r="A651" t="s">
        <v>725</v>
      </c>
      <c r="B651">
        <v>45234</v>
      </c>
      <c r="C651" t="s">
        <v>61</v>
      </c>
      <c r="D651" t="s">
        <v>74</v>
      </c>
      <c r="E651" t="s">
        <v>38</v>
      </c>
      <c r="F651" t="s">
        <v>23</v>
      </c>
      <c r="G651">
        <v>65548.77</v>
      </c>
      <c r="H651">
        <v>43922.1</v>
      </c>
      <c r="I651">
        <v>21626.67</v>
      </c>
      <c r="J651">
        <v>26154.880000000001</v>
      </c>
      <c r="K651">
        <v>25137.42</v>
      </c>
      <c r="L651">
        <v>94365.19</v>
      </c>
      <c r="M651">
        <v>2202</v>
      </c>
      <c r="N651">
        <v>-2.4199999999999999E-2</v>
      </c>
      <c r="O651">
        <f t="shared" si="20"/>
        <v>0.32990000000000003</v>
      </c>
      <c r="P651">
        <f t="shared" si="21"/>
        <v>0.26640000000000003</v>
      </c>
      <c r="Q651" t="s">
        <v>44</v>
      </c>
      <c r="R651">
        <v>2023</v>
      </c>
      <c r="S651" t="s">
        <v>25</v>
      </c>
    </row>
    <row r="652" spans="1:19" x14ac:dyDescent="0.3">
      <c r="A652" t="s">
        <v>726</v>
      </c>
      <c r="B652">
        <v>44647</v>
      </c>
      <c r="C652" t="s">
        <v>20</v>
      </c>
      <c r="D652" t="s">
        <v>21</v>
      </c>
      <c r="E652" t="s">
        <v>22</v>
      </c>
      <c r="F652" t="s">
        <v>23</v>
      </c>
      <c r="G652">
        <v>108875.03</v>
      </c>
      <c r="H652">
        <v>85109.35</v>
      </c>
      <c r="I652">
        <v>23765.68</v>
      </c>
      <c r="J652">
        <v>43419.6</v>
      </c>
      <c r="K652">
        <v>14062.75</v>
      </c>
      <c r="L652">
        <v>122254.46</v>
      </c>
      <c r="M652">
        <v>643</v>
      </c>
      <c r="N652">
        <v>7.4899999999999994E-2</v>
      </c>
      <c r="O652">
        <f t="shared" si="20"/>
        <v>0.21829999999999999</v>
      </c>
      <c r="P652">
        <f t="shared" si="21"/>
        <v>0.115</v>
      </c>
      <c r="Q652" t="s">
        <v>90</v>
      </c>
      <c r="R652">
        <v>2022</v>
      </c>
      <c r="S652" t="s">
        <v>25</v>
      </c>
    </row>
    <row r="653" spans="1:19" x14ac:dyDescent="0.3">
      <c r="A653" t="s">
        <v>727</v>
      </c>
      <c r="B653">
        <v>45681</v>
      </c>
      <c r="C653" t="s">
        <v>78</v>
      </c>
      <c r="D653" t="s">
        <v>79</v>
      </c>
      <c r="E653" t="s">
        <v>22</v>
      </c>
      <c r="F653" t="s">
        <v>23</v>
      </c>
      <c r="G653">
        <v>60314.63</v>
      </c>
      <c r="H653">
        <v>46960.42</v>
      </c>
      <c r="I653">
        <v>13354.21</v>
      </c>
      <c r="J653">
        <v>11808.85</v>
      </c>
      <c r="K653">
        <v>20500.259999999998</v>
      </c>
      <c r="L653">
        <v>83041.429999999993</v>
      </c>
      <c r="M653" t="s">
        <v>1281</v>
      </c>
      <c r="N653">
        <v>-3.2000000000000001E-2</v>
      </c>
      <c r="O653">
        <f t="shared" si="20"/>
        <v>0.22140000000000001</v>
      </c>
      <c r="P653">
        <f t="shared" si="21"/>
        <v>0.24690000000000001</v>
      </c>
      <c r="Q653" t="s">
        <v>106</v>
      </c>
      <c r="R653">
        <v>2025</v>
      </c>
      <c r="S653" t="s">
        <v>25</v>
      </c>
    </row>
    <row r="654" spans="1:19" x14ac:dyDescent="0.3">
      <c r="A654" t="s">
        <v>728</v>
      </c>
      <c r="B654">
        <v>44951</v>
      </c>
      <c r="C654" t="s">
        <v>54</v>
      </c>
      <c r="D654" t="s">
        <v>55</v>
      </c>
      <c r="E654" t="s">
        <v>38</v>
      </c>
      <c r="F654" t="s">
        <v>23</v>
      </c>
      <c r="G654">
        <v>119889.89</v>
      </c>
      <c r="H654">
        <v>98316.78</v>
      </c>
      <c r="I654">
        <v>21573.11</v>
      </c>
      <c r="J654">
        <v>9700.5400000000009</v>
      </c>
      <c r="K654">
        <v>111088.82</v>
      </c>
      <c r="L654">
        <v>33648.65</v>
      </c>
      <c r="M654">
        <v>1454</v>
      </c>
      <c r="N654">
        <v>8.5900000000000004E-2</v>
      </c>
      <c r="O654">
        <f t="shared" si="20"/>
        <v>0.1799</v>
      </c>
      <c r="P654">
        <f t="shared" si="21"/>
        <v>3.3014000000000001</v>
      </c>
      <c r="Q654" t="s">
        <v>118</v>
      </c>
      <c r="R654">
        <v>2023</v>
      </c>
      <c r="S654" t="s">
        <v>82</v>
      </c>
    </row>
    <row r="655" spans="1:19" x14ac:dyDescent="0.3">
      <c r="A655" t="s">
        <v>729</v>
      </c>
      <c r="B655">
        <v>45421</v>
      </c>
      <c r="C655" t="s">
        <v>54</v>
      </c>
      <c r="D655" t="s">
        <v>55</v>
      </c>
      <c r="E655" t="s">
        <v>22</v>
      </c>
      <c r="F655" t="s">
        <v>23</v>
      </c>
      <c r="G655">
        <v>100327.22</v>
      </c>
      <c r="H655">
        <v>85539.46</v>
      </c>
      <c r="I655">
        <v>14787.76</v>
      </c>
      <c r="J655">
        <v>27216.75</v>
      </c>
      <c r="K655">
        <v>64556.36</v>
      </c>
      <c r="L655">
        <v>66954.929999999993</v>
      </c>
      <c r="M655">
        <v>636</v>
      </c>
      <c r="N655">
        <v>-1.06E-2</v>
      </c>
      <c r="O655">
        <f t="shared" si="20"/>
        <v>0.1474</v>
      </c>
      <c r="P655">
        <f t="shared" si="21"/>
        <v>0.96419999999999995</v>
      </c>
      <c r="Q655" t="s">
        <v>111</v>
      </c>
      <c r="R655">
        <v>2024</v>
      </c>
      <c r="S655" t="s">
        <v>82</v>
      </c>
    </row>
    <row r="656" spans="1:19" x14ac:dyDescent="0.3">
      <c r="A656" t="s">
        <v>730</v>
      </c>
      <c r="B656">
        <v>44643</v>
      </c>
      <c r="C656" t="s">
        <v>36</v>
      </c>
      <c r="D656" t="s">
        <v>37</v>
      </c>
      <c r="E656" t="s">
        <v>22</v>
      </c>
      <c r="F656" t="s">
        <v>23</v>
      </c>
      <c r="G656">
        <v>73481.259999999995</v>
      </c>
      <c r="H656">
        <v>46766.5</v>
      </c>
      <c r="I656">
        <v>26714.76</v>
      </c>
      <c r="J656">
        <v>11672.81</v>
      </c>
      <c r="K656">
        <v>81502.509999999995</v>
      </c>
      <c r="L656">
        <v>54480.37</v>
      </c>
      <c r="M656">
        <v>647</v>
      </c>
      <c r="N656">
        <v>6.4399999999999999E-2</v>
      </c>
      <c r="O656">
        <f t="shared" si="20"/>
        <v>0.36359999999999998</v>
      </c>
      <c r="P656">
        <f t="shared" si="21"/>
        <v>1.496</v>
      </c>
      <c r="Q656" t="s">
        <v>90</v>
      </c>
      <c r="R656">
        <v>2022</v>
      </c>
      <c r="S656" t="s">
        <v>82</v>
      </c>
    </row>
    <row r="657" spans="1:19" x14ac:dyDescent="0.3">
      <c r="A657" t="s">
        <v>731</v>
      </c>
      <c r="B657">
        <v>45674</v>
      </c>
      <c r="C657" t="s">
        <v>30</v>
      </c>
      <c r="D657" t="s">
        <v>31</v>
      </c>
      <c r="E657" t="s">
        <v>32</v>
      </c>
      <c r="F657" t="s">
        <v>23</v>
      </c>
      <c r="G657">
        <v>424524.27620000002</v>
      </c>
      <c r="H657">
        <v>321432.59000000003</v>
      </c>
      <c r="I657">
        <v>103091.69</v>
      </c>
      <c r="J657">
        <v>38855.67</v>
      </c>
      <c r="K657">
        <v>86046.01</v>
      </c>
      <c r="L657">
        <v>43679.199999999997</v>
      </c>
      <c r="M657">
        <v>1099</v>
      </c>
      <c r="N657">
        <v>-2.5000000000000001E-2</v>
      </c>
      <c r="O657">
        <f t="shared" si="20"/>
        <v>0.24279999999999999</v>
      </c>
      <c r="P657">
        <f t="shared" si="21"/>
        <v>1.97</v>
      </c>
      <c r="Q657" t="s">
        <v>106</v>
      </c>
      <c r="R657">
        <v>2025</v>
      </c>
      <c r="S657" t="s">
        <v>82</v>
      </c>
    </row>
    <row r="658" spans="1:19" x14ac:dyDescent="0.3">
      <c r="A658" t="s">
        <v>732</v>
      </c>
      <c r="B658">
        <v>45238</v>
      </c>
      <c r="C658" t="s">
        <v>20</v>
      </c>
      <c r="D658" t="s">
        <v>21</v>
      </c>
      <c r="E658" t="s">
        <v>38</v>
      </c>
      <c r="F658" t="s">
        <v>23</v>
      </c>
      <c r="G658">
        <v>66382.2</v>
      </c>
      <c r="H658">
        <v>39838.699999999997</v>
      </c>
      <c r="I658">
        <v>26543.5</v>
      </c>
      <c r="J658">
        <v>46913.49</v>
      </c>
      <c r="K658">
        <v>12021.57</v>
      </c>
      <c r="L658">
        <v>108974.23</v>
      </c>
      <c r="M658">
        <v>696</v>
      </c>
      <c r="N658">
        <v>-0.1021</v>
      </c>
      <c r="O658">
        <f t="shared" si="20"/>
        <v>0.39989999999999998</v>
      </c>
      <c r="P658">
        <f t="shared" si="21"/>
        <v>0.1103</v>
      </c>
      <c r="Q658" t="s">
        <v>44</v>
      </c>
      <c r="R658">
        <v>2023</v>
      </c>
      <c r="S658" t="s">
        <v>25</v>
      </c>
    </row>
    <row r="659" spans="1:19" x14ac:dyDescent="0.3">
      <c r="A659" t="s">
        <v>733</v>
      </c>
      <c r="B659">
        <v>45608</v>
      </c>
      <c r="C659" t="s">
        <v>42</v>
      </c>
      <c r="D659" t="s">
        <v>43</v>
      </c>
      <c r="E659" t="s">
        <v>22</v>
      </c>
      <c r="F659" t="s">
        <v>23</v>
      </c>
      <c r="G659">
        <v>76453.77</v>
      </c>
      <c r="H659">
        <v>46220.73</v>
      </c>
      <c r="I659">
        <v>30233.040000000001</v>
      </c>
      <c r="J659">
        <v>9676.67</v>
      </c>
      <c r="K659">
        <v>69106.73</v>
      </c>
      <c r="L659">
        <v>278554.42</v>
      </c>
      <c r="M659">
        <v>1020</v>
      </c>
      <c r="N659">
        <v>2.0500000000000001E-2</v>
      </c>
      <c r="O659">
        <f t="shared" si="20"/>
        <v>0.39539999999999997</v>
      </c>
      <c r="P659">
        <f t="shared" si="21"/>
        <v>0.24809999999999999</v>
      </c>
      <c r="Q659" t="s">
        <v>52</v>
      </c>
      <c r="R659">
        <v>2024</v>
      </c>
      <c r="S659" t="s">
        <v>25</v>
      </c>
    </row>
    <row r="660" spans="1:19" x14ac:dyDescent="0.3">
      <c r="A660" t="s">
        <v>734</v>
      </c>
      <c r="B660">
        <v>45598</v>
      </c>
      <c r="C660" t="s">
        <v>54</v>
      </c>
      <c r="D660" t="s">
        <v>55</v>
      </c>
      <c r="E660" t="s">
        <v>32</v>
      </c>
      <c r="F660" t="s">
        <v>23</v>
      </c>
      <c r="G660">
        <v>64567.706450000005</v>
      </c>
      <c r="H660">
        <v>56895.86</v>
      </c>
      <c r="I660">
        <v>7671.84</v>
      </c>
      <c r="J660">
        <v>22332.25</v>
      </c>
      <c r="K660">
        <v>27053.69</v>
      </c>
      <c r="L660">
        <v>89597.18</v>
      </c>
      <c r="M660">
        <v>688</v>
      </c>
      <c r="N660">
        <v>4.4000000000000003E-3</v>
      </c>
      <c r="O660">
        <f t="shared" si="20"/>
        <v>0.1188</v>
      </c>
      <c r="P660">
        <f t="shared" si="21"/>
        <v>0.3019</v>
      </c>
      <c r="Q660" t="s">
        <v>52</v>
      </c>
      <c r="R660">
        <v>2024</v>
      </c>
      <c r="S660" t="s">
        <v>40</v>
      </c>
    </row>
    <row r="661" spans="1:19" x14ac:dyDescent="0.3">
      <c r="A661" t="s">
        <v>735</v>
      </c>
      <c r="B661">
        <v>44621</v>
      </c>
      <c r="C661" t="s">
        <v>78</v>
      </c>
      <c r="D661" t="s">
        <v>79</v>
      </c>
      <c r="E661" t="s">
        <v>22</v>
      </c>
      <c r="F661" t="s">
        <v>23</v>
      </c>
      <c r="G661">
        <v>97048.33</v>
      </c>
      <c r="H661">
        <v>59286.23</v>
      </c>
      <c r="I661">
        <v>37762.1</v>
      </c>
      <c r="J661">
        <v>18851.45</v>
      </c>
      <c r="K661">
        <v>98007.1</v>
      </c>
      <c r="L661">
        <v>130099.94</v>
      </c>
      <c r="M661">
        <v>3112</v>
      </c>
      <c r="N661">
        <v>-0.1065</v>
      </c>
      <c r="O661">
        <f t="shared" si="20"/>
        <v>0.3891</v>
      </c>
      <c r="P661">
        <f t="shared" si="21"/>
        <v>0.75329999999999997</v>
      </c>
      <c r="Q661" t="s">
        <v>90</v>
      </c>
      <c r="R661">
        <v>2022</v>
      </c>
      <c r="S661" t="s">
        <v>82</v>
      </c>
    </row>
    <row r="662" spans="1:19" x14ac:dyDescent="0.3">
      <c r="A662" t="s">
        <v>736</v>
      </c>
      <c r="B662" s="4">
        <v>45742</v>
      </c>
      <c r="C662" t="s">
        <v>48</v>
      </c>
      <c r="D662" t="s">
        <v>49</v>
      </c>
      <c r="E662" t="s">
        <v>22</v>
      </c>
      <c r="F662" t="s">
        <v>23</v>
      </c>
      <c r="G662">
        <v>162606.66</v>
      </c>
      <c r="H662" t="s">
        <v>1281</v>
      </c>
      <c r="I662" t="s">
        <v>1281</v>
      </c>
      <c r="J662">
        <v>28158.79</v>
      </c>
      <c r="K662">
        <v>9283.34</v>
      </c>
      <c r="L662">
        <v>230843.41</v>
      </c>
      <c r="M662">
        <v>667</v>
      </c>
      <c r="N662">
        <v>9.1200000000000003E-2</v>
      </c>
      <c r="O662" t="s">
        <v>1281</v>
      </c>
      <c r="P662">
        <f t="shared" si="21"/>
        <v>4.02E-2</v>
      </c>
      <c r="Q662" t="s">
        <v>106</v>
      </c>
      <c r="R662">
        <v>2025</v>
      </c>
      <c r="S662" t="s">
        <v>25</v>
      </c>
    </row>
    <row r="663" spans="1:19" x14ac:dyDescent="0.3">
      <c r="A663" t="s">
        <v>737</v>
      </c>
      <c r="B663" s="4">
        <v>44766</v>
      </c>
      <c r="C663" t="s">
        <v>48</v>
      </c>
      <c r="D663" t="s">
        <v>49</v>
      </c>
      <c r="E663" t="s">
        <v>22</v>
      </c>
      <c r="F663" t="s">
        <v>23</v>
      </c>
      <c r="G663">
        <v>156163.16</v>
      </c>
      <c r="H663">
        <v>90492.17</v>
      </c>
      <c r="I663">
        <v>65670.990000000005</v>
      </c>
      <c r="J663">
        <v>18435.13</v>
      </c>
      <c r="K663">
        <v>25421.47</v>
      </c>
      <c r="L663">
        <v>56207.63</v>
      </c>
      <c r="M663">
        <v>1370</v>
      </c>
      <c r="N663">
        <v>2.9999999999999997E-4</v>
      </c>
      <c r="O663">
        <f t="shared" si="20"/>
        <v>0.42049999999999998</v>
      </c>
      <c r="P663">
        <f t="shared" si="21"/>
        <v>0.45229999999999998</v>
      </c>
      <c r="Q663" t="s">
        <v>76</v>
      </c>
      <c r="R663">
        <v>2022</v>
      </c>
      <c r="S663" t="s">
        <v>40</v>
      </c>
    </row>
    <row r="664" spans="1:19" x14ac:dyDescent="0.3">
      <c r="A664" t="s">
        <v>738</v>
      </c>
      <c r="B664">
        <v>44787</v>
      </c>
      <c r="C664" t="s">
        <v>61</v>
      </c>
      <c r="D664" t="s">
        <v>74</v>
      </c>
      <c r="E664" t="s">
        <v>51</v>
      </c>
      <c r="F664" t="s">
        <v>23</v>
      </c>
      <c r="G664">
        <v>83793.509999999995</v>
      </c>
      <c r="H664">
        <v>59467.1</v>
      </c>
      <c r="I664">
        <v>24326.41</v>
      </c>
      <c r="J664">
        <v>22188.53</v>
      </c>
      <c r="K664">
        <v>19371.349999999999</v>
      </c>
      <c r="L664">
        <v>88953.44</v>
      </c>
      <c r="M664">
        <v>1614</v>
      </c>
      <c r="N664">
        <v>1.83E-2</v>
      </c>
      <c r="O664">
        <f t="shared" si="20"/>
        <v>0.2903</v>
      </c>
      <c r="P664">
        <f t="shared" si="21"/>
        <v>0.21779999999999999</v>
      </c>
      <c r="Q664" t="s">
        <v>76</v>
      </c>
      <c r="R664">
        <v>2022</v>
      </c>
      <c r="S664" t="s">
        <v>25</v>
      </c>
    </row>
    <row r="665" spans="1:19" x14ac:dyDescent="0.3">
      <c r="A665" t="s">
        <v>739</v>
      </c>
      <c r="B665">
        <v>45913</v>
      </c>
      <c r="C665" t="s">
        <v>78</v>
      </c>
      <c r="D665" t="s">
        <v>79</v>
      </c>
      <c r="E665" t="s">
        <v>32</v>
      </c>
      <c r="F665" t="s">
        <v>23</v>
      </c>
      <c r="G665">
        <v>87968.472200000004</v>
      </c>
      <c r="H665">
        <v>59482.3</v>
      </c>
      <c r="I665">
        <v>28486.17</v>
      </c>
      <c r="J665">
        <v>58178.37</v>
      </c>
      <c r="K665">
        <v>32204.91</v>
      </c>
      <c r="L665">
        <v>161085.12</v>
      </c>
      <c r="M665">
        <v>975</v>
      </c>
      <c r="N665">
        <v>-3.1899999999999998E-2</v>
      </c>
      <c r="O665">
        <f t="shared" si="20"/>
        <v>0.32379999999999998</v>
      </c>
      <c r="P665">
        <f t="shared" si="21"/>
        <v>0.19989999999999999</v>
      </c>
      <c r="Q665" t="s">
        <v>24</v>
      </c>
      <c r="R665">
        <v>2025</v>
      </c>
      <c r="S665" t="s">
        <v>25</v>
      </c>
    </row>
    <row r="666" spans="1:19" x14ac:dyDescent="0.3">
      <c r="A666" t="s">
        <v>740</v>
      </c>
      <c r="B666">
        <v>44610</v>
      </c>
      <c r="C666" t="s">
        <v>61</v>
      </c>
      <c r="D666" t="s">
        <v>74</v>
      </c>
      <c r="E666" t="s">
        <v>51</v>
      </c>
      <c r="F666" t="s">
        <v>23</v>
      </c>
      <c r="G666">
        <v>31631.19</v>
      </c>
      <c r="H666">
        <v>28705.41</v>
      </c>
      <c r="I666">
        <v>2925.78</v>
      </c>
      <c r="J666">
        <v>82122.06</v>
      </c>
      <c r="K666">
        <v>40595.22</v>
      </c>
      <c r="L666">
        <v>228215.2</v>
      </c>
      <c r="M666">
        <v>602</v>
      </c>
      <c r="N666">
        <v>-9.8900000000000002E-2</v>
      </c>
      <c r="O666">
        <f t="shared" si="20"/>
        <v>9.2499999999999999E-2</v>
      </c>
      <c r="P666">
        <f t="shared" si="21"/>
        <v>0.1779</v>
      </c>
      <c r="Q666" t="s">
        <v>90</v>
      </c>
      <c r="R666">
        <v>2022</v>
      </c>
      <c r="S666" t="s">
        <v>25</v>
      </c>
    </row>
    <row r="667" spans="1:19" x14ac:dyDescent="0.3">
      <c r="A667" t="s">
        <v>741</v>
      </c>
      <c r="B667">
        <v>45477</v>
      </c>
      <c r="C667" t="s">
        <v>48</v>
      </c>
      <c r="D667" t="s">
        <v>49</v>
      </c>
      <c r="E667" t="s">
        <v>38</v>
      </c>
      <c r="F667" t="s">
        <v>23</v>
      </c>
      <c r="G667">
        <v>128722.8</v>
      </c>
      <c r="H667">
        <v>93659.59</v>
      </c>
      <c r="I667">
        <v>35063.21</v>
      </c>
      <c r="J667">
        <v>16437.89</v>
      </c>
      <c r="K667">
        <v>11206.23</v>
      </c>
      <c r="L667">
        <v>64013.47</v>
      </c>
      <c r="M667">
        <v>1766</v>
      </c>
      <c r="N667">
        <v>-1.4200000000000001E-2</v>
      </c>
      <c r="O667">
        <f t="shared" si="20"/>
        <v>0.27239999999999998</v>
      </c>
      <c r="P667">
        <f t="shared" si="21"/>
        <v>0.17510000000000001</v>
      </c>
      <c r="Q667" t="s">
        <v>72</v>
      </c>
      <c r="R667">
        <v>2024</v>
      </c>
      <c r="S667" t="s">
        <v>25</v>
      </c>
    </row>
    <row r="668" spans="1:19" x14ac:dyDescent="0.3">
      <c r="A668" t="s">
        <v>742</v>
      </c>
      <c r="B668">
        <v>44791</v>
      </c>
      <c r="C668" t="s">
        <v>54</v>
      </c>
      <c r="D668" t="s">
        <v>55</v>
      </c>
      <c r="E668" t="s">
        <v>32</v>
      </c>
      <c r="F668" t="s">
        <v>23</v>
      </c>
      <c r="G668">
        <v>45576.518900000003</v>
      </c>
      <c r="H668">
        <v>30475.71</v>
      </c>
      <c r="I668">
        <v>15100.81</v>
      </c>
      <c r="J668">
        <v>45229.96</v>
      </c>
      <c r="K668">
        <v>23042.28</v>
      </c>
      <c r="L668">
        <v>144894.45000000001</v>
      </c>
      <c r="M668">
        <v>458</v>
      </c>
      <c r="N668">
        <v>0.1338</v>
      </c>
      <c r="O668">
        <f t="shared" si="20"/>
        <v>0.33129999999999998</v>
      </c>
      <c r="P668">
        <f t="shared" si="21"/>
        <v>0.159</v>
      </c>
      <c r="Q668" t="s">
        <v>76</v>
      </c>
      <c r="R668">
        <v>2022</v>
      </c>
      <c r="S668" t="s">
        <v>25</v>
      </c>
    </row>
    <row r="669" spans="1:19" x14ac:dyDescent="0.3">
      <c r="A669" t="s">
        <v>743</v>
      </c>
      <c r="B669">
        <v>44635</v>
      </c>
      <c r="C669" t="s">
        <v>30</v>
      </c>
      <c r="D669" t="s">
        <v>31</v>
      </c>
      <c r="E669" t="s">
        <v>38</v>
      </c>
      <c r="F669" t="s">
        <v>23</v>
      </c>
      <c r="G669">
        <v>33917.61</v>
      </c>
      <c r="H669">
        <v>19882.740000000002</v>
      </c>
      <c r="I669">
        <v>14034.87</v>
      </c>
      <c r="J669">
        <v>54562.080000000002</v>
      </c>
      <c r="K669">
        <v>88856.62</v>
      </c>
      <c r="L669">
        <v>347944.25</v>
      </c>
      <c r="M669">
        <v>909</v>
      </c>
      <c r="N669">
        <v>-7.6899999999999996E-2</v>
      </c>
      <c r="O669">
        <f t="shared" si="20"/>
        <v>0.4138</v>
      </c>
      <c r="P669">
        <f t="shared" si="21"/>
        <v>0.25540000000000002</v>
      </c>
      <c r="Q669" t="s">
        <v>90</v>
      </c>
      <c r="R669">
        <v>2022</v>
      </c>
      <c r="S669" t="s">
        <v>25</v>
      </c>
    </row>
    <row r="670" spans="1:19" x14ac:dyDescent="0.3">
      <c r="A670" t="s">
        <v>744</v>
      </c>
      <c r="B670">
        <v>44944</v>
      </c>
      <c r="C670" t="s">
        <v>85</v>
      </c>
      <c r="D670" t="s">
        <v>86</v>
      </c>
      <c r="E670" t="s">
        <v>22</v>
      </c>
      <c r="F670" t="s">
        <v>23</v>
      </c>
      <c r="G670">
        <v>37434.949999999997</v>
      </c>
      <c r="H670">
        <v>22291.81</v>
      </c>
      <c r="I670">
        <v>15143.14</v>
      </c>
      <c r="J670">
        <v>28401.63</v>
      </c>
      <c r="K670">
        <v>91454.12</v>
      </c>
      <c r="L670">
        <v>159196.82</v>
      </c>
      <c r="M670">
        <v>1028</v>
      </c>
      <c r="N670">
        <v>0.1208</v>
      </c>
      <c r="O670">
        <f t="shared" si="20"/>
        <v>0.40450000000000003</v>
      </c>
      <c r="P670">
        <f t="shared" si="21"/>
        <v>0.57450000000000001</v>
      </c>
      <c r="Q670" t="s">
        <v>118</v>
      </c>
      <c r="R670">
        <v>2023</v>
      </c>
      <c r="S670" t="s">
        <v>40</v>
      </c>
    </row>
    <row r="671" spans="1:19" x14ac:dyDescent="0.3">
      <c r="A671" t="s">
        <v>745</v>
      </c>
      <c r="B671">
        <v>45921</v>
      </c>
      <c r="C671" t="s">
        <v>48</v>
      </c>
      <c r="D671" t="s">
        <v>49</v>
      </c>
      <c r="E671" t="s">
        <v>38</v>
      </c>
      <c r="F671" t="s">
        <v>23</v>
      </c>
      <c r="G671">
        <v>32311.53</v>
      </c>
      <c r="H671">
        <v>26862.89</v>
      </c>
      <c r="I671">
        <v>5448.64</v>
      </c>
      <c r="J671">
        <v>36973.599999999999</v>
      </c>
      <c r="K671">
        <v>34070.46</v>
      </c>
      <c r="L671">
        <v>87050.98</v>
      </c>
      <c r="M671">
        <v>746</v>
      </c>
      <c r="N671">
        <v>0.1464</v>
      </c>
      <c r="O671">
        <f t="shared" si="20"/>
        <v>0.1686</v>
      </c>
      <c r="P671">
        <f t="shared" si="21"/>
        <v>0.39140000000000003</v>
      </c>
      <c r="Q671" t="s">
        <v>24</v>
      </c>
      <c r="R671">
        <v>2025</v>
      </c>
      <c r="S671" t="s">
        <v>40</v>
      </c>
    </row>
    <row r="672" spans="1:19" x14ac:dyDescent="0.3">
      <c r="A672" t="s">
        <v>746</v>
      </c>
      <c r="B672">
        <v>45907</v>
      </c>
      <c r="C672" t="s">
        <v>42</v>
      </c>
      <c r="D672" t="s">
        <v>43</v>
      </c>
      <c r="E672" t="s">
        <v>32</v>
      </c>
      <c r="F672" t="s">
        <v>23</v>
      </c>
      <c r="G672">
        <v>18725.9712</v>
      </c>
      <c r="H672">
        <v>13716.8</v>
      </c>
      <c r="I672">
        <v>5009.17</v>
      </c>
      <c r="J672">
        <v>29222.61</v>
      </c>
      <c r="K672">
        <v>10966.2</v>
      </c>
      <c r="L672">
        <v>116936.19</v>
      </c>
      <c r="M672">
        <v>1024</v>
      </c>
      <c r="N672">
        <v>6.0400000000000002E-2</v>
      </c>
      <c r="O672">
        <f t="shared" si="20"/>
        <v>0.26750000000000002</v>
      </c>
      <c r="P672">
        <f t="shared" si="21"/>
        <v>9.3799999999999994E-2</v>
      </c>
      <c r="Q672" t="s">
        <v>24</v>
      </c>
      <c r="R672">
        <v>2025</v>
      </c>
      <c r="S672" t="s">
        <v>25</v>
      </c>
    </row>
    <row r="673" spans="1:19" x14ac:dyDescent="0.3">
      <c r="A673" t="s">
        <v>747</v>
      </c>
      <c r="B673">
        <v>45199</v>
      </c>
      <c r="C673" t="s">
        <v>36</v>
      </c>
      <c r="D673" t="s">
        <v>37</v>
      </c>
      <c r="E673" t="s">
        <v>38</v>
      </c>
      <c r="F673" t="s">
        <v>23</v>
      </c>
      <c r="G673">
        <v>39544.769999999997</v>
      </c>
      <c r="H673">
        <v>22901.1</v>
      </c>
      <c r="I673">
        <v>16643.669999999998</v>
      </c>
      <c r="J673">
        <v>39417.71</v>
      </c>
      <c r="K673">
        <v>3834.33</v>
      </c>
      <c r="L673">
        <v>139437.41</v>
      </c>
      <c r="M673">
        <v>622</v>
      </c>
      <c r="N673">
        <v>2.3199999999999998E-2</v>
      </c>
      <c r="O673">
        <f t="shared" si="20"/>
        <v>0.4209</v>
      </c>
      <c r="P673">
        <f t="shared" si="21"/>
        <v>2.75E-2</v>
      </c>
      <c r="Q673" t="s">
        <v>56</v>
      </c>
      <c r="R673">
        <v>2023</v>
      </c>
      <c r="S673" t="s">
        <v>25</v>
      </c>
    </row>
    <row r="674" spans="1:19" x14ac:dyDescent="0.3">
      <c r="A674" t="s">
        <v>748</v>
      </c>
      <c r="B674">
        <v>45134</v>
      </c>
      <c r="C674" t="s">
        <v>85</v>
      </c>
      <c r="D674" t="s">
        <v>86</v>
      </c>
      <c r="E674" t="s">
        <v>38</v>
      </c>
      <c r="F674" t="s">
        <v>23</v>
      </c>
      <c r="G674">
        <v>240922.68</v>
      </c>
      <c r="H674">
        <v>161515.71</v>
      </c>
      <c r="I674">
        <v>79406.97</v>
      </c>
      <c r="J674">
        <v>49955.040000000001</v>
      </c>
      <c r="K674">
        <v>16688.650000000001</v>
      </c>
      <c r="L674">
        <v>67009.17</v>
      </c>
      <c r="M674">
        <v>854</v>
      </c>
      <c r="N674">
        <v>1.26E-2</v>
      </c>
      <c r="O674">
        <f t="shared" si="20"/>
        <v>0.3296</v>
      </c>
      <c r="P674">
        <f t="shared" si="21"/>
        <v>0.24909999999999999</v>
      </c>
      <c r="Q674" t="s">
        <v>56</v>
      </c>
      <c r="R674">
        <v>2023</v>
      </c>
      <c r="S674" t="s">
        <v>25</v>
      </c>
    </row>
    <row r="675" spans="1:19" x14ac:dyDescent="0.3">
      <c r="A675" t="s">
        <v>749</v>
      </c>
      <c r="B675">
        <v>45025</v>
      </c>
      <c r="C675" t="s">
        <v>36</v>
      </c>
      <c r="D675" t="s">
        <v>37</v>
      </c>
      <c r="E675" t="s">
        <v>22</v>
      </c>
      <c r="F675" t="s">
        <v>23</v>
      </c>
      <c r="G675">
        <v>35700.86</v>
      </c>
      <c r="H675">
        <v>20502.02</v>
      </c>
      <c r="I675">
        <v>15198.84</v>
      </c>
      <c r="J675">
        <v>58360.08</v>
      </c>
      <c r="K675">
        <v>46078.45</v>
      </c>
      <c r="L675">
        <v>284301.09999999998</v>
      </c>
      <c r="M675">
        <v>414</v>
      </c>
      <c r="N675">
        <v>-8.0199999999999994E-2</v>
      </c>
      <c r="O675">
        <f t="shared" si="20"/>
        <v>0.42570000000000002</v>
      </c>
      <c r="P675">
        <f t="shared" si="21"/>
        <v>0.16209999999999999</v>
      </c>
      <c r="Q675" t="s">
        <v>39</v>
      </c>
      <c r="R675">
        <v>2023</v>
      </c>
      <c r="S675" t="s">
        <v>25</v>
      </c>
    </row>
    <row r="676" spans="1:19" x14ac:dyDescent="0.3">
      <c r="A676" t="s">
        <v>750</v>
      </c>
      <c r="B676">
        <v>45387</v>
      </c>
      <c r="C676" t="s">
        <v>42</v>
      </c>
      <c r="D676" t="s">
        <v>43</v>
      </c>
      <c r="E676" t="s">
        <v>32</v>
      </c>
      <c r="F676" t="s">
        <v>23</v>
      </c>
      <c r="G676">
        <v>59100.377250000005</v>
      </c>
      <c r="H676">
        <v>34462.76</v>
      </c>
      <c r="I676">
        <v>24637.62</v>
      </c>
      <c r="J676">
        <v>32501.73</v>
      </c>
      <c r="K676">
        <v>6488.02</v>
      </c>
      <c r="L676">
        <v>67561.11</v>
      </c>
      <c r="M676">
        <v>376</v>
      </c>
      <c r="N676">
        <v>2.1999999999999999E-2</v>
      </c>
      <c r="O676">
        <f t="shared" si="20"/>
        <v>0.41689999999999999</v>
      </c>
      <c r="P676">
        <f t="shared" si="21"/>
        <v>9.6000000000000002E-2</v>
      </c>
      <c r="Q676" t="s">
        <v>111</v>
      </c>
      <c r="R676">
        <v>2024</v>
      </c>
      <c r="S676" t="s">
        <v>25</v>
      </c>
    </row>
    <row r="677" spans="1:19" x14ac:dyDescent="0.3">
      <c r="A677" t="s">
        <v>751</v>
      </c>
      <c r="B677">
        <v>45652</v>
      </c>
      <c r="C677" t="s">
        <v>42</v>
      </c>
      <c r="D677" t="s">
        <v>43</v>
      </c>
      <c r="E677" t="s">
        <v>32</v>
      </c>
      <c r="F677" t="s">
        <v>23</v>
      </c>
      <c r="G677">
        <v>46941.599349999997</v>
      </c>
      <c r="H677">
        <v>37803.379999999997</v>
      </c>
      <c r="I677">
        <v>9138.2199999999993</v>
      </c>
      <c r="J677">
        <v>58380.23</v>
      </c>
      <c r="K677">
        <v>10199.879999999999</v>
      </c>
      <c r="L677">
        <v>76176.479999999996</v>
      </c>
      <c r="M677">
        <v>330</v>
      </c>
      <c r="N677">
        <v>-2.8899999999999999E-2</v>
      </c>
      <c r="O677">
        <f t="shared" si="20"/>
        <v>0.19470000000000001</v>
      </c>
      <c r="P677">
        <f t="shared" si="21"/>
        <v>0.13389999999999999</v>
      </c>
      <c r="Q677" t="s">
        <v>52</v>
      </c>
      <c r="R677">
        <v>2024</v>
      </c>
      <c r="S677" t="s">
        <v>25</v>
      </c>
    </row>
    <row r="678" spans="1:19" x14ac:dyDescent="0.3">
      <c r="A678" t="s">
        <v>752</v>
      </c>
      <c r="B678" s="4">
        <v>45147</v>
      </c>
      <c r="C678" t="s">
        <v>48</v>
      </c>
      <c r="D678" t="s">
        <v>49</v>
      </c>
      <c r="E678" t="s">
        <v>22</v>
      </c>
      <c r="F678" t="s">
        <v>23</v>
      </c>
      <c r="G678" t="s">
        <v>1281</v>
      </c>
      <c r="H678">
        <v>107631.8</v>
      </c>
      <c r="I678" t="s">
        <v>1281</v>
      </c>
      <c r="J678">
        <v>77623.16</v>
      </c>
      <c r="K678">
        <v>8953.68</v>
      </c>
      <c r="L678">
        <v>129976.05</v>
      </c>
      <c r="M678">
        <v>835</v>
      </c>
      <c r="N678">
        <v>2.63E-2</v>
      </c>
      <c r="O678" t="s">
        <v>1281</v>
      </c>
      <c r="P678">
        <f t="shared" si="21"/>
        <v>6.8900000000000003E-2</v>
      </c>
      <c r="Q678" t="s">
        <v>56</v>
      </c>
      <c r="R678">
        <v>2023</v>
      </c>
      <c r="S678" t="s">
        <v>25</v>
      </c>
    </row>
    <row r="679" spans="1:19" x14ac:dyDescent="0.3">
      <c r="A679" t="s">
        <v>753</v>
      </c>
      <c r="B679">
        <v>44750</v>
      </c>
      <c r="C679" t="s">
        <v>78</v>
      </c>
      <c r="D679" t="s">
        <v>79</v>
      </c>
      <c r="E679" t="s">
        <v>38</v>
      </c>
      <c r="F679" t="s">
        <v>23</v>
      </c>
      <c r="G679">
        <v>78400.78</v>
      </c>
      <c r="H679">
        <v>56194.64</v>
      </c>
      <c r="I679">
        <v>22206.14</v>
      </c>
      <c r="J679">
        <v>36757.339999999997</v>
      </c>
      <c r="K679">
        <v>42549.5</v>
      </c>
      <c r="L679">
        <v>121007.74</v>
      </c>
      <c r="M679">
        <v>670</v>
      </c>
      <c r="N679">
        <v>4.82E-2</v>
      </c>
      <c r="O679">
        <f t="shared" si="20"/>
        <v>0.28320000000000001</v>
      </c>
      <c r="P679">
        <f t="shared" si="21"/>
        <v>0.35160000000000002</v>
      </c>
      <c r="Q679" t="s">
        <v>76</v>
      </c>
      <c r="R679">
        <v>2022</v>
      </c>
      <c r="S679" t="s">
        <v>40</v>
      </c>
    </row>
    <row r="680" spans="1:19" x14ac:dyDescent="0.3">
      <c r="A680" t="s">
        <v>754</v>
      </c>
      <c r="B680">
        <v>44774</v>
      </c>
      <c r="C680" t="s">
        <v>27</v>
      </c>
      <c r="D680" t="s">
        <v>28</v>
      </c>
      <c r="E680" t="s">
        <v>38</v>
      </c>
      <c r="F680" t="s">
        <v>23</v>
      </c>
      <c r="G680">
        <v>68446.91</v>
      </c>
      <c r="H680">
        <v>54790.48</v>
      </c>
      <c r="I680">
        <v>13656.43</v>
      </c>
      <c r="J680">
        <v>64651.51</v>
      </c>
      <c r="K680">
        <v>12964.07</v>
      </c>
      <c r="L680">
        <v>124247.81</v>
      </c>
      <c r="M680">
        <v>867</v>
      </c>
      <c r="N680">
        <v>2.4799999999999999E-2</v>
      </c>
      <c r="O680">
        <f t="shared" si="20"/>
        <v>0.19950000000000001</v>
      </c>
      <c r="P680">
        <f t="shared" si="21"/>
        <v>0.1043</v>
      </c>
      <c r="Q680" t="s">
        <v>76</v>
      </c>
      <c r="R680">
        <v>2022</v>
      </c>
      <c r="S680" t="s">
        <v>25</v>
      </c>
    </row>
    <row r="681" spans="1:19" x14ac:dyDescent="0.3">
      <c r="A681" t="s">
        <v>755</v>
      </c>
      <c r="B681" s="4">
        <v>45452</v>
      </c>
      <c r="C681" t="s">
        <v>48</v>
      </c>
      <c r="D681" t="s">
        <v>49</v>
      </c>
      <c r="E681" t="s">
        <v>22</v>
      </c>
      <c r="F681" t="s">
        <v>23</v>
      </c>
      <c r="G681" t="s">
        <v>1281</v>
      </c>
      <c r="H681">
        <v>20492.43</v>
      </c>
      <c r="I681" t="s">
        <v>1281</v>
      </c>
      <c r="J681">
        <v>11931.99</v>
      </c>
      <c r="K681">
        <v>38590.839999999997</v>
      </c>
      <c r="L681">
        <v>139326.96</v>
      </c>
      <c r="M681">
        <v>442</v>
      </c>
      <c r="N681">
        <v>9.11E-2</v>
      </c>
      <c r="O681" t="s">
        <v>1281</v>
      </c>
      <c r="P681">
        <f t="shared" si="21"/>
        <v>0.27700000000000002</v>
      </c>
      <c r="Q681" t="s">
        <v>111</v>
      </c>
      <c r="R681">
        <v>2024</v>
      </c>
      <c r="S681" t="s">
        <v>25</v>
      </c>
    </row>
    <row r="682" spans="1:19" x14ac:dyDescent="0.3">
      <c r="A682" t="s">
        <v>756</v>
      </c>
      <c r="B682">
        <v>44641</v>
      </c>
      <c r="C682" t="s">
        <v>27</v>
      </c>
      <c r="D682" t="s">
        <v>28</v>
      </c>
      <c r="E682" t="s">
        <v>38</v>
      </c>
      <c r="F682" t="s">
        <v>23</v>
      </c>
      <c r="G682">
        <v>75793.48</v>
      </c>
      <c r="H682">
        <v>61284.22</v>
      </c>
      <c r="I682">
        <v>14509.26</v>
      </c>
      <c r="J682">
        <v>26267.78</v>
      </c>
      <c r="K682">
        <v>22572.57</v>
      </c>
      <c r="L682">
        <v>87033.21</v>
      </c>
      <c r="M682">
        <v>752</v>
      </c>
      <c r="N682">
        <v>2.58E-2</v>
      </c>
      <c r="O682">
        <f t="shared" si="20"/>
        <v>0.19139999999999999</v>
      </c>
      <c r="P682">
        <f t="shared" si="21"/>
        <v>0.25940000000000002</v>
      </c>
      <c r="Q682" t="s">
        <v>90</v>
      </c>
      <c r="R682">
        <v>2022</v>
      </c>
      <c r="S682" t="s">
        <v>25</v>
      </c>
    </row>
    <row r="683" spans="1:19" x14ac:dyDescent="0.3">
      <c r="A683" t="s">
        <v>757</v>
      </c>
      <c r="B683" s="4">
        <v>44809</v>
      </c>
      <c r="C683" t="s">
        <v>48</v>
      </c>
      <c r="D683" t="s">
        <v>49</v>
      </c>
      <c r="E683" t="s">
        <v>22</v>
      </c>
      <c r="F683" t="s">
        <v>23</v>
      </c>
      <c r="G683">
        <v>78094.25</v>
      </c>
      <c r="H683">
        <v>66283.81</v>
      </c>
      <c r="I683">
        <v>11810.44</v>
      </c>
      <c r="J683">
        <v>45647.55</v>
      </c>
      <c r="K683">
        <v>22293.73</v>
      </c>
      <c r="L683">
        <v>76281.490000000005</v>
      </c>
      <c r="M683">
        <v>1285</v>
      </c>
      <c r="N683">
        <v>-0.1305</v>
      </c>
      <c r="O683">
        <f t="shared" si="20"/>
        <v>0.1512</v>
      </c>
      <c r="P683">
        <f t="shared" si="21"/>
        <v>0.2923</v>
      </c>
      <c r="Q683" t="s">
        <v>76</v>
      </c>
      <c r="R683">
        <v>2022</v>
      </c>
      <c r="S683" t="s">
        <v>25</v>
      </c>
    </row>
    <row r="684" spans="1:19" x14ac:dyDescent="0.3">
      <c r="A684" t="s">
        <v>758</v>
      </c>
      <c r="B684">
        <v>44870</v>
      </c>
      <c r="C684" t="s">
        <v>1282</v>
      </c>
      <c r="D684" t="s">
        <v>69</v>
      </c>
      <c r="E684" t="s">
        <v>38</v>
      </c>
      <c r="F684" t="s">
        <v>23</v>
      </c>
      <c r="G684">
        <v>111282.66</v>
      </c>
      <c r="H684">
        <v>83558.25</v>
      </c>
      <c r="I684">
        <v>27724.41</v>
      </c>
      <c r="J684">
        <v>15224.61</v>
      </c>
      <c r="K684">
        <v>30652</v>
      </c>
      <c r="L684">
        <v>42211.85</v>
      </c>
      <c r="M684">
        <v>852</v>
      </c>
      <c r="N684">
        <v>5.5599999999999997E-2</v>
      </c>
      <c r="O684">
        <f t="shared" si="20"/>
        <v>0.24909999999999999</v>
      </c>
      <c r="P684">
        <f t="shared" si="21"/>
        <v>0.72609999999999997</v>
      </c>
      <c r="Q684" t="s">
        <v>46</v>
      </c>
      <c r="R684">
        <v>2022</v>
      </c>
      <c r="S684" t="s">
        <v>82</v>
      </c>
    </row>
    <row r="685" spans="1:19" x14ac:dyDescent="0.3">
      <c r="A685" t="s">
        <v>759</v>
      </c>
      <c r="B685">
        <v>45746</v>
      </c>
      <c r="C685" t="s">
        <v>85</v>
      </c>
      <c r="D685" t="s">
        <v>86</v>
      </c>
      <c r="E685" t="s">
        <v>22</v>
      </c>
      <c r="F685" t="s">
        <v>23</v>
      </c>
      <c r="G685">
        <v>86241.72</v>
      </c>
      <c r="H685">
        <v>73617.08</v>
      </c>
      <c r="I685">
        <v>12624.64</v>
      </c>
      <c r="J685">
        <v>17534.43</v>
      </c>
      <c r="K685">
        <v>12414.72</v>
      </c>
      <c r="L685">
        <v>50491.199999999997</v>
      </c>
      <c r="M685">
        <v>940</v>
      </c>
      <c r="N685">
        <v>-0.1636</v>
      </c>
      <c r="O685">
        <f t="shared" si="20"/>
        <v>0.1464</v>
      </c>
      <c r="P685">
        <f t="shared" si="21"/>
        <v>0.24590000000000001</v>
      </c>
      <c r="Q685" t="s">
        <v>106</v>
      </c>
      <c r="R685">
        <v>2025</v>
      </c>
      <c r="S685" t="s">
        <v>25</v>
      </c>
    </row>
    <row r="686" spans="1:19" x14ac:dyDescent="0.3">
      <c r="A686" t="s">
        <v>760</v>
      </c>
      <c r="B686">
        <v>45407</v>
      </c>
      <c r="C686" t="s">
        <v>30</v>
      </c>
      <c r="D686" t="s">
        <v>31</v>
      </c>
      <c r="E686" t="s">
        <v>51</v>
      </c>
      <c r="F686" t="s">
        <v>23</v>
      </c>
      <c r="G686">
        <v>114066.12</v>
      </c>
      <c r="H686">
        <v>74302.14</v>
      </c>
      <c r="I686">
        <v>39763.980000000003</v>
      </c>
      <c r="J686">
        <v>61091.72</v>
      </c>
      <c r="K686">
        <v>22175.94</v>
      </c>
      <c r="L686">
        <v>203229.09</v>
      </c>
      <c r="M686">
        <v>642</v>
      </c>
      <c r="N686">
        <v>-9.9500000000000005E-2</v>
      </c>
      <c r="O686">
        <f t="shared" si="20"/>
        <v>0.34860000000000002</v>
      </c>
      <c r="P686">
        <f t="shared" si="21"/>
        <v>0.1091</v>
      </c>
      <c r="Q686" t="s">
        <v>111</v>
      </c>
      <c r="R686">
        <v>2024</v>
      </c>
      <c r="S686" t="s">
        <v>25</v>
      </c>
    </row>
    <row r="687" spans="1:19" x14ac:dyDescent="0.3">
      <c r="A687" t="s">
        <v>761</v>
      </c>
      <c r="B687">
        <v>44764</v>
      </c>
      <c r="C687" t="s">
        <v>78</v>
      </c>
      <c r="D687" t="s">
        <v>79</v>
      </c>
      <c r="E687" t="s">
        <v>38</v>
      </c>
      <c r="F687" t="s">
        <v>23</v>
      </c>
      <c r="G687">
        <v>51677.24</v>
      </c>
      <c r="H687">
        <v>29122.86</v>
      </c>
      <c r="I687">
        <v>22554.38</v>
      </c>
      <c r="J687">
        <v>3846.35</v>
      </c>
      <c r="K687">
        <v>39896.730000000003</v>
      </c>
      <c r="L687">
        <v>46293.04</v>
      </c>
      <c r="M687">
        <v>707</v>
      </c>
      <c r="N687">
        <v>7.3200000000000001E-2</v>
      </c>
      <c r="O687">
        <f t="shared" si="20"/>
        <v>0.43640000000000001</v>
      </c>
      <c r="P687">
        <f t="shared" si="21"/>
        <v>0.86180000000000001</v>
      </c>
      <c r="Q687" t="s">
        <v>76</v>
      </c>
      <c r="R687">
        <v>2022</v>
      </c>
      <c r="S687" t="s">
        <v>82</v>
      </c>
    </row>
    <row r="688" spans="1:19" x14ac:dyDescent="0.3">
      <c r="A688" t="s">
        <v>762</v>
      </c>
      <c r="B688">
        <v>45605</v>
      </c>
      <c r="C688" t="s">
        <v>48</v>
      </c>
      <c r="D688" t="s">
        <v>49</v>
      </c>
      <c r="E688" t="s">
        <v>38</v>
      </c>
      <c r="F688" t="s">
        <v>23</v>
      </c>
      <c r="G688">
        <v>115496.14</v>
      </c>
      <c r="H688">
        <v>93604.6</v>
      </c>
      <c r="I688">
        <v>21891.54</v>
      </c>
      <c r="J688">
        <v>22711.360000000001</v>
      </c>
      <c r="K688">
        <v>24379.33</v>
      </c>
      <c r="L688">
        <v>116794.6</v>
      </c>
      <c r="M688">
        <v>734</v>
      </c>
      <c r="N688">
        <v>0.16400000000000001</v>
      </c>
      <c r="O688">
        <f t="shared" si="20"/>
        <v>0.1895</v>
      </c>
      <c r="P688">
        <f t="shared" si="21"/>
        <v>0.2087</v>
      </c>
      <c r="Q688" t="s">
        <v>52</v>
      </c>
      <c r="R688">
        <v>2024</v>
      </c>
      <c r="S688" t="s">
        <v>25</v>
      </c>
    </row>
    <row r="689" spans="1:19" x14ac:dyDescent="0.3">
      <c r="A689" t="s">
        <v>763</v>
      </c>
      <c r="B689">
        <v>45554</v>
      </c>
      <c r="C689" t="s">
        <v>27</v>
      </c>
      <c r="D689" t="s">
        <v>28</v>
      </c>
      <c r="E689" t="s">
        <v>32</v>
      </c>
      <c r="F689" t="s">
        <v>23</v>
      </c>
      <c r="G689">
        <v>30597.365550000002</v>
      </c>
      <c r="H689">
        <v>23322.61</v>
      </c>
      <c r="I689">
        <v>7274.76</v>
      </c>
      <c r="J689">
        <v>44726.21</v>
      </c>
      <c r="K689">
        <v>9680.64</v>
      </c>
      <c r="L689">
        <v>220937.08</v>
      </c>
      <c r="M689">
        <v>625</v>
      </c>
      <c r="N689">
        <v>-0.1062</v>
      </c>
      <c r="O689">
        <f t="shared" si="20"/>
        <v>0.23780000000000001</v>
      </c>
      <c r="P689">
        <f t="shared" si="21"/>
        <v>4.3799999999999999E-2</v>
      </c>
      <c r="Q689" t="s">
        <v>72</v>
      </c>
      <c r="R689">
        <v>2024</v>
      </c>
      <c r="S689" t="s">
        <v>25</v>
      </c>
    </row>
    <row r="690" spans="1:19" x14ac:dyDescent="0.3">
      <c r="A690" t="s">
        <v>764</v>
      </c>
      <c r="B690">
        <v>44727</v>
      </c>
      <c r="C690" t="s">
        <v>54</v>
      </c>
      <c r="D690" t="s">
        <v>55</v>
      </c>
      <c r="E690" t="s">
        <v>51</v>
      </c>
      <c r="F690" t="s">
        <v>23</v>
      </c>
      <c r="G690">
        <v>54759.51</v>
      </c>
      <c r="H690">
        <v>49393.99</v>
      </c>
      <c r="I690">
        <v>5365.52</v>
      </c>
      <c r="J690">
        <v>39298.36</v>
      </c>
      <c r="K690">
        <v>87469.89</v>
      </c>
      <c r="L690">
        <v>154454.91</v>
      </c>
      <c r="M690">
        <v>648</v>
      </c>
      <c r="N690">
        <v>-0.1145</v>
      </c>
      <c r="O690">
        <f t="shared" si="20"/>
        <v>9.8000000000000004E-2</v>
      </c>
      <c r="P690">
        <f t="shared" si="21"/>
        <v>0.56630000000000003</v>
      </c>
      <c r="Q690" t="s">
        <v>58</v>
      </c>
      <c r="R690">
        <v>2022</v>
      </c>
      <c r="S690" t="s">
        <v>40</v>
      </c>
    </row>
    <row r="691" spans="1:19" x14ac:dyDescent="0.3">
      <c r="A691" t="s">
        <v>765</v>
      </c>
      <c r="B691">
        <v>45198</v>
      </c>
      <c r="C691" t="s">
        <v>42</v>
      </c>
      <c r="D691" t="s">
        <v>43</v>
      </c>
      <c r="E691" t="s">
        <v>32</v>
      </c>
      <c r="F691" t="s">
        <v>23</v>
      </c>
      <c r="G691">
        <v>374655.09505</v>
      </c>
      <c r="H691">
        <v>307846.84000000003</v>
      </c>
      <c r="I691">
        <v>66808.25</v>
      </c>
      <c r="J691">
        <v>32476.080000000002</v>
      </c>
      <c r="K691">
        <v>95620.04</v>
      </c>
      <c r="L691">
        <v>69286.009999999995</v>
      </c>
      <c r="M691">
        <v>1534</v>
      </c>
      <c r="N691">
        <v>8.6400000000000005E-2</v>
      </c>
      <c r="O691">
        <f t="shared" si="20"/>
        <v>0.17829999999999999</v>
      </c>
      <c r="P691">
        <f t="shared" si="21"/>
        <v>1.3801000000000001</v>
      </c>
      <c r="Q691" t="s">
        <v>56</v>
      </c>
      <c r="R691">
        <v>2023</v>
      </c>
      <c r="S691" t="s">
        <v>82</v>
      </c>
    </row>
    <row r="692" spans="1:19" x14ac:dyDescent="0.3">
      <c r="A692" t="s">
        <v>766</v>
      </c>
      <c r="B692">
        <v>45593</v>
      </c>
      <c r="C692" t="s">
        <v>36</v>
      </c>
      <c r="D692" t="s">
        <v>37</v>
      </c>
      <c r="E692" t="s">
        <v>22</v>
      </c>
      <c r="F692" t="s">
        <v>23</v>
      </c>
      <c r="G692">
        <v>108155.4</v>
      </c>
      <c r="H692">
        <v>83830.11</v>
      </c>
      <c r="I692">
        <v>24325.29</v>
      </c>
      <c r="J692">
        <v>22907.29</v>
      </c>
      <c r="K692">
        <v>45657.68</v>
      </c>
      <c r="L692">
        <v>79173.570000000007</v>
      </c>
      <c r="M692">
        <v>725</v>
      </c>
      <c r="N692">
        <v>9.8000000000000004E-2</v>
      </c>
      <c r="O692">
        <f t="shared" si="20"/>
        <v>0.22489999999999999</v>
      </c>
      <c r="P692">
        <f t="shared" si="21"/>
        <v>0.57669999999999999</v>
      </c>
      <c r="Q692" t="s">
        <v>52</v>
      </c>
      <c r="R692">
        <v>2024</v>
      </c>
      <c r="S692" t="s">
        <v>40</v>
      </c>
    </row>
    <row r="693" spans="1:19" x14ac:dyDescent="0.3">
      <c r="A693" t="s">
        <v>767</v>
      </c>
      <c r="B693">
        <v>45910</v>
      </c>
      <c r="C693" t="s">
        <v>61</v>
      </c>
      <c r="D693" t="s">
        <v>74</v>
      </c>
      <c r="E693" t="s">
        <v>51</v>
      </c>
      <c r="F693" t="s">
        <v>23</v>
      </c>
      <c r="G693">
        <v>40628.49</v>
      </c>
      <c r="H693">
        <v>34169.15</v>
      </c>
      <c r="I693">
        <v>6459.34</v>
      </c>
      <c r="J693">
        <v>22430.080000000002</v>
      </c>
      <c r="K693">
        <v>42125.15</v>
      </c>
      <c r="L693">
        <v>71936.61</v>
      </c>
      <c r="M693">
        <v>997</v>
      </c>
      <c r="N693">
        <v>2.7199999999999998E-2</v>
      </c>
      <c r="O693">
        <f t="shared" si="20"/>
        <v>0.159</v>
      </c>
      <c r="P693">
        <f t="shared" si="21"/>
        <v>0.58560000000000001</v>
      </c>
      <c r="Q693" t="s">
        <v>24</v>
      </c>
      <c r="R693">
        <v>2025</v>
      </c>
      <c r="S693" t="s">
        <v>40</v>
      </c>
    </row>
    <row r="694" spans="1:19" x14ac:dyDescent="0.3">
      <c r="A694" t="s">
        <v>768</v>
      </c>
      <c r="B694">
        <v>45308</v>
      </c>
      <c r="C694" t="s">
        <v>85</v>
      </c>
      <c r="D694" t="s">
        <v>86</v>
      </c>
      <c r="E694" t="s">
        <v>22</v>
      </c>
      <c r="F694" t="s">
        <v>23</v>
      </c>
      <c r="G694" t="s">
        <v>1281</v>
      </c>
      <c r="H694">
        <v>95485.73</v>
      </c>
      <c r="I694" t="s">
        <v>1281</v>
      </c>
      <c r="J694">
        <v>25956.28</v>
      </c>
      <c r="K694">
        <v>17140.759999999998</v>
      </c>
      <c r="L694">
        <v>84359.92</v>
      </c>
      <c r="M694">
        <v>725</v>
      </c>
      <c r="N694">
        <v>2.0899999999999998E-2</v>
      </c>
      <c r="O694" t="s">
        <v>1281</v>
      </c>
      <c r="P694">
        <f t="shared" si="21"/>
        <v>0.20319999999999999</v>
      </c>
      <c r="Q694" t="s">
        <v>80</v>
      </c>
      <c r="R694">
        <v>2024</v>
      </c>
      <c r="S694" t="s">
        <v>25</v>
      </c>
    </row>
    <row r="695" spans="1:19" x14ac:dyDescent="0.3">
      <c r="A695" t="s">
        <v>769</v>
      </c>
      <c r="B695">
        <v>44906</v>
      </c>
      <c r="C695" t="s">
        <v>27</v>
      </c>
      <c r="D695" t="s">
        <v>28</v>
      </c>
      <c r="E695" t="s">
        <v>51</v>
      </c>
      <c r="F695" t="s">
        <v>23</v>
      </c>
      <c r="G695">
        <v>106139.66</v>
      </c>
      <c r="H695">
        <v>62000.37</v>
      </c>
      <c r="I695">
        <v>44139.29</v>
      </c>
      <c r="J695">
        <v>16216.77</v>
      </c>
      <c r="K695">
        <v>13576.76</v>
      </c>
      <c r="L695">
        <v>173153.28</v>
      </c>
      <c r="M695">
        <v>562</v>
      </c>
      <c r="N695">
        <v>0.12089999999999999</v>
      </c>
      <c r="O695">
        <f t="shared" si="20"/>
        <v>0.41589999999999999</v>
      </c>
      <c r="P695">
        <f t="shared" si="21"/>
        <v>7.8399999999999997E-2</v>
      </c>
      <c r="Q695" t="s">
        <v>46</v>
      </c>
      <c r="R695">
        <v>2022</v>
      </c>
      <c r="S695" t="s">
        <v>25</v>
      </c>
    </row>
    <row r="696" spans="1:19" x14ac:dyDescent="0.3">
      <c r="A696" t="s">
        <v>770</v>
      </c>
      <c r="B696">
        <v>45507</v>
      </c>
      <c r="C696" t="s">
        <v>78</v>
      </c>
      <c r="D696" t="s">
        <v>79</v>
      </c>
      <c r="E696" t="s">
        <v>32</v>
      </c>
      <c r="F696" t="s">
        <v>23</v>
      </c>
      <c r="G696">
        <v>94690.492400000003</v>
      </c>
      <c r="H696">
        <v>53514.53</v>
      </c>
      <c r="I696">
        <v>41175.96</v>
      </c>
      <c r="J696">
        <v>19308.04</v>
      </c>
      <c r="K696">
        <v>69000.039999999994</v>
      </c>
      <c r="L696">
        <v>91628.65</v>
      </c>
      <c r="M696">
        <v>965</v>
      </c>
      <c r="N696">
        <v>-6.93E-2</v>
      </c>
      <c r="O696">
        <f t="shared" si="20"/>
        <v>0.43480000000000002</v>
      </c>
      <c r="P696">
        <f t="shared" si="21"/>
        <v>0.753</v>
      </c>
      <c r="Q696" t="s">
        <v>72</v>
      </c>
      <c r="R696">
        <v>2024</v>
      </c>
      <c r="S696" t="s">
        <v>82</v>
      </c>
    </row>
    <row r="697" spans="1:19" x14ac:dyDescent="0.3">
      <c r="A697" t="s">
        <v>771</v>
      </c>
      <c r="B697">
        <v>45114</v>
      </c>
      <c r="C697" t="s">
        <v>61</v>
      </c>
      <c r="D697" t="s">
        <v>74</v>
      </c>
      <c r="E697" t="s">
        <v>32</v>
      </c>
      <c r="F697" t="s">
        <v>23</v>
      </c>
      <c r="G697">
        <v>28950.844100000002</v>
      </c>
      <c r="H697">
        <v>17687.39</v>
      </c>
      <c r="I697">
        <v>11263.46</v>
      </c>
      <c r="J697">
        <v>27945.81</v>
      </c>
      <c r="K697">
        <v>34765.81</v>
      </c>
      <c r="L697">
        <v>326802.38</v>
      </c>
      <c r="M697">
        <v>680</v>
      </c>
      <c r="N697">
        <v>-6.6799999999999998E-2</v>
      </c>
      <c r="O697">
        <f t="shared" si="20"/>
        <v>0.3891</v>
      </c>
      <c r="P697">
        <f t="shared" si="21"/>
        <v>0.10639999999999999</v>
      </c>
      <c r="Q697" t="s">
        <v>56</v>
      </c>
      <c r="R697">
        <v>2023</v>
      </c>
      <c r="S697" t="s">
        <v>25</v>
      </c>
    </row>
    <row r="698" spans="1:19" x14ac:dyDescent="0.3">
      <c r="A698" t="s">
        <v>772</v>
      </c>
      <c r="B698">
        <v>45763</v>
      </c>
      <c r="C698" t="s">
        <v>1282</v>
      </c>
      <c r="D698" t="s">
        <v>69</v>
      </c>
      <c r="E698" t="s">
        <v>22</v>
      </c>
      <c r="F698" t="s">
        <v>23</v>
      </c>
      <c r="G698">
        <v>107217.32</v>
      </c>
      <c r="H698">
        <v>88853.75</v>
      </c>
      <c r="I698">
        <v>18363.57</v>
      </c>
      <c r="J698">
        <v>54712.18</v>
      </c>
      <c r="K698">
        <v>57714.75</v>
      </c>
      <c r="L698">
        <v>204034.16</v>
      </c>
      <c r="M698">
        <v>2418</v>
      </c>
      <c r="N698">
        <v>-1.67E-2</v>
      </c>
      <c r="O698">
        <f t="shared" si="20"/>
        <v>0.17130000000000001</v>
      </c>
      <c r="P698">
        <f t="shared" si="21"/>
        <v>0.28289999999999998</v>
      </c>
      <c r="Q698" t="s">
        <v>34</v>
      </c>
      <c r="R698">
        <v>2025</v>
      </c>
      <c r="S698" t="s">
        <v>25</v>
      </c>
    </row>
    <row r="699" spans="1:19" x14ac:dyDescent="0.3">
      <c r="A699" t="s">
        <v>773</v>
      </c>
      <c r="B699">
        <v>44630</v>
      </c>
      <c r="C699" t="s">
        <v>20</v>
      </c>
      <c r="D699" t="s">
        <v>21</v>
      </c>
      <c r="E699" t="s">
        <v>22</v>
      </c>
      <c r="F699" t="s">
        <v>23</v>
      </c>
      <c r="G699">
        <v>17042.23</v>
      </c>
      <c r="H699">
        <v>11122.57</v>
      </c>
      <c r="I699">
        <v>5919.66</v>
      </c>
      <c r="J699">
        <v>32989.519999999997</v>
      </c>
      <c r="K699">
        <v>80962.77</v>
      </c>
      <c r="L699">
        <v>161662.23000000001</v>
      </c>
      <c r="M699">
        <v>762</v>
      </c>
      <c r="N699">
        <v>7.4099999999999999E-2</v>
      </c>
      <c r="O699">
        <f t="shared" si="20"/>
        <v>0.34739999999999999</v>
      </c>
      <c r="P699">
        <f t="shared" si="21"/>
        <v>0.50080000000000002</v>
      </c>
      <c r="Q699" t="s">
        <v>90</v>
      </c>
      <c r="R699">
        <v>2022</v>
      </c>
      <c r="S699" t="s">
        <v>40</v>
      </c>
    </row>
    <row r="700" spans="1:19" x14ac:dyDescent="0.3">
      <c r="A700" t="s">
        <v>774</v>
      </c>
      <c r="B700">
        <v>45449</v>
      </c>
      <c r="C700" t="s">
        <v>102</v>
      </c>
      <c r="D700" t="s">
        <v>103</v>
      </c>
      <c r="E700" t="s">
        <v>32</v>
      </c>
      <c r="F700" t="s">
        <v>23</v>
      </c>
      <c r="G700">
        <v>136287.14015000002</v>
      </c>
      <c r="H700">
        <v>101317.27</v>
      </c>
      <c r="I700">
        <v>34969.870000000003</v>
      </c>
      <c r="J700">
        <v>38201.54</v>
      </c>
      <c r="K700">
        <v>13604.98</v>
      </c>
      <c r="L700">
        <v>72760.160000000003</v>
      </c>
      <c r="M700">
        <v>1735</v>
      </c>
      <c r="N700">
        <v>0.16750000000000001</v>
      </c>
      <c r="O700">
        <f t="shared" si="20"/>
        <v>0.25659999999999999</v>
      </c>
      <c r="P700">
        <f t="shared" si="21"/>
        <v>0.187</v>
      </c>
      <c r="Q700" t="s">
        <v>111</v>
      </c>
      <c r="R700">
        <v>2024</v>
      </c>
      <c r="S700" t="s">
        <v>25</v>
      </c>
    </row>
    <row r="701" spans="1:19" x14ac:dyDescent="0.3">
      <c r="A701" t="s">
        <v>775</v>
      </c>
      <c r="B701">
        <v>44920</v>
      </c>
      <c r="C701" t="s">
        <v>30</v>
      </c>
      <c r="D701" t="s">
        <v>31</v>
      </c>
      <c r="E701" t="s">
        <v>38</v>
      </c>
      <c r="F701" t="s">
        <v>23</v>
      </c>
      <c r="G701">
        <v>44282.57</v>
      </c>
      <c r="H701">
        <v>34527.25</v>
      </c>
      <c r="I701">
        <v>9755.32</v>
      </c>
      <c r="J701">
        <v>22649.43</v>
      </c>
      <c r="K701">
        <v>41229.29</v>
      </c>
      <c r="L701">
        <v>233877.6</v>
      </c>
      <c r="M701">
        <v>671</v>
      </c>
      <c r="N701">
        <v>4.2099999999999999E-2</v>
      </c>
      <c r="O701">
        <f t="shared" si="20"/>
        <v>0.2203</v>
      </c>
      <c r="P701">
        <f t="shared" si="21"/>
        <v>0.17630000000000001</v>
      </c>
      <c r="Q701" t="s">
        <v>46</v>
      </c>
      <c r="R701">
        <v>2022</v>
      </c>
      <c r="S701" t="s">
        <v>25</v>
      </c>
    </row>
    <row r="702" spans="1:19" x14ac:dyDescent="0.3">
      <c r="A702" t="s">
        <v>776</v>
      </c>
      <c r="B702">
        <v>44704</v>
      </c>
      <c r="C702" t="s">
        <v>30</v>
      </c>
      <c r="D702" t="s">
        <v>31</v>
      </c>
      <c r="E702" t="s">
        <v>32</v>
      </c>
      <c r="F702" t="s">
        <v>23</v>
      </c>
      <c r="G702">
        <v>78015.078800000003</v>
      </c>
      <c r="H702">
        <v>67293.7</v>
      </c>
      <c r="I702">
        <v>10721.38</v>
      </c>
      <c r="J702">
        <v>17831.169999999998</v>
      </c>
      <c r="K702">
        <v>24495.82</v>
      </c>
      <c r="L702">
        <v>116378.74</v>
      </c>
      <c r="M702">
        <v>698</v>
      </c>
      <c r="N702">
        <v>3.2199999999999999E-2</v>
      </c>
      <c r="O702">
        <f t="shared" si="20"/>
        <v>0.13739999999999999</v>
      </c>
      <c r="P702">
        <f t="shared" si="21"/>
        <v>0.21049999999999999</v>
      </c>
      <c r="Q702" t="s">
        <v>58</v>
      </c>
      <c r="R702">
        <v>2022</v>
      </c>
      <c r="S702" t="s">
        <v>25</v>
      </c>
    </row>
    <row r="703" spans="1:19" x14ac:dyDescent="0.3">
      <c r="A703" t="s">
        <v>777</v>
      </c>
      <c r="B703">
        <v>44665</v>
      </c>
      <c r="C703" t="s">
        <v>54</v>
      </c>
      <c r="D703" t="s">
        <v>55</v>
      </c>
      <c r="E703" t="s">
        <v>32</v>
      </c>
      <c r="F703" t="s">
        <v>23</v>
      </c>
      <c r="G703">
        <v>229124.35845</v>
      </c>
      <c r="H703">
        <v>171575.26</v>
      </c>
      <c r="I703">
        <v>57549.1</v>
      </c>
      <c r="J703">
        <v>47077.77</v>
      </c>
      <c r="K703">
        <v>10915.48</v>
      </c>
      <c r="L703">
        <v>88954.94</v>
      </c>
      <c r="M703">
        <v>636</v>
      </c>
      <c r="N703">
        <v>2.8999999999999998E-3</v>
      </c>
      <c r="O703">
        <f t="shared" si="20"/>
        <v>0.25119999999999998</v>
      </c>
      <c r="P703">
        <f t="shared" si="21"/>
        <v>0.1227</v>
      </c>
      <c r="Q703" t="s">
        <v>58</v>
      </c>
      <c r="R703">
        <v>2022</v>
      </c>
      <c r="S703" t="s">
        <v>25</v>
      </c>
    </row>
    <row r="704" spans="1:19" x14ac:dyDescent="0.3">
      <c r="A704" t="s">
        <v>778</v>
      </c>
      <c r="B704">
        <v>45655</v>
      </c>
      <c r="C704" t="s">
        <v>27</v>
      </c>
      <c r="D704" t="s">
        <v>28</v>
      </c>
      <c r="E704" t="s">
        <v>38</v>
      </c>
      <c r="F704" t="s">
        <v>23</v>
      </c>
      <c r="G704">
        <v>66963.83</v>
      </c>
      <c r="H704">
        <v>61248.06</v>
      </c>
      <c r="I704">
        <v>5715.77</v>
      </c>
      <c r="J704">
        <v>56422.33</v>
      </c>
      <c r="K704">
        <v>48839.199999999997</v>
      </c>
      <c r="L704">
        <v>120646.99</v>
      </c>
      <c r="M704">
        <v>834</v>
      </c>
      <c r="N704">
        <v>-5.5300000000000002E-2</v>
      </c>
      <c r="O704">
        <f t="shared" si="20"/>
        <v>8.5400000000000004E-2</v>
      </c>
      <c r="P704">
        <f t="shared" si="21"/>
        <v>0.40479999999999999</v>
      </c>
      <c r="Q704" t="s">
        <v>52</v>
      </c>
      <c r="R704">
        <v>2024</v>
      </c>
      <c r="S704" t="s">
        <v>40</v>
      </c>
    </row>
    <row r="705" spans="1:19" x14ac:dyDescent="0.3">
      <c r="A705" t="s">
        <v>779</v>
      </c>
      <c r="B705">
        <v>45773</v>
      </c>
      <c r="C705" t="s">
        <v>20</v>
      </c>
      <c r="D705" t="s">
        <v>21</v>
      </c>
      <c r="E705" t="s">
        <v>32</v>
      </c>
      <c r="F705" t="s">
        <v>23</v>
      </c>
      <c r="G705">
        <v>39824.370950000004</v>
      </c>
      <c r="H705">
        <v>21915.040000000001</v>
      </c>
      <c r="I705">
        <v>17909.330000000002</v>
      </c>
      <c r="J705">
        <v>40000.06</v>
      </c>
      <c r="K705">
        <v>54197.46</v>
      </c>
      <c r="L705">
        <v>121340.46</v>
      </c>
      <c r="M705">
        <v>1189</v>
      </c>
      <c r="N705">
        <v>-7.2599999999999998E-2</v>
      </c>
      <c r="O705">
        <f t="shared" si="20"/>
        <v>0.44969999999999999</v>
      </c>
      <c r="P705">
        <f t="shared" si="21"/>
        <v>0.44669999999999999</v>
      </c>
      <c r="Q705" t="s">
        <v>34</v>
      </c>
      <c r="R705">
        <v>2025</v>
      </c>
      <c r="S705" t="s">
        <v>40</v>
      </c>
    </row>
    <row r="706" spans="1:19" x14ac:dyDescent="0.3">
      <c r="A706" t="s">
        <v>780</v>
      </c>
      <c r="B706">
        <v>45641</v>
      </c>
      <c r="C706" t="s">
        <v>102</v>
      </c>
      <c r="D706" t="s">
        <v>103</v>
      </c>
      <c r="E706" t="s">
        <v>22</v>
      </c>
      <c r="F706" t="s">
        <v>23</v>
      </c>
      <c r="G706">
        <v>40864.61</v>
      </c>
      <c r="H706">
        <v>29481.96</v>
      </c>
      <c r="I706">
        <v>11382.65</v>
      </c>
      <c r="J706">
        <v>69147.53</v>
      </c>
      <c r="K706">
        <v>10523.89</v>
      </c>
      <c r="L706">
        <v>147279.56</v>
      </c>
      <c r="M706">
        <v>607</v>
      </c>
      <c r="N706">
        <v>8.9800000000000005E-2</v>
      </c>
      <c r="O706">
        <f t="shared" si="20"/>
        <v>0.27850000000000003</v>
      </c>
      <c r="P706">
        <f t="shared" si="21"/>
        <v>7.1499999999999994E-2</v>
      </c>
      <c r="Q706" t="s">
        <v>52</v>
      </c>
      <c r="R706">
        <v>2024</v>
      </c>
      <c r="S706" t="s">
        <v>25</v>
      </c>
    </row>
    <row r="707" spans="1:19" x14ac:dyDescent="0.3">
      <c r="A707" t="s">
        <v>781</v>
      </c>
      <c r="B707">
        <v>45210</v>
      </c>
      <c r="C707" t="s">
        <v>48</v>
      </c>
      <c r="D707" t="s">
        <v>49</v>
      </c>
      <c r="E707" t="s">
        <v>38</v>
      </c>
      <c r="F707" t="s">
        <v>23</v>
      </c>
      <c r="G707">
        <v>425278.71</v>
      </c>
      <c r="H707">
        <v>339280.16</v>
      </c>
      <c r="I707">
        <v>85998.55</v>
      </c>
      <c r="J707">
        <v>57844.27</v>
      </c>
      <c r="K707">
        <v>29213.94</v>
      </c>
      <c r="L707">
        <v>142568.31</v>
      </c>
      <c r="M707">
        <v>786</v>
      </c>
      <c r="N707">
        <v>1.2699999999999999E-2</v>
      </c>
      <c r="O707">
        <f t="shared" ref="O707:O770" si="22">(ROUND(I707/G707,4))</f>
        <v>0.20219999999999999</v>
      </c>
      <c r="P707">
        <f t="shared" ref="P707:P770" si="23">ROUND(K707/L707,4)</f>
        <v>0.2049</v>
      </c>
      <c r="Q707" t="s">
        <v>44</v>
      </c>
      <c r="R707">
        <v>2023</v>
      </c>
      <c r="S707" t="s">
        <v>25</v>
      </c>
    </row>
    <row r="708" spans="1:19" x14ac:dyDescent="0.3">
      <c r="A708" t="s">
        <v>782</v>
      </c>
      <c r="B708">
        <v>45372</v>
      </c>
      <c r="C708" t="s">
        <v>102</v>
      </c>
      <c r="D708" t="s">
        <v>103</v>
      </c>
      <c r="E708" t="s">
        <v>32</v>
      </c>
      <c r="F708" t="s">
        <v>23</v>
      </c>
      <c r="G708">
        <v>155293.4417</v>
      </c>
      <c r="H708">
        <v>121305.81</v>
      </c>
      <c r="I708">
        <v>33987.629999999997</v>
      </c>
      <c r="J708">
        <v>91626.11</v>
      </c>
      <c r="K708">
        <v>16034.23</v>
      </c>
      <c r="L708">
        <v>114646</v>
      </c>
      <c r="M708">
        <v>1028</v>
      </c>
      <c r="N708">
        <v>-3.1099999999999999E-2</v>
      </c>
      <c r="O708">
        <f t="shared" si="22"/>
        <v>0.21890000000000001</v>
      </c>
      <c r="P708">
        <f t="shared" si="23"/>
        <v>0.1399</v>
      </c>
      <c r="Q708" t="s">
        <v>80</v>
      </c>
      <c r="R708">
        <v>2024</v>
      </c>
      <c r="S708" t="s">
        <v>25</v>
      </c>
    </row>
    <row r="709" spans="1:19" x14ac:dyDescent="0.3">
      <c r="A709" t="s">
        <v>783</v>
      </c>
      <c r="B709">
        <v>45394</v>
      </c>
      <c r="C709" t="s">
        <v>85</v>
      </c>
      <c r="D709" t="s">
        <v>86</v>
      </c>
      <c r="E709" t="s">
        <v>22</v>
      </c>
      <c r="F709" t="s">
        <v>23</v>
      </c>
      <c r="G709">
        <v>98329.63</v>
      </c>
      <c r="H709">
        <v>62442.1</v>
      </c>
      <c r="I709">
        <v>35887.53</v>
      </c>
      <c r="J709">
        <v>28237.68</v>
      </c>
      <c r="K709">
        <v>47194.879999999997</v>
      </c>
      <c r="L709">
        <v>192136.17</v>
      </c>
      <c r="M709">
        <v>751</v>
      </c>
      <c r="N709">
        <v>0.12859999999999999</v>
      </c>
      <c r="O709">
        <f t="shared" si="22"/>
        <v>0.36499999999999999</v>
      </c>
      <c r="P709">
        <f t="shared" si="23"/>
        <v>0.24560000000000001</v>
      </c>
      <c r="Q709" t="s">
        <v>111</v>
      </c>
      <c r="R709">
        <v>2024</v>
      </c>
      <c r="S709" t="s">
        <v>25</v>
      </c>
    </row>
    <row r="710" spans="1:19" x14ac:dyDescent="0.3">
      <c r="A710" t="s">
        <v>784</v>
      </c>
      <c r="B710">
        <v>44789</v>
      </c>
      <c r="C710" t="s">
        <v>61</v>
      </c>
      <c r="D710" t="s">
        <v>74</v>
      </c>
      <c r="E710" t="s">
        <v>32</v>
      </c>
      <c r="F710" t="s">
        <v>23</v>
      </c>
      <c r="G710">
        <v>82837.418049999993</v>
      </c>
      <c r="H710">
        <v>56040.82</v>
      </c>
      <c r="I710">
        <v>26796.6</v>
      </c>
      <c r="J710">
        <v>60701.99</v>
      </c>
      <c r="K710">
        <v>89098.43</v>
      </c>
      <c r="L710">
        <v>420138.42</v>
      </c>
      <c r="M710">
        <v>762</v>
      </c>
      <c r="N710">
        <v>-9.7500000000000003E-2</v>
      </c>
      <c r="O710">
        <f t="shared" si="22"/>
        <v>0.32350000000000001</v>
      </c>
      <c r="P710">
        <f t="shared" si="23"/>
        <v>0.21210000000000001</v>
      </c>
      <c r="Q710" t="s">
        <v>76</v>
      </c>
      <c r="R710">
        <v>2022</v>
      </c>
      <c r="S710" t="s">
        <v>25</v>
      </c>
    </row>
    <row r="711" spans="1:19" x14ac:dyDescent="0.3">
      <c r="A711" t="s">
        <v>785</v>
      </c>
      <c r="B711">
        <v>45300</v>
      </c>
      <c r="C711" t="s">
        <v>30</v>
      </c>
      <c r="D711" t="s">
        <v>31</v>
      </c>
      <c r="E711" t="s">
        <v>51</v>
      </c>
      <c r="F711" t="s">
        <v>23</v>
      </c>
      <c r="G711">
        <v>38555.56</v>
      </c>
      <c r="H711">
        <v>25048.12</v>
      </c>
      <c r="I711">
        <v>13507.44</v>
      </c>
      <c r="J711">
        <v>48919.75</v>
      </c>
      <c r="K711">
        <v>22673.19</v>
      </c>
      <c r="L711">
        <v>219203.51</v>
      </c>
      <c r="M711">
        <v>519</v>
      </c>
      <c r="N711">
        <v>9.5699999999999993E-2</v>
      </c>
      <c r="O711">
        <f t="shared" si="22"/>
        <v>0.3503</v>
      </c>
      <c r="P711">
        <f t="shared" si="23"/>
        <v>0.10340000000000001</v>
      </c>
      <c r="Q711" t="s">
        <v>80</v>
      </c>
      <c r="R711">
        <v>2024</v>
      </c>
      <c r="S711" t="s">
        <v>25</v>
      </c>
    </row>
    <row r="712" spans="1:19" x14ac:dyDescent="0.3">
      <c r="A712" t="s">
        <v>786</v>
      </c>
      <c r="B712">
        <v>45933</v>
      </c>
      <c r="C712" t="s">
        <v>27</v>
      </c>
      <c r="D712" t="s">
        <v>28</v>
      </c>
      <c r="E712" t="s">
        <v>38</v>
      </c>
      <c r="F712" t="s">
        <v>23</v>
      </c>
      <c r="G712">
        <v>54955.16</v>
      </c>
      <c r="H712">
        <v>30650.5</v>
      </c>
      <c r="I712">
        <v>24304.66</v>
      </c>
      <c r="J712">
        <v>51477.25</v>
      </c>
      <c r="K712">
        <v>23698.57</v>
      </c>
      <c r="L712">
        <v>81553.34</v>
      </c>
      <c r="M712">
        <v>935</v>
      </c>
      <c r="N712">
        <v>-0.10730000000000001</v>
      </c>
      <c r="O712">
        <f t="shared" si="22"/>
        <v>0.44230000000000003</v>
      </c>
      <c r="P712">
        <f t="shared" si="23"/>
        <v>0.29060000000000002</v>
      </c>
      <c r="Q712" t="s">
        <v>66</v>
      </c>
      <c r="R712">
        <v>2025</v>
      </c>
      <c r="S712" t="s">
        <v>25</v>
      </c>
    </row>
    <row r="713" spans="1:19" x14ac:dyDescent="0.3">
      <c r="A713" t="s">
        <v>787</v>
      </c>
      <c r="B713">
        <v>45496</v>
      </c>
      <c r="C713" t="s">
        <v>36</v>
      </c>
      <c r="D713" t="s">
        <v>37</v>
      </c>
      <c r="E713" t="s">
        <v>22</v>
      </c>
      <c r="F713" t="s">
        <v>23</v>
      </c>
      <c r="G713">
        <v>80276.100000000006</v>
      </c>
      <c r="H713">
        <v>54679.01</v>
      </c>
      <c r="I713">
        <v>25597.09</v>
      </c>
      <c r="J713">
        <v>60479.94</v>
      </c>
      <c r="K713">
        <v>9398.36</v>
      </c>
      <c r="L713">
        <v>76324.259999999995</v>
      </c>
      <c r="M713">
        <v>762</v>
      </c>
      <c r="N713">
        <v>0.13830000000000001</v>
      </c>
      <c r="O713">
        <f t="shared" si="22"/>
        <v>0.31890000000000002</v>
      </c>
      <c r="P713">
        <f t="shared" si="23"/>
        <v>0.1231</v>
      </c>
      <c r="Q713" t="s">
        <v>72</v>
      </c>
      <c r="R713">
        <v>2024</v>
      </c>
      <c r="S713" t="s">
        <v>25</v>
      </c>
    </row>
    <row r="714" spans="1:19" x14ac:dyDescent="0.3">
      <c r="A714" t="s">
        <v>788</v>
      </c>
      <c r="B714">
        <v>44878</v>
      </c>
      <c r="C714" t="s">
        <v>36</v>
      </c>
      <c r="D714" t="s">
        <v>37</v>
      </c>
      <c r="E714" t="s">
        <v>51</v>
      </c>
      <c r="F714" t="s">
        <v>23</v>
      </c>
      <c r="G714">
        <v>19515.169999999998</v>
      </c>
      <c r="H714">
        <v>13659.24</v>
      </c>
      <c r="I714">
        <v>5855.93</v>
      </c>
      <c r="J714">
        <v>14261.39</v>
      </c>
      <c r="K714">
        <v>31477.34</v>
      </c>
      <c r="L714">
        <v>64484.14</v>
      </c>
      <c r="M714">
        <v>911</v>
      </c>
      <c r="N714">
        <v>-3.0300000000000001E-2</v>
      </c>
      <c r="O714">
        <f t="shared" si="22"/>
        <v>0.30009999999999998</v>
      </c>
      <c r="P714">
        <f t="shared" si="23"/>
        <v>0.48809999999999998</v>
      </c>
      <c r="Q714" t="s">
        <v>46</v>
      </c>
      <c r="R714">
        <v>2022</v>
      </c>
      <c r="S714" t="s">
        <v>40</v>
      </c>
    </row>
    <row r="715" spans="1:19" x14ac:dyDescent="0.3">
      <c r="A715" t="s">
        <v>789</v>
      </c>
      <c r="B715">
        <v>45671</v>
      </c>
      <c r="C715" t="s">
        <v>48</v>
      </c>
      <c r="D715" t="s">
        <v>49</v>
      </c>
      <c r="E715" t="s">
        <v>38</v>
      </c>
      <c r="F715" t="s">
        <v>23</v>
      </c>
      <c r="G715">
        <v>39931.65</v>
      </c>
      <c r="H715">
        <v>34803.1</v>
      </c>
      <c r="I715">
        <v>5128.55</v>
      </c>
      <c r="J715">
        <v>95721.73</v>
      </c>
      <c r="K715">
        <v>6745.65</v>
      </c>
      <c r="L715">
        <v>354748.84</v>
      </c>
      <c r="M715">
        <v>873</v>
      </c>
      <c r="N715">
        <v>-4.6199999999999998E-2</v>
      </c>
      <c r="O715">
        <f t="shared" si="22"/>
        <v>0.12839999999999999</v>
      </c>
      <c r="P715">
        <f t="shared" si="23"/>
        <v>1.9E-2</v>
      </c>
      <c r="Q715" t="s">
        <v>106</v>
      </c>
      <c r="R715">
        <v>2025</v>
      </c>
      <c r="S715" t="s">
        <v>25</v>
      </c>
    </row>
    <row r="716" spans="1:19" x14ac:dyDescent="0.3">
      <c r="A716" t="s">
        <v>790</v>
      </c>
      <c r="B716">
        <v>44952</v>
      </c>
      <c r="C716" t="s">
        <v>30</v>
      </c>
      <c r="D716" t="s">
        <v>31</v>
      </c>
      <c r="E716" t="s">
        <v>22</v>
      </c>
      <c r="F716" t="s">
        <v>23</v>
      </c>
      <c r="G716">
        <v>31869.3</v>
      </c>
      <c r="H716">
        <v>27392.44</v>
      </c>
      <c r="I716">
        <v>4476.8599999999997</v>
      </c>
      <c r="J716">
        <v>55364.55</v>
      </c>
      <c r="K716">
        <v>10968.6</v>
      </c>
      <c r="L716">
        <v>116961.31</v>
      </c>
      <c r="M716">
        <v>379</v>
      </c>
      <c r="N716">
        <v>0.1206</v>
      </c>
      <c r="O716">
        <f t="shared" si="22"/>
        <v>0.14050000000000001</v>
      </c>
      <c r="P716">
        <f t="shared" si="23"/>
        <v>9.3799999999999994E-2</v>
      </c>
      <c r="Q716" t="s">
        <v>118</v>
      </c>
      <c r="R716">
        <v>2023</v>
      </c>
      <c r="S716" t="s">
        <v>25</v>
      </c>
    </row>
    <row r="717" spans="1:19" x14ac:dyDescent="0.3">
      <c r="A717" t="s">
        <v>791</v>
      </c>
      <c r="B717">
        <v>45064</v>
      </c>
      <c r="C717" t="s">
        <v>102</v>
      </c>
      <c r="D717" t="s">
        <v>103</v>
      </c>
      <c r="E717" t="s">
        <v>38</v>
      </c>
      <c r="F717" t="s">
        <v>23</v>
      </c>
      <c r="G717">
        <v>51073.97</v>
      </c>
      <c r="H717">
        <v>34852.94</v>
      </c>
      <c r="I717">
        <v>16221.03</v>
      </c>
      <c r="J717">
        <v>15244.89</v>
      </c>
      <c r="K717">
        <v>28870.880000000001</v>
      </c>
      <c r="L717">
        <v>139541.85</v>
      </c>
      <c r="M717">
        <v>2263</v>
      </c>
      <c r="N717">
        <v>5.3699999999999998E-2</v>
      </c>
      <c r="O717">
        <f t="shared" si="22"/>
        <v>0.31759999999999999</v>
      </c>
      <c r="P717">
        <f t="shared" si="23"/>
        <v>0.2069</v>
      </c>
      <c r="Q717" t="s">
        <v>39</v>
      </c>
      <c r="R717">
        <v>2023</v>
      </c>
      <c r="S717" t="s">
        <v>25</v>
      </c>
    </row>
    <row r="718" spans="1:19" x14ac:dyDescent="0.3">
      <c r="A718" t="s">
        <v>792</v>
      </c>
      <c r="B718">
        <v>44805</v>
      </c>
      <c r="C718" t="s">
        <v>42</v>
      </c>
      <c r="D718" t="s">
        <v>43</v>
      </c>
      <c r="E718" t="s">
        <v>38</v>
      </c>
      <c r="F718" t="s">
        <v>23</v>
      </c>
      <c r="G718">
        <v>197484.17</v>
      </c>
      <c r="H718">
        <v>115471.78</v>
      </c>
      <c r="I718">
        <v>82012.39</v>
      </c>
      <c r="J718">
        <v>22825.66</v>
      </c>
      <c r="K718">
        <v>252504.32000000001</v>
      </c>
      <c r="L718">
        <v>113181.09</v>
      </c>
      <c r="M718">
        <v>1975</v>
      </c>
      <c r="N718">
        <v>6.7000000000000002E-3</v>
      </c>
      <c r="O718">
        <f t="shared" si="22"/>
        <v>0.4153</v>
      </c>
      <c r="P718">
        <f t="shared" si="23"/>
        <v>2.2309999999999999</v>
      </c>
      <c r="Q718" t="s">
        <v>76</v>
      </c>
      <c r="R718">
        <v>2022</v>
      </c>
      <c r="S718" t="s">
        <v>82</v>
      </c>
    </row>
    <row r="719" spans="1:19" x14ac:dyDescent="0.3">
      <c r="A719" t="s">
        <v>793</v>
      </c>
      <c r="B719">
        <v>44662</v>
      </c>
      <c r="C719" t="s">
        <v>54</v>
      </c>
      <c r="D719" t="s">
        <v>55</v>
      </c>
      <c r="E719" t="s">
        <v>51</v>
      </c>
      <c r="F719" t="s">
        <v>23</v>
      </c>
      <c r="G719">
        <v>36103.69</v>
      </c>
      <c r="H719">
        <v>26583.9</v>
      </c>
      <c r="I719">
        <v>9519.7900000000009</v>
      </c>
      <c r="J719">
        <v>26445.61</v>
      </c>
      <c r="K719">
        <v>21753.97</v>
      </c>
      <c r="L719">
        <v>193751.04000000001</v>
      </c>
      <c r="M719">
        <v>1540</v>
      </c>
      <c r="N719">
        <v>7.6E-3</v>
      </c>
      <c r="O719">
        <f t="shared" si="22"/>
        <v>0.26369999999999999</v>
      </c>
      <c r="P719">
        <f t="shared" si="23"/>
        <v>0.1123</v>
      </c>
      <c r="Q719" t="s">
        <v>58</v>
      </c>
      <c r="R719">
        <v>2022</v>
      </c>
      <c r="S719" t="s">
        <v>25</v>
      </c>
    </row>
    <row r="720" spans="1:19" x14ac:dyDescent="0.3">
      <c r="A720" t="s">
        <v>794</v>
      </c>
      <c r="B720">
        <v>45748</v>
      </c>
      <c r="C720" t="s">
        <v>85</v>
      </c>
      <c r="D720" t="s">
        <v>86</v>
      </c>
      <c r="E720" t="s">
        <v>32</v>
      </c>
      <c r="F720" t="s">
        <v>23</v>
      </c>
      <c r="G720">
        <v>33139.883849999998</v>
      </c>
      <c r="H720">
        <v>21526.82</v>
      </c>
      <c r="I720">
        <v>11613.06</v>
      </c>
      <c r="J720">
        <v>49568.76</v>
      </c>
      <c r="K720">
        <v>21379.91</v>
      </c>
      <c r="L720">
        <v>229212.75</v>
      </c>
      <c r="M720">
        <v>1436</v>
      </c>
      <c r="N720">
        <v>8.3999999999999995E-3</v>
      </c>
      <c r="O720">
        <f t="shared" si="22"/>
        <v>0.35039999999999999</v>
      </c>
      <c r="P720">
        <f t="shared" si="23"/>
        <v>9.3299999999999994E-2</v>
      </c>
      <c r="Q720" t="s">
        <v>34</v>
      </c>
      <c r="R720">
        <v>2025</v>
      </c>
      <c r="S720" t="s">
        <v>25</v>
      </c>
    </row>
    <row r="721" spans="1:19" x14ac:dyDescent="0.3">
      <c r="A721" t="s">
        <v>795</v>
      </c>
      <c r="B721">
        <v>45208</v>
      </c>
      <c r="C721" t="s">
        <v>85</v>
      </c>
      <c r="D721" t="s">
        <v>86</v>
      </c>
      <c r="E721" t="s">
        <v>22</v>
      </c>
      <c r="F721" t="s">
        <v>23</v>
      </c>
      <c r="G721">
        <v>44740.39</v>
      </c>
      <c r="H721">
        <v>26490.43</v>
      </c>
      <c r="I721">
        <v>18249.96</v>
      </c>
      <c r="J721">
        <v>42290.14</v>
      </c>
      <c r="K721">
        <v>110593.83</v>
      </c>
      <c r="L721">
        <v>69242.240000000005</v>
      </c>
      <c r="M721">
        <v>611</v>
      </c>
      <c r="N721">
        <v>5.2200000000000003E-2</v>
      </c>
      <c r="O721">
        <f t="shared" si="22"/>
        <v>0.40789999999999998</v>
      </c>
      <c r="P721">
        <f t="shared" si="23"/>
        <v>1.5972</v>
      </c>
      <c r="Q721" t="s">
        <v>44</v>
      </c>
      <c r="R721">
        <v>2023</v>
      </c>
      <c r="S721" t="s">
        <v>82</v>
      </c>
    </row>
    <row r="722" spans="1:19" x14ac:dyDescent="0.3">
      <c r="A722" t="s">
        <v>796</v>
      </c>
      <c r="B722">
        <v>44642</v>
      </c>
      <c r="C722" t="s">
        <v>42</v>
      </c>
      <c r="D722" t="s">
        <v>43</v>
      </c>
      <c r="E722" t="s">
        <v>38</v>
      </c>
      <c r="F722" t="s">
        <v>23</v>
      </c>
      <c r="G722">
        <v>112231.64</v>
      </c>
      <c r="H722">
        <v>97584.49</v>
      </c>
      <c r="I722">
        <v>14647.15</v>
      </c>
      <c r="J722">
        <v>24042.240000000002</v>
      </c>
      <c r="K722">
        <v>16582.03</v>
      </c>
      <c r="L722">
        <v>111014.22</v>
      </c>
      <c r="M722">
        <v>1143</v>
      </c>
      <c r="N722">
        <v>5.8200000000000002E-2</v>
      </c>
      <c r="O722">
        <f t="shared" si="22"/>
        <v>0.1305</v>
      </c>
      <c r="P722">
        <f t="shared" si="23"/>
        <v>0.14940000000000001</v>
      </c>
      <c r="Q722" t="s">
        <v>90</v>
      </c>
      <c r="R722">
        <v>2022</v>
      </c>
      <c r="S722" t="s">
        <v>25</v>
      </c>
    </row>
    <row r="723" spans="1:19" x14ac:dyDescent="0.3">
      <c r="A723" t="s">
        <v>797</v>
      </c>
      <c r="B723">
        <v>45463</v>
      </c>
      <c r="C723" t="s">
        <v>36</v>
      </c>
      <c r="D723" t="s">
        <v>37</v>
      </c>
      <c r="E723" t="s">
        <v>38</v>
      </c>
      <c r="F723" t="s">
        <v>23</v>
      </c>
      <c r="G723">
        <v>38595.040000000001</v>
      </c>
      <c r="H723">
        <v>26245.02</v>
      </c>
      <c r="I723">
        <v>12350.02</v>
      </c>
      <c r="J723">
        <v>29802.19</v>
      </c>
      <c r="K723">
        <v>28775.62</v>
      </c>
      <c r="L723">
        <v>67964</v>
      </c>
      <c r="M723">
        <v>531</v>
      </c>
      <c r="N723">
        <v>5.45E-2</v>
      </c>
      <c r="O723">
        <f t="shared" si="22"/>
        <v>0.32</v>
      </c>
      <c r="P723">
        <f t="shared" si="23"/>
        <v>0.4234</v>
      </c>
      <c r="Q723" t="s">
        <v>111</v>
      </c>
      <c r="R723">
        <v>2024</v>
      </c>
      <c r="S723" t="s">
        <v>40</v>
      </c>
    </row>
    <row r="724" spans="1:19" x14ac:dyDescent="0.3">
      <c r="A724" t="s">
        <v>798</v>
      </c>
      <c r="B724">
        <v>45246</v>
      </c>
      <c r="C724" t="s">
        <v>48</v>
      </c>
      <c r="D724" t="s">
        <v>49</v>
      </c>
      <c r="E724" t="s">
        <v>32</v>
      </c>
      <c r="F724" t="s">
        <v>23</v>
      </c>
      <c r="G724">
        <v>210254.15159999998</v>
      </c>
      <c r="H724">
        <v>188137.03</v>
      </c>
      <c r="I724">
        <v>22117.119999999999</v>
      </c>
      <c r="J724">
        <v>64645.43</v>
      </c>
      <c r="K724">
        <v>34760.29</v>
      </c>
      <c r="L724">
        <v>107056.54</v>
      </c>
      <c r="M724">
        <v>2243</v>
      </c>
      <c r="N724">
        <v>3.6900000000000002E-2</v>
      </c>
      <c r="O724">
        <f t="shared" si="22"/>
        <v>0.1052</v>
      </c>
      <c r="P724">
        <f t="shared" si="23"/>
        <v>0.32469999999999999</v>
      </c>
      <c r="Q724" t="s">
        <v>44</v>
      </c>
      <c r="R724">
        <v>2023</v>
      </c>
      <c r="S724" t="s">
        <v>40</v>
      </c>
    </row>
    <row r="725" spans="1:19" x14ac:dyDescent="0.3">
      <c r="A725" t="s">
        <v>799</v>
      </c>
      <c r="B725">
        <v>45244</v>
      </c>
      <c r="C725" t="s">
        <v>36</v>
      </c>
      <c r="D725" t="s">
        <v>37</v>
      </c>
      <c r="E725" t="s">
        <v>51</v>
      </c>
      <c r="F725" t="s">
        <v>23</v>
      </c>
      <c r="G725">
        <v>44205.3</v>
      </c>
      <c r="H725">
        <v>31975.05</v>
      </c>
      <c r="I725">
        <v>12230.25</v>
      </c>
      <c r="J725">
        <v>25074</v>
      </c>
      <c r="K725">
        <v>19484.41</v>
      </c>
      <c r="L725">
        <v>88866.78</v>
      </c>
      <c r="M725">
        <v>1352</v>
      </c>
      <c r="N725">
        <v>-3.8E-3</v>
      </c>
      <c r="O725">
        <f t="shared" si="22"/>
        <v>0.2767</v>
      </c>
      <c r="P725">
        <f t="shared" si="23"/>
        <v>0.21929999999999999</v>
      </c>
      <c r="Q725" t="s">
        <v>44</v>
      </c>
      <c r="R725">
        <v>2023</v>
      </c>
      <c r="S725" t="s">
        <v>25</v>
      </c>
    </row>
    <row r="726" spans="1:19" x14ac:dyDescent="0.3">
      <c r="A726" t="s">
        <v>800</v>
      </c>
      <c r="B726">
        <v>44820</v>
      </c>
      <c r="C726" t="s">
        <v>54</v>
      </c>
      <c r="D726" t="s">
        <v>55</v>
      </c>
      <c r="E726" t="s">
        <v>38</v>
      </c>
      <c r="F726" t="s">
        <v>23</v>
      </c>
      <c r="G726">
        <v>74884.850000000006</v>
      </c>
      <c r="H726">
        <v>45446.66</v>
      </c>
      <c r="I726">
        <v>29438.19</v>
      </c>
      <c r="J726">
        <v>62175.67</v>
      </c>
      <c r="K726">
        <v>29459.3</v>
      </c>
      <c r="L726">
        <v>131004.52</v>
      </c>
      <c r="M726">
        <v>1358</v>
      </c>
      <c r="N726">
        <v>8.6400000000000005E-2</v>
      </c>
      <c r="O726">
        <f t="shared" si="22"/>
        <v>0.3931</v>
      </c>
      <c r="P726">
        <f t="shared" si="23"/>
        <v>0.22489999999999999</v>
      </c>
      <c r="Q726" t="s">
        <v>76</v>
      </c>
      <c r="R726">
        <v>2022</v>
      </c>
      <c r="S726" t="s">
        <v>25</v>
      </c>
    </row>
    <row r="727" spans="1:19" x14ac:dyDescent="0.3">
      <c r="A727" t="s">
        <v>801</v>
      </c>
      <c r="B727">
        <v>44652</v>
      </c>
      <c r="C727" t="s">
        <v>27</v>
      </c>
      <c r="D727" t="s">
        <v>28</v>
      </c>
      <c r="E727" t="s">
        <v>38</v>
      </c>
      <c r="F727" t="s">
        <v>23</v>
      </c>
      <c r="G727">
        <v>21862.9</v>
      </c>
      <c r="H727">
        <v>15930.18</v>
      </c>
      <c r="I727">
        <v>5932.72</v>
      </c>
      <c r="J727">
        <v>22908.240000000002</v>
      </c>
      <c r="K727">
        <v>56083.64</v>
      </c>
      <c r="L727">
        <v>64703.32</v>
      </c>
      <c r="M727">
        <v>1413</v>
      </c>
      <c r="N727">
        <v>-8.5800000000000001E-2</v>
      </c>
      <c r="O727">
        <f t="shared" si="22"/>
        <v>0.27139999999999997</v>
      </c>
      <c r="P727">
        <f t="shared" si="23"/>
        <v>0.86680000000000001</v>
      </c>
      <c r="Q727" t="s">
        <v>58</v>
      </c>
      <c r="R727">
        <v>2022</v>
      </c>
      <c r="S727" t="s">
        <v>82</v>
      </c>
    </row>
    <row r="728" spans="1:19" x14ac:dyDescent="0.3">
      <c r="A728" t="s">
        <v>802</v>
      </c>
      <c r="B728">
        <v>45222</v>
      </c>
      <c r="C728" t="s">
        <v>78</v>
      </c>
      <c r="D728" t="s">
        <v>79</v>
      </c>
      <c r="E728" t="s">
        <v>22</v>
      </c>
      <c r="F728" t="s">
        <v>23</v>
      </c>
      <c r="G728">
        <v>39977.07</v>
      </c>
      <c r="H728">
        <v>23715.1</v>
      </c>
      <c r="I728">
        <v>16261.97</v>
      </c>
      <c r="J728">
        <v>14856.4</v>
      </c>
      <c r="K728">
        <v>13407.33</v>
      </c>
      <c r="L728">
        <v>50815.199999999997</v>
      </c>
      <c r="M728">
        <v>1334</v>
      </c>
      <c r="N728">
        <v>2.8E-3</v>
      </c>
      <c r="O728">
        <f t="shared" si="22"/>
        <v>0.40679999999999999</v>
      </c>
      <c r="P728">
        <f t="shared" si="23"/>
        <v>0.26379999999999998</v>
      </c>
      <c r="Q728" t="s">
        <v>44</v>
      </c>
      <c r="R728">
        <v>2023</v>
      </c>
      <c r="S728" t="s">
        <v>25</v>
      </c>
    </row>
    <row r="729" spans="1:19" x14ac:dyDescent="0.3">
      <c r="A729" t="s">
        <v>803</v>
      </c>
      <c r="B729">
        <v>44782</v>
      </c>
      <c r="C729" t="s">
        <v>42</v>
      </c>
      <c r="D729" t="s">
        <v>43</v>
      </c>
      <c r="E729" t="s">
        <v>22</v>
      </c>
      <c r="F729" t="s">
        <v>23</v>
      </c>
      <c r="G729">
        <v>47969.52</v>
      </c>
      <c r="H729">
        <v>40956.33</v>
      </c>
      <c r="I729">
        <v>7013.19</v>
      </c>
      <c r="J729">
        <v>29763.42</v>
      </c>
      <c r="K729">
        <v>33457.910000000003</v>
      </c>
      <c r="L729">
        <v>66853.570000000007</v>
      </c>
      <c r="M729">
        <v>965</v>
      </c>
      <c r="N729">
        <v>-2.1000000000000001E-2</v>
      </c>
      <c r="O729">
        <f t="shared" si="22"/>
        <v>0.1462</v>
      </c>
      <c r="P729">
        <f t="shared" si="23"/>
        <v>0.50049999999999994</v>
      </c>
      <c r="Q729" t="s">
        <v>76</v>
      </c>
      <c r="R729">
        <v>2022</v>
      </c>
      <c r="S729" t="s">
        <v>40</v>
      </c>
    </row>
    <row r="730" spans="1:19" x14ac:dyDescent="0.3">
      <c r="A730" t="s">
        <v>804</v>
      </c>
      <c r="B730" s="4">
        <v>45236</v>
      </c>
      <c r="C730" t="s">
        <v>48</v>
      </c>
      <c r="D730" t="s">
        <v>49</v>
      </c>
      <c r="E730" t="s">
        <v>22</v>
      </c>
      <c r="F730" t="s">
        <v>23</v>
      </c>
      <c r="G730">
        <v>14697.89</v>
      </c>
      <c r="H730">
        <v>9717.9599999999991</v>
      </c>
      <c r="I730">
        <v>4979.93</v>
      </c>
      <c r="J730">
        <v>48451.839999999997</v>
      </c>
      <c r="K730">
        <v>16234.36</v>
      </c>
      <c r="L730">
        <v>160857.64000000001</v>
      </c>
      <c r="M730">
        <v>604</v>
      </c>
      <c r="N730">
        <v>0.06</v>
      </c>
      <c r="O730">
        <f t="shared" si="22"/>
        <v>0.33879999999999999</v>
      </c>
      <c r="P730">
        <f t="shared" si="23"/>
        <v>0.1009</v>
      </c>
      <c r="Q730" t="s">
        <v>44</v>
      </c>
      <c r="R730">
        <v>2023</v>
      </c>
      <c r="S730" t="s">
        <v>25</v>
      </c>
    </row>
    <row r="731" spans="1:19" x14ac:dyDescent="0.3">
      <c r="A731" t="s">
        <v>805</v>
      </c>
      <c r="B731">
        <v>44709</v>
      </c>
      <c r="C731" t="s">
        <v>20</v>
      </c>
      <c r="D731" t="s">
        <v>21</v>
      </c>
      <c r="E731" t="s">
        <v>22</v>
      </c>
      <c r="F731" t="s">
        <v>23</v>
      </c>
      <c r="G731">
        <v>34530.83</v>
      </c>
      <c r="H731">
        <v>28512.23</v>
      </c>
      <c r="I731">
        <v>6018.6</v>
      </c>
      <c r="J731">
        <v>159657.56</v>
      </c>
      <c r="K731">
        <v>43999.33</v>
      </c>
      <c r="L731">
        <v>248669.96</v>
      </c>
      <c r="M731">
        <v>961</v>
      </c>
      <c r="N731">
        <v>-3.5099999999999999E-2</v>
      </c>
      <c r="O731">
        <f t="shared" si="22"/>
        <v>0.17430000000000001</v>
      </c>
      <c r="P731">
        <f t="shared" si="23"/>
        <v>0.1769</v>
      </c>
      <c r="Q731" t="s">
        <v>58</v>
      </c>
      <c r="R731">
        <v>2022</v>
      </c>
      <c r="S731" t="s">
        <v>25</v>
      </c>
    </row>
    <row r="732" spans="1:19" x14ac:dyDescent="0.3">
      <c r="A732" t="s">
        <v>806</v>
      </c>
      <c r="B732">
        <v>45806</v>
      </c>
      <c r="C732" t="s">
        <v>30</v>
      </c>
      <c r="D732" t="s">
        <v>31</v>
      </c>
      <c r="E732" t="s">
        <v>38</v>
      </c>
      <c r="F732" t="s">
        <v>23</v>
      </c>
      <c r="G732">
        <v>45464.56</v>
      </c>
      <c r="H732">
        <v>38663.019999999997</v>
      </c>
      <c r="I732">
        <v>6801.54</v>
      </c>
      <c r="J732">
        <v>60742.400000000001</v>
      </c>
      <c r="K732">
        <v>15897.69</v>
      </c>
      <c r="L732">
        <v>122868.28</v>
      </c>
      <c r="M732">
        <v>1221</v>
      </c>
      <c r="N732">
        <v>5.0000000000000001E-3</v>
      </c>
      <c r="O732">
        <f t="shared" si="22"/>
        <v>0.14960000000000001</v>
      </c>
      <c r="P732">
        <f t="shared" si="23"/>
        <v>0.12939999999999999</v>
      </c>
      <c r="Q732" t="s">
        <v>34</v>
      </c>
      <c r="R732">
        <v>2025</v>
      </c>
      <c r="S732" t="s">
        <v>25</v>
      </c>
    </row>
    <row r="733" spans="1:19" x14ac:dyDescent="0.3">
      <c r="A733" t="s">
        <v>807</v>
      </c>
      <c r="B733">
        <v>45069</v>
      </c>
      <c r="C733" t="s">
        <v>61</v>
      </c>
      <c r="D733" t="s">
        <v>74</v>
      </c>
      <c r="E733" t="s">
        <v>22</v>
      </c>
      <c r="F733" t="s">
        <v>23</v>
      </c>
      <c r="G733">
        <v>120938.35</v>
      </c>
      <c r="H733">
        <v>78659.95</v>
      </c>
      <c r="I733">
        <v>42278.400000000001</v>
      </c>
      <c r="J733">
        <v>50639.43</v>
      </c>
      <c r="K733">
        <v>116453.12</v>
      </c>
      <c r="L733">
        <v>100408.73</v>
      </c>
      <c r="M733">
        <v>579</v>
      </c>
      <c r="N733">
        <v>-1.5E-3</v>
      </c>
      <c r="O733">
        <f t="shared" si="22"/>
        <v>0.34960000000000002</v>
      </c>
      <c r="P733">
        <f t="shared" si="23"/>
        <v>1.1597999999999999</v>
      </c>
      <c r="Q733" t="s">
        <v>39</v>
      </c>
      <c r="R733">
        <v>2023</v>
      </c>
      <c r="S733" t="s">
        <v>82</v>
      </c>
    </row>
    <row r="734" spans="1:19" x14ac:dyDescent="0.3">
      <c r="A734" t="s">
        <v>808</v>
      </c>
      <c r="B734">
        <v>45597</v>
      </c>
      <c r="C734" t="s">
        <v>78</v>
      </c>
      <c r="D734" t="s">
        <v>79</v>
      </c>
      <c r="E734" t="s">
        <v>51</v>
      </c>
      <c r="F734" t="s">
        <v>23</v>
      </c>
      <c r="G734">
        <v>158935</v>
      </c>
      <c r="H734">
        <v>108488.1</v>
      </c>
      <c r="I734">
        <v>50446.9</v>
      </c>
      <c r="J734">
        <v>52342.44</v>
      </c>
      <c r="K734">
        <v>39996.949999999997</v>
      </c>
      <c r="L734">
        <v>78583.179999999993</v>
      </c>
      <c r="M734">
        <v>1319</v>
      </c>
      <c r="N734">
        <v>-2.07E-2</v>
      </c>
      <c r="O734">
        <f t="shared" si="22"/>
        <v>0.31740000000000002</v>
      </c>
      <c r="P734">
        <f t="shared" si="23"/>
        <v>0.50900000000000001</v>
      </c>
      <c r="Q734" t="s">
        <v>52</v>
      </c>
      <c r="R734">
        <v>2024</v>
      </c>
      <c r="S734" t="s">
        <v>40</v>
      </c>
    </row>
    <row r="735" spans="1:19" x14ac:dyDescent="0.3">
      <c r="A735" t="s">
        <v>809</v>
      </c>
      <c r="B735">
        <v>44736</v>
      </c>
      <c r="C735" t="s">
        <v>42</v>
      </c>
      <c r="D735" t="s">
        <v>43</v>
      </c>
      <c r="E735" t="s">
        <v>38</v>
      </c>
      <c r="F735" t="s">
        <v>23</v>
      </c>
      <c r="G735">
        <v>72499.41</v>
      </c>
      <c r="H735">
        <v>48817.19</v>
      </c>
      <c r="I735">
        <v>23682.22</v>
      </c>
      <c r="J735">
        <v>25851.02</v>
      </c>
      <c r="K735">
        <v>149740.63</v>
      </c>
      <c r="L735">
        <v>44645.120000000003</v>
      </c>
      <c r="M735">
        <v>368</v>
      </c>
      <c r="N735">
        <v>-0.1024</v>
      </c>
      <c r="O735">
        <f t="shared" si="22"/>
        <v>0.32669999999999999</v>
      </c>
      <c r="P735">
        <f t="shared" si="23"/>
        <v>3.3540000000000001</v>
      </c>
      <c r="Q735" t="s">
        <v>58</v>
      </c>
      <c r="R735">
        <v>2022</v>
      </c>
      <c r="S735" t="s">
        <v>82</v>
      </c>
    </row>
    <row r="736" spans="1:19" x14ac:dyDescent="0.3">
      <c r="A736" t="s">
        <v>810</v>
      </c>
      <c r="B736">
        <v>44880</v>
      </c>
      <c r="C736" t="s">
        <v>61</v>
      </c>
      <c r="D736" t="s">
        <v>74</v>
      </c>
      <c r="E736" t="s">
        <v>38</v>
      </c>
      <c r="F736" t="s">
        <v>23</v>
      </c>
      <c r="G736">
        <v>52408.14</v>
      </c>
      <c r="H736">
        <v>40643.85</v>
      </c>
      <c r="I736">
        <v>11764.29</v>
      </c>
      <c r="J736">
        <v>53010.68</v>
      </c>
      <c r="K736">
        <v>6332.55</v>
      </c>
      <c r="L736">
        <v>198367.35</v>
      </c>
      <c r="M736">
        <v>368</v>
      </c>
      <c r="N736">
        <v>-1.1000000000000001E-3</v>
      </c>
      <c r="O736">
        <f t="shared" si="22"/>
        <v>0.22450000000000001</v>
      </c>
      <c r="P736">
        <f t="shared" si="23"/>
        <v>3.1899999999999998E-2</v>
      </c>
      <c r="Q736" t="s">
        <v>46</v>
      </c>
      <c r="R736">
        <v>2022</v>
      </c>
      <c r="S736" t="s">
        <v>25</v>
      </c>
    </row>
    <row r="737" spans="1:19" x14ac:dyDescent="0.3">
      <c r="A737" t="s">
        <v>811</v>
      </c>
      <c r="B737" s="4">
        <v>44853</v>
      </c>
      <c r="C737" t="s">
        <v>48</v>
      </c>
      <c r="D737" t="s">
        <v>49</v>
      </c>
      <c r="E737" t="s">
        <v>22</v>
      </c>
      <c r="F737" t="s">
        <v>23</v>
      </c>
      <c r="G737">
        <v>67355.259999999995</v>
      </c>
      <c r="H737">
        <v>50265.55</v>
      </c>
      <c r="I737">
        <v>17089.71</v>
      </c>
      <c r="J737">
        <v>64136.160000000003</v>
      </c>
      <c r="K737">
        <v>65532</v>
      </c>
      <c r="L737">
        <v>113125.68</v>
      </c>
      <c r="M737">
        <v>642</v>
      </c>
      <c r="N737">
        <v>-4.7899999999999998E-2</v>
      </c>
      <c r="O737">
        <f t="shared" si="22"/>
        <v>0.25369999999999998</v>
      </c>
      <c r="P737">
        <f t="shared" si="23"/>
        <v>0.57930000000000004</v>
      </c>
      <c r="Q737" t="s">
        <v>46</v>
      </c>
      <c r="R737">
        <v>2022</v>
      </c>
      <c r="S737" t="s">
        <v>40</v>
      </c>
    </row>
    <row r="738" spans="1:19" x14ac:dyDescent="0.3">
      <c r="A738" t="s">
        <v>812</v>
      </c>
      <c r="B738">
        <v>45847</v>
      </c>
      <c r="C738" t="s">
        <v>42</v>
      </c>
      <c r="D738" t="s">
        <v>43</v>
      </c>
      <c r="E738" t="s">
        <v>32</v>
      </c>
      <c r="F738" t="s">
        <v>23</v>
      </c>
      <c r="G738">
        <v>64577.049650000001</v>
      </c>
      <c r="H738">
        <v>57342.77</v>
      </c>
      <c r="I738">
        <v>7234.28</v>
      </c>
      <c r="J738">
        <v>21305.14</v>
      </c>
      <c r="K738">
        <v>102250.73</v>
      </c>
      <c r="L738">
        <v>66742.45</v>
      </c>
      <c r="M738">
        <v>781</v>
      </c>
      <c r="N738">
        <v>-2.5499999999999998E-2</v>
      </c>
      <c r="O738">
        <f t="shared" si="22"/>
        <v>0.112</v>
      </c>
      <c r="P738">
        <f t="shared" si="23"/>
        <v>1.532</v>
      </c>
      <c r="Q738" t="s">
        <v>24</v>
      </c>
      <c r="R738">
        <v>2025</v>
      </c>
      <c r="S738" t="s">
        <v>82</v>
      </c>
    </row>
    <row r="739" spans="1:19" x14ac:dyDescent="0.3">
      <c r="A739" t="s">
        <v>813</v>
      </c>
      <c r="B739">
        <v>45983</v>
      </c>
      <c r="C739" t="s">
        <v>61</v>
      </c>
      <c r="D739" t="s">
        <v>74</v>
      </c>
      <c r="E739" t="s">
        <v>51</v>
      </c>
      <c r="F739" t="s">
        <v>23</v>
      </c>
      <c r="G739">
        <v>100910.42</v>
      </c>
      <c r="H739">
        <v>89501.28</v>
      </c>
      <c r="I739">
        <v>11409.14</v>
      </c>
      <c r="J739">
        <v>30125.4</v>
      </c>
      <c r="K739">
        <v>25247.67</v>
      </c>
      <c r="L739">
        <v>117840.92</v>
      </c>
      <c r="M739">
        <v>1125</v>
      </c>
      <c r="N739">
        <v>-7.9799999999999996E-2</v>
      </c>
      <c r="O739">
        <f t="shared" si="22"/>
        <v>0.11310000000000001</v>
      </c>
      <c r="P739">
        <f t="shared" si="23"/>
        <v>0.21429999999999999</v>
      </c>
      <c r="Q739" t="s">
        <v>66</v>
      </c>
      <c r="R739">
        <v>2025</v>
      </c>
      <c r="S739" t="s">
        <v>25</v>
      </c>
    </row>
    <row r="740" spans="1:19" x14ac:dyDescent="0.3">
      <c r="A740" t="s">
        <v>814</v>
      </c>
      <c r="B740">
        <v>45089</v>
      </c>
      <c r="C740" t="s">
        <v>1282</v>
      </c>
      <c r="D740" t="s">
        <v>69</v>
      </c>
      <c r="E740" t="s">
        <v>32</v>
      </c>
      <c r="F740" t="s">
        <v>23</v>
      </c>
      <c r="G740">
        <v>21843.313850000002</v>
      </c>
      <c r="H740">
        <v>17996.97</v>
      </c>
      <c r="I740">
        <v>3846.34</v>
      </c>
      <c r="J740">
        <v>32451.32</v>
      </c>
      <c r="K740">
        <v>64494.82</v>
      </c>
      <c r="L740">
        <v>78548.289999999994</v>
      </c>
      <c r="M740">
        <v>1626</v>
      </c>
      <c r="N740">
        <v>4.2000000000000003E-2</v>
      </c>
      <c r="O740">
        <f t="shared" si="22"/>
        <v>0.17610000000000001</v>
      </c>
      <c r="P740">
        <f t="shared" si="23"/>
        <v>0.82110000000000005</v>
      </c>
      <c r="Q740" t="s">
        <v>39</v>
      </c>
      <c r="R740">
        <v>2023</v>
      </c>
      <c r="S740" t="s">
        <v>82</v>
      </c>
    </row>
    <row r="741" spans="1:19" x14ac:dyDescent="0.3">
      <c r="A741" t="s">
        <v>815</v>
      </c>
      <c r="B741">
        <v>45212</v>
      </c>
      <c r="C741" t="s">
        <v>20</v>
      </c>
      <c r="D741" t="s">
        <v>21</v>
      </c>
      <c r="E741" t="s">
        <v>22</v>
      </c>
      <c r="F741" t="s">
        <v>23</v>
      </c>
      <c r="G741">
        <v>44931.67</v>
      </c>
      <c r="H741">
        <v>29073.16</v>
      </c>
      <c r="I741">
        <v>15858.51</v>
      </c>
      <c r="J741">
        <v>26462.43</v>
      </c>
      <c r="K741">
        <v>230435.22</v>
      </c>
      <c r="L741">
        <v>136148.44</v>
      </c>
      <c r="M741">
        <v>555</v>
      </c>
      <c r="N741">
        <v>0.2079</v>
      </c>
      <c r="O741">
        <f t="shared" si="22"/>
        <v>0.35289999999999999</v>
      </c>
      <c r="P741">
        <f t="shared" si="23"/>
        <v>1.6924999999999999</v>
      </c>
      <c r="Q741" t="s">
        <v>44</v>
      </c>
      <c r="R741">
        <v>2023</v>
      </c>
      <c r="S741" t="s">
        <v>82</v>
      </c>
    </row>
    <row r="742" spans="1:19" x14ac:dyDescent="0.3">
      <c r="A742" t="s">
        <v>816</v>
      </c>
      <c r="B742">
        <v>44694</v>
      </c>
      <c r="C742" t="s">
        <v>42</v>
      </c>
      <c r="D742" t="s">
        <v>43</v>
      </c>
      <c r="E742" t="s">
        <v>22</v>
      </c>
      <c r="F742" t="s">
        <v>23</v>
      </c>
      <c r="G742">
        <v>134690.97</v>
      </c>
      <c r="H742">
        <v>108514.05</v>
      </c>
      <c r="I742">
        <v>26176.92</v>
      </c>
      <c r="J742">
        <v>11197.35</v>
      </c>
      <c r="K742">
        <v>58865.4</v>
      </c>
      <c r="L742">
        <v>60837.440000000002</v>
      </c>
      <c r="M742">
        <v>407</v>
      </c>
      <c r="N742">
        <v>-0.1046</v>
      </c>
      <c r="O742">
        <f t="shared" si="22"/>
        <v>0.1943</v>
      </c>
      <c r="P742">
        <f t="shared" si="23"/>
        <v>0.96760000000000002</v>
      </c>
      <c r="Q742" t="s">
        <v>58</v>
      </c>
      <c r="R742">
        <v>2022</v>
      </c>
      <c r="S742" t="s">
        <v>82</v>
      </c>
    </row>
    <row r="743" spans="1:19" x14ac:dyDescent="0.3">
      <c r="A743" t="s">
        <v>817</v>
      </c>
      <c r="B743">
        <v>45698</v>
      </c>
      <c r="C743" t="s">
        <v>61</v>
      </c>
      <c r="D743" t="s">
        <v>74</v>
      </c>
      <c r="E743" t="s">
        <v>32</v>
      </c>
      <c r="F743" t="s">
        <v>23</v>
      </c>
      <c r="G743">
        <v>55320.503250000002</v>
      </c>
      <c r="H743">
        <v>36678.050000000003</v>
      </c>
      <c r="I743">
        <v>18642.45</v>
      </c>
      <c r="J743">
        <v>47906.59</v>
      </c>
      <c r="K743">
        <v>19185.39</v>
      </c>
      <c r="L743">
        <v>221865.55</v>
      </c>
      <c r="M743">
        <v>1267</v>
      </c>
      <c r="N743">
        <v>-7.6200000000000004E-2</v>
      </c>
      <c r="O743">
        <f t="shared" si="22"/>
        <v>0.33700000000000002</v>
      </c>
      <c r="P743">
        <f t="shared" si="23"/>
        <v>8.6499999999999994E-2</v>
      </c>
      <c r="Q743" t="s">
        <v>106</v>
      </c>
      <c r="R743">
        <v>2025</v>
      </c>
      <c r="S743" t="s">
        <v>25</v>
      </c>
    </row>
    <row r="744" spans="1:19" x14ac:dyDescent="0.3">
      <c r="A744" t="s">
        <v>818</v>
      </c>
      <c r="B744">
        <v>45961</v>
      </c>
      <c r="C744" t="s">
        <v>42</v>
      </c>
      <c r="D744" t="s">
        <v>43</v>
      </c>
      <c r="E744" t="s">
        <v>38</v>
      </c>
      <c r="F744" t="s">
        <v>23</v>
      </c>
      <c r="G744">
        <v>72935.39</v>
      </c>
      <c r="H744">
        <v>63590.47</v>
      </c>
      <c r="I744">
        <v>9344.92</v>
      </c>
      <c r="J744">
        <v>122558.34</v>
      </c>
      <c r="K744">
        <v>36270.11</v>
      </c>
      <c r="L744">
        <v>155797.45000000001</v>
      </c>
      <c r="M744">
        <v>645</v>
      </c>
      <c r="N744">
        <v>0.20930000000000001</v>
      </c>
      <c r="O744">
        <f t="shared" si="22"/>
        <v>0.12809999999999999</v>
      </c>
      <c r="P744">
        <f t="shared" si="23"/>
        <v>0.23280000000000001</v>
      </c>
      <c r="Q744" t="s">
        <v>66</v>
      </c>
      <c r="R744">
        <v>2025</v>
      </c>
      <c r="S744" t="s">
        <v>25</v>
      </c>
    </row>
    <row r="745" spans="1:19" x14ac:dyDescent="0.3">
      <c r="A745" t="s">
        <v>819</v>
      </c>
      <c r="B745">
        <v>45882</v>
      </c>
      <c r="C745" t="s">
        <v>78</v>
      </c>
      <c r="D745" t="s">
        <v>79</v>
      </c>
      <c r="E745" t="s">
        <v>32</v>
      </c>
      <c r="F745" t="s">
        <v>23</v>
      </c>
      <c r="G745">
        <v>226807.56544999999</v>
      </c>
      <c r="H745">
        <v>141434.91</v>
      </c>
      <c r="I745">
        <v>85372.65</v>
      </c>
      <c r="J745">
        <v>87932.160000000003</v>
      </c>
      <c r="K745">
        <v>55512.27</v>
      </c>
      <c r="L745">
        <v>115810.15</v>
      </c>
      <c r="M745">
        <v>765</v>
      </c>
      <c r="N745">
        <v>-1.1900000000000001E-2</v>
      </c>
      <c r="O745">
        <f t="shared" si="22"/>
        <v>0.37640000000000001</v>
      </c>
      <c r="P745">
        <f t="shared" si="23"/>
        <v>0.4793</v>
      </c>
      <c r="Q745" t="s">
        <v>24</v>
      </c>
      <c r="R745">
        <v>2025</v>
      </c>
      <c r="S745" t="s">
        <v>40</v>
      </c>
    </row>
    <row r="746" spans="1:19" x14ac:dyDescent="0.3">
      <c r="A746" t="s">
        <v>820</v>
      </c>
      <c r="B746">
        <v>44810</v>
      </c>
      <c r="C746" t="s">
        <v>102</v>
      </c>
      <c r="D746" t="s">
        <v>103</v>
      </c>
      <c r="E746" t="s">
        <v>38</v>
      </c>
      <c r="F746" t="s">
        <v>23</v>
      </c>
      <c r="G746">
        <v>28635.03</v>
      </c>
      <c r="H746">
        <v>19296.650000000001</v>
      </c>
      <c r="I746">
        <v>9338.3799999999992</v>
      </c>
      <c r="J746">
        <v>35614.25</v>
      </c>
      <c r="K746">
        <v>37363.360000000001</v>
      </c>
      <c r="L746">
        <v>69289.2</v>
      </c>
      <c r="M746">
        <v>781</v>
      </c>
      <c r="N746">
        <v>-2.2700000000000001E-2</v>
      </c>
      <c r="O746">
        <f t="shared" si="22"/>
        <v>0.3261</v>
      </c>
      <c r="P746">
        <f t="shared" si="23"/>
        <v>0.53920000000000001</v>
      </c>
      <c r="Q746" t="s">
        <v>76</v>
      </c>
      <c r="R746">
        <v>2022</v>
      </c>
      <c r="S746" t="s">
        <v>40</v>
      </c>
    </row>
    <row r="747" spans="1:19" x14ac:dyDescent="0.3">
      <c r="A747" t="s">
        <v>821</v>
      </c>
      <c r="B747">
        <v>45289</v>
      </c>
      <c r="C747" t="s">
        <v>85</v>
      </c>
      <c r="D747" t="s">
        <v>86</v>
      </c>
      <c r="E747" t="s">
        <v>38</v>
      </c>
      <c r="F747" t="s">
        <v>23</v>
      </c>
      <c r="G747">
        <v>224491.31</v>
      </c>
      <c r="H747">
        <v>170567.28</v>
      </c>
      <c r="I747">
        <v>53924.03</v>
      </c>
      <c r="J747">
        <v>55637.42</v>
      </c>
      <c r="K747">
        <v>83062.009999999995</v>
      </c>
      <c r="L747">
        <v>97178.12</v>
      </c>
      <c r="M747">
        <v>1193</v>
      </c>
      <c r="N747">
        <v>3.0999999999999999E-3</v>
      </c>
      <c r="O747">
        <f t="shared" si="22"/>
        <v>0.2402</v>
      </c>
      <c r="P747">
        <f t="shared" si="23"/>
        <v>0.85470000000000002</v>
      </c>
      <c r="Q747" t="s">
        <v>44</v>
      </c>
      <c r="R747">
        <v>2023</v>
      </c>
      <c r="S747" t="s">
        <v>82</v>
      </c>
    </row>
    <row r="748" spans="1:19" x14ac:dyDescent="0.3">
      <c r="A748" t="s">
        <v>822</v>
      </c>
      <c r="B748">
        <v>44827</v>
      </c>
      <c r="C748" t="s">
        <v>78</v>
      </c>
      <c r="D748" t="s">
        <v>79</v>
      </c>
      <c r="E748" t="s">
        <v>38</v>
      </c>
      <c r="F748" t="s">
        <v>23</v>
      </c>
      <c r="G748">
        <v>43798.17</v>
      </c>
      <c r="H748">
        <v>25808.79</v>
      </c>
      <c r="I748">
        <v>17989.38</v>
      </c>
      <c r="J748">
        <v>85938.240000000005</v>
      </c>
      <c r="K748">
        <v>34456.42</v>
      </c>
      <c r="L748">
        <v>153622.94</v>
      </c>
      <c r="M748">
        <v>729</v>
      </c>
      <c r="N748">
        <v>4.1200000000000001E-2</v>
      </c>
      <c r="O748">
        <f t="shared" si="22"/>
        <v>0.41070000000000001</v>
      </c>
      <c r="P748">
        <f t="shared" si="23"/>
        <v>0.2243</v>
      </c>
      <c r="Q748" t="s">
        <v>76</v>
      </c>
      <c r="R748">
        <v>2022</v>
      </c>
      <c r="S748" t="s">
        <v>25</v>
      </c>
    </row>
    <row r="749" spans="1:19" x14ac:dyDescent="0.3">
      <c r="A749" t="s">
        <v>823</v>
      </c>
      <c r="B749">
        <v>45300</v>
      </c>
      <c r="C749" t="s">
        <v>30</v>
      </c>
      <c r="D749" t="s">
        <v>31</v>
      </c>
      <c r="E749" t="s">
        <v>38</v>
      </c>
      <c r="F749" t="s">
        <v>23</v>
      </c>
      <c r="G749">
        <v>93196.35</v>
      </c>
      <c r="H749">
        <v>77515.11</v>
      </c>
      <c r="I749">
        <v>15681.24</v>
      </c>
      <c r="J749">
        <v>34366.67</v>
      </c>
      <c r="K749">
        <v>33661.14</v>
      </c>
      <c r="L749">
        <v>48188.29</v>
      </c>
      <c r="M749">
        <v>647</v>
      </c>
      <c r="N749">
        <v>-1.46E-2</v>
      </c>
      <c r="O749">
        <f t="shared" si="22"/>
        <v>0.16830000000000001</v>
      </c>
      <c r="P749">
        <f t="shared" si="23"/>
        <v>0.69850000000000001</v>
      </c>
      <c r="Q749" t="s">
        <v>80</v>
      </c>
      <c r="R749">
        <v>2024</v>
      </c>
      <c r="S749" t="s">
        <v>82</v>
      </c>
    </row>
    <row r="750" spans="1:19" x14ac:dyDescent="0.3">
      <c r="A750" t="s">
        <v>824</v>
      </c>
      <c r="B750">
        <v>45654</v>
      </c>
      <c r="C750" t="s">
        <v>27</v>
      </c>
      <c r="D750" t="s">
        <v>28</v>
      </c>
      <c r="E750" t="s">
        <v>22</v>
      </c>
      <c r="F750" t="s">
        <v>23</v>
      </c>
      <c r="G750">
        <v>164488.79999999999</v>
      </c>
      <c r="H750">
        <v>118054.73</v>
      </c>
      <c r="I750">
        <v>46434.07</v>
      </c>
      <c r="J750">
        <v>60333.67</v>
      </c>
      <c r="K750">
        <v>11504.7</v>
      </c>
      <c r="L750">
        <v>231077.14</v>
      </c>
      <c r="M750">
        <v>791</v>
      </c>
      <c r="N750">
        <v>1.7600000000000001E-2</v>
      </c>
      <c r="O750">
        <f t="shared" si="22"/>
        <v>0.2823</v>
      </c>
      <c r="P750">
        <f t="shared" si="23"/>
        <v>4.9799999999999997E-2</v>
      </c>
      <c r="Q750" t="s">
        <v>52</v>
      </c>
      <c r="R750">
        <v>2024</v>
      </c>
      <c r="S750" t="s">
        <v>25</v>
      </c>
    </row>
    <row r="751" spans="1:19" x14ac:dyDescent="0.3">
      <c r="A751" t="s">
        <v>825</v>
      </c>
      <c r="B751">
        <v>45997</v>
      </c>
      <c r="C751" t="s">
        <v>30</v>
      </c>
      <c r="D751" t="s">
        <v>31</v>
      </c>
      <c r="E751" t="s">
        <v>22</v>
      </c>
      <c r="F751" t="s">
        <v>23</v>
      </c>
      <c r="G751">
        <v>32059.54</v>
      </c>
      <c r="H751">
        <v>27832.37</v>
      </c>
      <c r="I751">
        <v>4227.17</v>
      </c>
      <c r="J751">
        <v>114762.25</v>
      </c>
      <c r="K751">
        <v>74225.759999999995</v>
      </c>
      <c r="L751">
        <v>201319.35</v>
      </c>
      <c r="M751">
        <v>517</v>
      </c>
      <c r="N751">
        <v>0.1168</v>
      </c>
      <c r="O751">
        <f t="shared" si="22"/>
        <v>0.13189999999999999</v>
      </c>
      <c r="P751">
        <f t="shared" si="23"/>
        <v>0.36870000000000003</v>
      </c>
      <c r="Q751" t="s">
        <v>66</v>
      </c>
      <c r="R751">
        <v>2025</v>
      </c>
      <c r="S751" t="s">
        <v>40</v>
      </c>
    </row>
    <row r="752" spans="1:19" x14ac:dyDescent="0.3">
      <c r="A752" t="s">
        <v>826</v>
      </c>
      <c r="B752">
        <v>45767</v>
      </c>
      <c r="C752" t="s">
        <v>78</v>
      </c>
      <c r="D752" t="s">
        <v>79</v>
      </c>
      <c r="E752" t="s">
        <v>22</v>
      </c>
      <c r="F752" t="s">
        <v>23</v>
      </c>
      <c r="G752">
        <v>72065.88</v>
      </c>
      <c r="H752">
        <v>43202.879999999997</v>
      </c>
      <c r="I752">
        <v>28863</v>
      </c>
      <c r="J752">
        <v>84944.73</v>
      </c>
      <c r="K752">
        <v>34596.93</v>
      </c>
      <c r="L752">
        <v>195079.24</v>
      </c>
      <c r="M752">
        <v>1032</v>
      </c>
      <c r="N752">
        <v>-6.7000000000000004E-2</v>
      </c>
      <c r="O752">
        <f t="shared" si="22"/>
        <v>0.40050000000000002</v>
      </c>
      <c r="P752">
        <f t="shared" si="23"/>
        <v>0.17730000000000001</v>
      </c>
      <c r="Q752" t="s">
        <v>34</v>
      </c>
      <c r="R752">
        <v>2025</v>
      </c>
      <c r="S752" t="s">
        <v>25</v>
      </c>
    </row>
    <row r="753" spans="1:19" x14ac:dyDescent="0.3">
      <c r="A753" t="s">
        <v>827</v>
      </c>
      <c r="B753">
        <v>45850</v>
      </c>
      <c r="C753" t="s">
        <v>1282</v>
      </c>
      <c r="D753" t="s">
        <v>69</v>
      </c>
      <c r="E753" t="s">
        <v>38</v>
      </c>
      <c r="F753" t="s">
        <v>23</v>
      </c>
      <c r="G753">
        <v>103816.94</v>
      </c>
      <c r="H753">
        <v>61999.5</v>
      </c>
      <c r="I753">
        <v>41817.440000000002</v>
      </c>
      <c r="J753">
        <v>48752.81</v>
      </c>
      <c r="K753">
        <v>33778.959999999999</v>
      </c>
      <c r="L753">
        <v>147418.47</v>
      </c>
      <c r="M753">
        <v>849</v>
      </c>
      <c r="N753">
        <v>7.9799999999999996E-2</v>
      </c>
      <c r="O753">
        <f t="shared" si="22"/>
        <v>0.40279999999999999</v>
      </c>
      <c r="P753">
        <f t="shared" si="23"/>
        <v>0.2291</v>
      </c>
      <c r="Q753" t="s">
        <v>24</v>
      </c>
      <c r="R753">
        <v>2025</v>
      </c>
      <c r="S753" t="s">
        <v>25</v>
      </c>
    </row>
    <row r="754" spans="1:19" x14ac:dyDescent="0.3">
      <c r="A754" t="s">
        <v>828</v>
      </c>
      <c r="B754">
        <v>44653</v>
      </c>
      <c r="C754" t="s">
        <v>42</v>
      </c>
      <c r="D754" t="s">
        <v>43</v>
      </c>
      <c r="E754" t="s">
        <v>22</v>
      </c>
      <c r="F754" t="s">
        <v>23</v>
      </c>
      <c r="G754">
        <v>75371.600000000006</v>
      </c>
      <c r="H754">
        <v>64779.040000000001</v>
      </c>
      <c r="I754">
        <v>10592.56</v>
      </c>
      <c r="J754">
        <v>17441.88</v>
      </c>
      <c r="K754">
        <v>12323.22</v>
      </c>
      <c r="L754">
        <v>115824.91</v>
      </c>
      <c r="M754">
        <v>890</v>
      </c>
      <c r="N754">
        <v>-2.0199999999999999E-2</v>
      </c>
      <c r="O754">
        <f t="shared" si="22"/>
        <v>0.14050000000000001</v>
      </c>
      <c r="P754">
        <f t="shared" si="23"/>
        <v>0.10639999999999999</v>
      </c>
      <c r="Q754" t="s">
        <v>58</v>
      </c>
      <c r="R754">
        <v>2022</v>
      </c>
      <c r="S754" t="s">
        <v>25</v>
      </c>
    </row>
    <row r="755" spans="1:19" x14ac:dyDescent="0.3">
      <c r="A755" t="s">
        <v>829</v>
      </c>
      <c r="B755">
        <v>45533</v>
      </c>
      <c r="C755" t="s">
        <v>85</v>
      </c>
      <c r="D755" t="s">
        <v>86</v>
      </c>
      <c r="E755" t="s">
        <v>38</v>
      </c>
      <c r="F755" t="s">
        <v>23</v>
      </c>
      <c r="G755">
        <v>188526.38</v>
      </c>
      <c r="H755">
        <v>172966.73</v>
      </c>
      <c r="I755">
        <v>15559.65</v>
      </c>
      <c r="J755">
        <v>45830.37</v>
      </c>
      <c r="K755">
        <v>48800.03</v>
      </c>
      <c r="L755">
        <v>143671.23000000001</v>
      </c>
      <c r="M755">
        <v>917</v>
      </c>
      <c r="N755">
        <v>1.09E-2</v>
      </c>
      <c r="O755">
        <f t="shared" si="22"/>
        <v>8.2500000000000004E-2</v>
      </c>
      <c r="P755">
        <f t="shared" si="23"/>
        <v>0.3397</v>
      </c>
      <c r="Q755" t="s">
        <v>72</v>
      </c>
      <c r="R755">
        <v>2024</v>
      </c>
      <c r="S755" t="s">
        <v>40</v>
      </c>
    </row>
    <row r="756" spans="1:19" x14ac:dyDescent="0.3">
      <c r="A756" t="s">
        <v>830</v>
      </c>
      <c r="B756">
        <v>44707</v>
      </c>
      <c r="C756" t="s">
        <v>61</v>
      </c>
      <c r="D756" t="s">
        <v>74</v>
      </c>
      <c r="E756" t="s">
        <v>38</v>
      </c>
      <c r="F756" t="s">
        <v>23</v>
      </c>
      <c r="G756">
        <v>46329.49</v>
      </c>
      <c r="H756">
        <v>28427.46</v>
      </c>
      <c r="I756">
        <v>17902.03</v>
      </c>
      <c r="J756">
        <v>28613.85</v>
      </c>
      <c r="K756">
        <v>17595.3</v>
      </c>
      <c r="L756">
        <v>55787.97</v>
      </c>
      <c r="M756">
        <v>2012</v>
      </c>
      <c r="N756">
        <v>3.7699999999999997E-2</v>
      </c>
      <c r="O756">
        <f t="shared" si="22"/>
        <v>0.38640000000000002</v>
      </c>
      <c r="P756">
        <f t="shared" si="23"/>
        <v>0.31540000000000001</v>
      </c>
      <c r="Q756" t="s">
        <v>58</v>
      </c>
      <c r="R756">
        <v>2022</v>
      </c>
      <c r="S756" t="s">
        <v>40</v>
      </c>
    </row>
    <row r="757" spans="1:19" x14ac:dyDescent="0.3">
      <c r="A757" t="s">
        <v>831</v>
      </c>
      <c r="B757">
        <v>45921</v>
      </c>
      <c r="C757" t="s">
        <v>27</v>
      </c>
      <c r="D757" t="s">
        <v>28</v>
      </c>
      <c r="E757" t="s">
        <v>22</v>
      </c>
      <c r="F757" t="s">
        <v>23</v>
      </c>
      <c r="G757">
        <v>101898.17</v>
      </c>
      <c r="H757">
        <v>90112.48</v>
      </c>
      <c r="I757">
        <v>11785.69</v>
      </c>
      <c r="J757">
        <v>114092.29</v>
      </c>
      <c r="K757">
        <v>11812.07</v>
      </c>
      <c r="L757">
        <v>165757.10999999999</v>
      </c>
      <c r="M757">
        <v>366</v>
      </c>
      <c r="N757">
        <v>0.1075</v>
      </c>
      <c r="O757">
        <f t="shared" si="22"/>
        <v>0.1157</v>
      </c>
      <c r="P757">
        <f t="shared" si="23"/>
        <v>7.1300000000000002E-2</v>
      </c>
      <c r="Q757" t="s">
        <v>24</v>
      </c>
      <c r="R757">
        <v>2025</v>
      </c>
      <c r="S757" t="s">
        <v>25</v>
      </c>
    </row>
    <row r="758" spans="1:19" x14ac:dyDescent="0.3">
      <c r="A758" t="s">
        <v>832</v>
      </c>
      <c r="B758">
        <v>45020</v>
      </c>
      <c r="C758" t="s">
        <v>42</v>
      </c>
      <c r="D758" t="s">
        <v>43</v>
      </c>
      <c r="E758" t="s">
        <v>51</v>
      </c>
      <c r="F758" t="s">
        <v>23</v>
      </c>
      <c r="G758">
        <v>145524.89000000001</v>
      </c>
      <c r="H758">
        <v>111041.39</v>
      </c>
      <c r="I758">
        <v>34483.5</v>
      </c>
      <c r="J758">
        <v>10612.22</v>
      </c>
      <c r="K758">
        <v>44111.26</v>
      </c>
      <c r="L758">
        <v>90481.5</v>
      </c>
      <c r="M758">
        <v>842</v>
      </c>
      <c r="N758">
        <v>-5.7200000000000001E-2</v>
      </c>
      <c r="O758">
        <f t="shared" si="22"/>
        <v>0.23699999999999999</v>
      </c>
      <c r="P758">
        <f t="shared" si="23"/>
        <v>0.48749999999999999</v>
      </c>
      <c r="Q758" t="s">
        <v>39</v>
      </c>
      <c r="R758">
        <v>2023</v>
      </c>
      <c r="S758" t="s">
        <v>40</v>
      </c>
    </row>
    <row r="759" spans="1:19" x14ac:dyDescent="0.3">
      <c r="A759" t="s">
        <v>833</v>
      </c>
      <c r="B759">
        <v>44817</v>
      </c>
      <c r="C759" t="s">
        <v>54</v>
      </c>
      <c r="D759" t="s">
        <v>55</v>
      </c>
      <c r="E759" t="s">
        <v>22</v>
      </c>
      <c r="F759" t="s">
        <v>23</v>
      </c>
      <c r="G759">
        <v>110592.44</v>
      </c>
      <c r="H759">
        <v>75066.83</v>
      </c>
      <c r="I759">
        <v>35525.61</v>
      </c>
      <c r="J759">
        <v>46668.23</v>
      </c>
      <c r="K759">
        <v>25365.18</v>
      </c>
      <c r="L759">
        <v>171281.54</v>
      </c>
      <c r="M759">
        <v>746</v>
      </c>
      <c r="N759">
        <v>8.6300000000000002E-2</v>
      </c>
      <c r="O759">
        <f t="shared" si="22"/>
        <v>0.32119999999999999</v>
      </c>
      <c r="P759">
        <f t="shared" si="23"/>
        <v>0.14810000000000001</v>
      </c>
      <c r="Q759" t="s">
        <v>76</v>
      </c>
      <c r="R759">
        <v>2022</v>
      </c>
      <c r="S759" t="s">
        <v>25</v>
      </c>
    </row>
    <row r="760" spans="1:19" x14ac:dyDescent="0.3">
      <c r="A760" t="s">
        <v>834</v>
      </c>
      <c r="B760">
        <v>45461</v>
      </c>
      <c r="C760" t="s">
        <v>85</v>
      </c>
      <c r="D760" t="s">
        <v>86</v>
      </c>
      <c r="E760" t="s">
        <v>22</v>
      </c>
      <c r="F760" t="s">
        <v>23</v>
      </c>
      <c r="G760">
        <v>59835.82</v>
      </c>
      <c r="H760">
        <v>50396.71</v>
      </c>
      <c r="I760">
        <v>9439.11</v>
      </c>
      <c r="J760">
        <v>96905.29</v>
      </c>
      <c r="K760">
        <v>13306.27</v>
      </c>
      <c r="L760">
        <v>170173.76</v>
      </c>
      <c r="M760">
        <v>814</v>
      </c>
      <c r="N760">
        <v>-7.8299999999999995E-2</v>
      </c>
      <c r="O760">
        <f t="shared" si="22"/>
        <v>0.1578</v>
      </c>
      <c r="P760">
        <f t="shared" si="23"/>
        <v>7.8200000000000006E-2</v>
      </c>
      <c r="Q760" t="s">
        <v>111</v>
      </c>
      <c r="R760">
        <v>2024</v>
      </c>
      <c r="S760" t="s">
        <v>25</v>
      </c>
    </row>
    <row r="761" spans="1:19" x14ac:dyDescent="0.3">
      <c r="A761" t="s">
        <v>835</v>
      </c>
      <c r="B761">
        <v>44808</v>
      </c>
      <c r="C761" t="s">
        <v>78</v>
      </c>
      <c r="D761" t="s">
        <v>79</v>
      </c>
      <c r="E761" t="s">
        <v>22</v>
      </c>
      <c r="F761" t="s">
        <v>23</v>
      </c>
      <c r="G761">
        <v>21985.17</v>
      </c>
      <c r="H761">
        <v>14347.92</v>
      </c>
      <c r="I761">
        <v>7637.25</v>
      </c>
      <c r="J761">
        <v>27019.42</v>
      </c>
      <c r="K761">
        <v>9937.67</v>
      </c>
      <c r="L761">
        <v>86931.7</v>
      </c>
      <c r="M761">
        <v>504</v>
      </c>
      <c r="N761">
        <v>-7.6899999999999996E-2</v>
      </c>
      <c r="O761">
        <f t="shared" si="22"/>
        <v>0.34739999999999999</v>
      </c>
      <c r="P761">
        <f t="shared" si="23"/>
        <v>0.1143</v>
      </c>
      <c r="Q761" t="s">
        <v>76</v>
      </c>
      <c r="R761">
        <v>2022</v>
      </c>
      <c r="S761" t="s">
        <v>25</v>
      </c>
    </row>
    <row r="762" spans="1:19" x14ac:dyDescent="0.3">
      <c r="A762" t="s">
        <v>836</v>
      </c>
      <c r="B762">
        <v>45213</v>
      </c>
      <c r="C762" t="s">
        <v>102</v>
      </c>
      <c r="D762" t="s">
        <v>103</v>
      </c>
      <c r="E762" t="s">
        <v>22</v>
      </c>
      <c r="F762" t="s">
        <v>23</v>
      </c>
      <c r="G762">
        <v>85191.32</v>
      </c>
      <c r="H762">
        <v>68000.210000000006</v>
      </c>
      <c r="I762">
        <v>17191.11</v>
      </c>
      <c r="J762">
        <v>78341.919999999998</v>
      </c>
      <c r="K762">
        <v>11578.93</v>
      </c>
      <c r="L762">
        <v>207632.1</v>
      </c>
      <c r="M762">
        <v>1174</v>
      </c>
      <c r="N762">
        <v>7.1000000000000004E-3</v>
      </c>
      <c r="O762">
        <f t="shared" si="22"/>
        <v>0.20180000000000001</v>
      </c>
      <c r="P762">
        <f t="shared" si="23"/>
        <v>5.5800000000000002E-2</v>
      </c>
      <c r="Q762" t="s">
        <v>44</v>
      </c>
      <c r="R762">
        <v>2023</v>
      </c>
      <c r="S762" t="s">
        <v>25</v>
      </c>
    </row>
    <row r="763" spans="1:19" x14ac:dyDescent="0.3">
      <c r="A763" t="s">
        <v>837</v>
      </c>
      <c r="B763">
        <v>45301</v>
      </c>
      <c r="C763" t="s">
        <v>85</v>
      </c>
      <c r="D763" t="s">
        <v>86</v>
      </c>
      <c r="E763" t="s">
        <v>51</v>
      </c>
      <c r="F763" t="s">
        <v>23</v>
      </c>
      <c r="G763">
        <v>21782.14</v>
      </c>
      <c r="H763">
        <v>14200.2</v>
      </c>
      <c r="I763">
        <v>7581.94</v>
      </c>
      <c r="J763">
        <v>66997.52</v>
      </c>
      <c r="K763">
        <v>17986.23</v>
      </c>
      <c r="L763">
        <v>210178.61</v>
      </c>
      <c r="M763">
        <v>1322</v>
      </c>
      <c r="N763">
        <v>-2.3800000000000002E-2</v>
      </c>
      <c r="O763">
        <f t="shared" si="22"/>
        <v>0.34810000000000002</v>
      </c>
      <c r="P763">
        <f t="shared" si="23"/>
        <v>8.5599999999999996E-2</v>
      </c>
      <c r="Q763" t="s">
        <v>80</v>
      </c>
      <c r="R763">
        <v>2024</v>
      </c>
      <c r="S763" t="s">
        <v>25</v>
      </c>
    </row>
    <row r="764" spans="1:19" x14ac:dyDescent="0.3">
      <c r="A764" t="s">
        <v>838</v>
      </c>
      <c r="B764">
        <v>45230</v>
      </c>
      <c r="C764" t="s">
        <v>61</v>
      </c>
      <c r="D764" t="s">
        <v>74</v>
      </c>
      <c r="E764" t="s">
        <v>32</v>
      </c>
      <c r="F764" t="s">
        <v>23</v>
      </c>
      <c r="G764">
        <v>87122.740850000002</v>
      </c>
      <c r="H764">
        <v>60165.67</v>
      </c>
      <c r="I764">
        <v>26957.07</v>
      </c>
      <c r="J764">
        <v>12084.5</v>
      </c>
      <c r="K764">
        <v>41262.94</v>
      </c>
      <c r="L764">
        <v>78656.08</v>
      </c>
      <c r="M764">
        <v>668</v>
      </c>
      <c r="N764">
        <v>-0.14369999999999999</v>
      </c>
      <c r="O764">
        <f t="shared" si="22"/>
        <v>0.30940000000000001</v>
      </c>
      <c r="P764">
        <f t="shared" si="23"/>
        <v>0.52459999999999996</v>
      </c>
      <c r="Q764" t="s">
        <v>44</v>
      </c>
      <c r="R764">
        <v>2023</v>
      </c>
      <c r="S764" t="s">
        <v>40</v>
      </c>
    </row>
    <row r="765" spans="1:19" x14ac:dyDescent="0.3">
      <c r="A765" t="s">
        <v>839</v>
      </c>
      <c r="B765">
        <v>45837</v>
      </c>
      <c r="C765" t="s">
        <v>36</v>
      </c>
      <c r="D765" t="s">
        <v>37</v>
      </c>
      <c r="E765" t="s">
        <v>51</v>
      </c>
      <c r="F765" t="s">
        <v>23</v>
      </c>
      <c r="G765">
        <v>40242.44</v>
      </c>
      <c r="H765">
        <v>33239.46</v>
      </c>
      <c r="I765">
        <v>7002.98</v>
      </c>
      <c r="J765">
        <v>23152.31</v>
      </c>
      <c r="K765">
        <v>17928.23</v>
      </c>
      <c r="L765">
        <v>33804.47</v>
      </c>
      <c r="M765">
        <v>1258</v>
      </c>
      <c r="N765">
        <v>2.8000000000000001E-2</v>
      </c>
      <c r="O765">
        <f t="shared" si="22"/>
        <v>0.17399999999999999</v>
      </c>
      <c r="P765">
        <f t="shared" si="23"/>
        <v>0.53039999999999998</v>
      </c>
      <c r="Q765" t="s">
        <v>34</v>
      </c>
      <c r="R765">
        <v>2025</v>
      </c>
      <c r="S765" t="s">
        <v>40</v>
      </c>
    </row>
    <row r="766" spans="1:19" x14ac:dyDescent="0.3">
      <c r="A766" t="s">
        <v>840</v>
      </c>
      <c r="B766">
        <v>45045</v>
      </c>
      <c r="C766" t="s">
        <v>85</v>
      </c>
      <c r="D766" t="s">
        <v>86</v>
      </c>
      <c r="E766" t="s">
        <v>38</v>
      </c>
      <c r="F766" t="s">
        <v>23</v>
      </c>
      <c r="G766">
        <v>132497.38</v>
      </c>
      <c r="H766">
        <v>72950.990000000005</v>
      </c>
      <c r="I766">
        <v>59546.39</v>
      </c>
      <c r="J766">
        <v>15538.12</v>
      </c>
      <c r="K766">
        <v>26457.759999999998</v>
      </c>
      <c r="L766">
        <v>31728.87</v>
      </c>
      <c r="M766">
        <v>500</v>
      </c>
      <c r="N766">
        <v>-1.5299999999999999E-2</v>
      </c>
      <c r="O766">
        <f t="shared" si="22"/>
        <v>0.44940000000000002</v>
      </c>
      <c r="P766">
        <f t="shared" si="23"/>
        <v>0.83389999999999997</v>
      </c>
      <c r="Q766" t="s">
        <v>39</v>
      </c>
      <c r="R766">
        <v>2023</v>
      </c>
      <c r="S766" t="s">
        <v>82</v>
      </c>
    </row>
    <row r="767" spans="1:19" x14ac:dyDescent="0.3">
      <c r="A767" t="s">
        <v>841</v>
      </c>
      <c r="B767">
        <v>44768</v>
      </c>
      <c r="C767" t="s">
        <v>42</v>
      </c>
      <c r="D767" t="s">
        <v>43</v>
      </c>
      <c r="E767" t="s">
        <v>38</v>
      </c>
      <c r="F767" t="s">
        <v>23</v>
      </c>
      <c r="G767">
        <v>41991.73</v>
      </c>
      <c r="H767">
        <v>33256.97</v>
      </c>
      <c r="I767">
        <v>8734.76</v>
      </c>
      <c r="J767">
        <v>20565.990000000002</v>
      </c>
      <c r="K767">
        <v>9959.25</v>
      </c>
      <c r="L767">
        <v>67492.47</v>
      </c>
      <c r="M767">
        <v>1188</v>
      </c>
      <c r="N767">
        <v>0.14580000000000001</v>
      </c>
      <c r="O767">
        <f t="shared" si="22"/>
        <v>0.20799999999999999</v>
      </c>
      <c r="P767">
        <f t="shared" si="23"/>
        <v>0.14760000000000001</v>
      </c>
      <c r="Q767" t="s">
        <v>76</v>
      </c>
      <c r="R767">
        <v>2022</v>
      </c>
      <c r="S767" t="s">
        <v>25</v>
      </c>
    </row>
    <row r="768" spans="1:19" x14ac:dyDescent="0.3">
      <c r="A768" t="s">
        <v>842</v>
      </c>
      <c r="B768">
        <v>45010</v>
      </c>
      <c r="C768" t="s">
        <v>102</v>
      </c>
      <c r="D768" t="s">
        <v>103</v>
      </c>
      <c r="E768" t="s">
        <v>38</v>
      </c>
      <c r="F768" t="s">
        <v>23</v>
      </c>
      <c r="G768">
        <v>112230.27</v>
      </c>
      <c r="H768">
        <v>66502.5</v>
      </c>
      <c r="I768">
        <v>45727.77</v>
      </c>
      <c r="J768">
        <v>70219.37</v>
      </c>
      <c r="K768">
        <v>17394.86</v>
      </c>
      <c r="L768">
        <v>304100.13</v>
      </c>
      <c r="M768">
        <v>507</v>
      </c>
      <c r="N768">
        <v>0.12520000000000001</v>
      </c>
      <c r="O768">
        <f t="shared" si="22"/>
        <v>0.40739999999999998</v>
      </c>
      <c r="P768">
        <f t="shared" si="23"/>
        <v>5.7200000000000001E-2</v>
      </c>
      <c r="Q768" t="s">
        <v>118</v>
      </c>
      <c r="R768">
        <v>2023</v>
      </c>
      <c r="S768" t="s">
        <v>25</v>
      </c>
    </row>
    <row r="769" spans="1:19" x14ac:dyDescent="0.3">
      <c r="A769" t="s">
        <v>843</v>
      </c>
      <c r="B769">
        <v>44776</v>
      </c>
      <c r="C769" t="s">
        <v>48</v>
      </c>
      <c r="D769" t="s">
        <v>49</v>
      </c>
      <c r="E769" t="s">
        <v>38</v>
      </c>
      <c r="F769" t="s">
        <v>23</v>
      </c>
      <c r="G769">
        <v>148658.29</v>
      </c>
      <c r="H769">
        <v>111061.68</v>
      </c>
      <c r="I769">
        <v>37596.61</v>
      </c>
      <c r="J769">
        <v>56823.8</v>
      </c>
      <c r="K769">
        <v>38294.11</v>
      </c>
      <c r="L769">
        <v>123080.32000000001</v>
      </c>
      <c r="M769">
        <v>783</v>
      </c>
      <c r="N769">
        <v>-3.73E-2</v>
      </c>
      <c r="O769">
        <f t="shared" si="22"/>
        <v>0.25290000000000001</v>
      </c>
      <c r="P769">
        <f t="shared" si="23"/>
        <v>0.31109999999999999</v>
      </c>
      <c r="Q769" t="s">
        <v>76</v>
      </c>
      <c r="R769">
        <v>2022</v>
      </c>
      <c r="S769" t="s">
        <v>40</v>
      </c>
    </row>
    <row r="770" spans="1:19" x14ac:dyDescent="0.3">
      <c r="A770" t="s">
        <v>844</v>
      </c>
      <c r="B770">
        <v>45554</v>
      </c>
      <c r="C770" t="s">
        <v>30</v>
      </c>
      <c r="D770" t="s">
        <v>31</v>
      </c>
      <c r="E770" t="s">
        <v>38</v>
      </c>
      <c r="F770" t="s">
        <v>23</v>
      </c>
      <c r="G770">
        <v>134874.89000000001</v>
      </c>
      <c r="H770">
        <v>100259.51</v>
      </c>
      <c r="I770">
        <v>34615.379999999997</v>
      </c>
      <c r="J770">
        <v>74870.8</v>
      </c>
      <c r="K770">
        <v>17634.78</v>
      </c>
      <c r="L770">
        <v>157673.82999999999</v>
      </c>
      <c r="M770">
        <v>810</v>
      </c>
      <c r="N770">
        <v>-0.17460000000000001</v>
      </c>
      <c r="O770">
        <f t="shared" si="22"/>
        <v>0.25659999999999999</v>
      </c>
      <c r="P770">
        <f t="shared" si="23"/>
        <v>0.1118</v>
      </c>
      <c r="Q770" t="s">
        <v>72</v>
      </c>
      <c r="R770">
        <v>2024</v>
      </c>
      <c r="S770" t="s">
        <v>25</v>
      </c>
    </row>
    <row r="771" spans="1:19" x14ac:dyDescent="0.3">
      <c r="A771" t="s">
        <v>845</v>
      </c>
      <c r="B771">
        <v>45600</v>
      </c>
      <c r="C771" t="s">
        <v>36</v>
      </c>
      <c r="D771" t="s">
        <v>37</v>
      </c>
      <c r="E771" t="s">
        <v>51</v>
      </c>
      <c r="F771" t="s">
        <v>23</v>
      </c>
      <c r="G771">
        <v>70022.05</v>
      </c>
      <c r="H771">
        <v>42054.69</v>
      </c>
      <c r="I771">
        <v>27967.360000000001</v>
      </c>
      <c r="J771">
        <v>32257.9</v>
      </c>
      <c r="K771">
        <v>28900.6</v>
      </c>
      <c r="L771">
        <v>95227.199999999997</v>
      </c>
      <c r="M771">
        <v>580</v>
      </c>
      <c r="N771">
        <v>-8.2500000000000004E-2</v>
      </c>
      <c r="O771">
        <f t="shared" ref="O771:O833" si="24">(ROUND(I771/G771,4))</f>
        <v>0.39939999999999998</v>
      </c>
      <c r="P771">
        <f t="shared" ref="P771:P834" si="25">ROUND(K771/L771,4)</f>
        <v>0.30349999999999999</v>
      </c>
      <c r="Q771" t="s">
        <v>52</v>
      </c>
      <c r="R771">
        <v>2024</v>
      </c>
      <c r="S771" t="s">
        <v>40</v>
      </c>
    </row>
    <row r="772" spans="1:19" x14ac:dyDescent="0.3">
      <c r="A772" t="s">
        <v>846</v>
      </c>
      <c r="B772">
        <v>44952</v>
      </c>
      <c r="C772" t="s">
        <v>102</v>
      </c>
      <c r="D772" t="s">
        <v>103</v>
      </c>
      <c r="E772" t="s">
        <v>32</v>
      </c>
      <c r="F772" t="s">
        <v>23</v>
      </c>
      <c r="G772">
        <v>334292.88324999996</v>
      </c>
      <c r="H772">
        <v>298518.78000000003</v>
      </c>
      <c r="I772">
        <v>35774.11</v>
      </c>
      <c r="J772">
        <v>79034.679999999993</v>
      </c>
      <c r="K772">
        <v>83777.600000000006</v>
      </c>
      <c r="L772">
        <v>233375.34</v>
      </c>
      <c r="M772">
        <v>773</v>
      </c>
      <c r="N772">
        <v>2.86E-2</v>
      </c>
      <c r="O772">
        <f t="shared" si="24"/>
        <v>0.107</v>
      </c>
      <c r="P772">
        <f t="shared" si="25"/>
        <v>0.35899999999999999</v>
      </c>
      <c r="Q772" t="s">
        <v>118</v>
      </c>
      <c r="R772">
        <v>2023</v>
      </c>
      <c r="S772" t="s">
        <v>40</v>
      </c>
    </row>
    <row r="773" spans="1:19" x14ac:dyDescent="0.3">
      <c r="A773" t="s">
        <v>847</v>
      </c>
      <c r="B773">
        <v>45710</v>
      </c>
      <c r="C773" t="s">
        <v>36</v>
      </c>
      <c r="D773" t="s">
        <v>37</v>
      </c>
      <c r="E773" t="s">
        <v>51</v>
      </c>
      <c r="F773" t="s">
        <v>23</v>
      </c>
      <c r="G773">
        <v>152857.43</v>
      </c>
      <c r="H773">
        <v>86808.72</v>
      </c>
      <c r="I773">
        <v>66048.710000000006</v>
      </c>
      <c r="J773">
        <v>29540.03</v>
      </c>
      <c r="K773">
        <v>21670.06</v>
      </c>
      <c r="L773">
        <v>55687.13</v>
      </c>
      <c r="M773">
        <v>413</v>
      </c>
      <c r="N773">
        <v>8.9999999999999998E-4</v>
      </c>
      <c r="O773">
        <f t="shared" si="24"/>
        <v>0.43209999999999998</v>
      </c>
      <c r="P773">
        <f t="shared" si="25"/>
        <v>0.3891</v>
      </c>
      <c r="Q773" t="s">
        <v>106</v>
      </c>
      <c r="R773">
        <v>2025</v>
      </c>
      <c r="S773" t="s">
        <v>40</v>
      </c>
    </row>
    <row r="774" spans="1:19" x14ac:dyDescent="0.3">
      <c r="A774" t="s">
        <v>848</v>
      </c>
      <c r="B774">
        <v>45405</v>
      </c>
      <c r="C774" t="s">
        <v>27</v>
      </c>
      <c r="D774" t="s">
        <v>28</v>
      </c>
      <c r="E774" t="s">
        <v>38</v>
      </c>
      <c r="F774" t="s">
        <v>23</v>
      </c>
      <c r="G774">
        <v>34414.959999999999</v>
      </c>
      <c r="H774">
        <v>24357.88</v>
      </c>
      <c r="I774">
        <v>10057.08</v>
      </c>
      <c r="J774">
        <v>27479.200000000001</v>
      </c>
      <c r="K774">
        <v>19327.05</v>
      </c>
      <c r="L774">
        <v>88825.93</v>
      </c>
      <c r="M774">
        <v>1733</v>
      </c>
      <c r="N774">
        <v>-1.18E-2</v>
      </c>
      <c r="O774">
        <f t="shared" si="24"/>
        <v>0.29220000000000002</v>
      </c>
      <c r="P774">
        <f t="shared" si="25"/>
        <v>0.21759999999999999</v>
      </c>
      <c r="Q774" t="s">
        <v>111</v>
      </c>
      <c r="R774">
        <v>2024</v>
      </c>
      <c r="S774" t="s">
        <v>25</v>
      </c>
    </row>
    <row r="775" spans="1:19" x14ac:dyDescent="0.3">
      <c r="A775" t="s">
        <v>849</v>
      </c>
      <c r="B775">
        <v>45216</v>
      </c>
      <c r="C775" t="s">
        <v>27</v>
      </c>
      <c r="D775" t="s">
        <v>28</v>
      </c>
      <c r="E775" t="s">
        <v>22</v>
      </c>
      <c r="F775" t="s">
        <v>23</v>
      </c>
      <c r="G775">
        <v>75084.31</v>
      </c>
      <c r="H775">
        <v>63169.87</v>
      </c>
      <c r="I775">
        <v>11914.44</v>
      </c>
      <c r="J775">
        <v>25850.95</v>
      </c>
      <c r="K775">
        <v>5593.55</v>
      </c>
      <c r="L775">
        <v>110444.95</v>
      </c>
      <c r="M775">
        <v>1439</v>
      </c>
      <c r="N775">
        <v>3.8999999999999998E-3</v>
      </c>
      <c r="O775">
        <f t="shared" si="24"/>
        <v>0.15870000000000001</v>
      </c>
      <c r="P775">
        <f t="shared" si="25"/>
        <v>5.0599999999999999E-2</v>
      </c>
      <c r="Q775" t="s">
        <v>44</v>
      </c>
      <c r="R775">
        <v>2023</v>
      </c>
      <c r="S775" t="s">
        <v>25</v>
      </c>
    </row>
    <row r="776" spans="1:19" x14ac:dyDescent="0.3">
      <c r="A776" t="s">
        <v>850</v>
      </c>
      <c r="B776">
        <v>45047</v>
      </c>
      <c r="C776" t="s">
        <v>102</v>
      </c>
      <c r="D776" t="s">
        <v>103</v>
      </c>
      <c r="E776" t="s">
        <v>22</v>
      </c>
      <c r="F776" t="s">
        <v>23</v>
      </c>
      <c r="G776">
        <v>105807.61</v>
      </c>
      <c r="H776">
        <v>73777.56</v>
      </c>
      <c r="I776">
        <v>32030.05</v>
      </c>
      <c r="J776">
        <v>70295.740000000005</v>
      </c>
      <c r="K776">
        <v>83275.070000000007</v>
      </c>
      <c r="L776">
        <v>133092.26999999999</v>
      </c>
      <c r="M776">
        <v>482</v>
      </c>
      <c r="N776">
        <v>-0.107</v>
      </c>
      <c r="O776">
        <f t="shared" si="24"/>
        <v>0.30270000000000002</v>
      </c>
      <c r="P776">
        <f t="shared" si="25"/>
        <v>0.62570000000000003</v>
      </c>
      <c r="Q776" t="s">
        <v>39</v>
      </c>
      <c r="R776">
        <v>2023</v>
      </c>
      <c r="S776" t="s">
        <v>82</v>
      </c>
    </row>
    <row r="777" spans="1:19" x14ac:dyDescent="0.3">
      <c r="A777" t="s">
        <v>851</v>
      </c>
      <c r="B777">
        <v>44924</v>
      </c>
      <c r="C777" t="s">
        <v>36</v>
      </c>
      <c r="D777" t="s">
        <v>37</v>
      </c>
      <c r="E777" t="s">
        <v>51</v>
      </c>
      <c r="F777" t="s">
        <v>23</v>
      </c>
      <c r="G777">
        <v>37080.870000000003</v>
      </c>
      <c r="H777">
        <v>25959.54</v>
      </c>
      <c r="I777">
        <v>11121.33</v>
      </c>
      <c r="J777">
        <v>114547.61</v>
      </c>
      <c r="K777">
        <v>18472.05</v>
      </c>
      <c r="L777">
        <v>183847.4</v>
      </c>
      <c r="M777">
        <v>1690</v>
      </c>
      <c r="N777">
        <v>4.6300000000000001E-2</v>
      </c>
      <c r="O777">
        <f t="shared" si="24"/>
        <v>0.2999</v>
      </c>
      <c r="P777">
        <f t="shared" si="25"/>
        <v>0.10050000000000001</v>
      </c>
      <c r="Q777" t="s">
        <v>46</v>
      </c>
      <c r="R777">
        <v>2022</v>
      </c>
      <c r="S777" t="s">
        <v>25</v>
      </c>
    </row>
    <row r="778" spans="1:19" x14ac:dyDescent="0.3">
      <c r="A778" t="s">
        <v>852</v>
      </c>
      <c r="B778">
        <v>44880</v>
      </c>
      <c r="C778" t="s">
        <v>78</v>
      </c>
      <c r="D778" t="s">
        <v>79</v>
      </c>
      <c r="E778" t="s">
        <v>38</v>
      </c>
      <c r="F778" t="s">
        <v>23</v>
      </c>
      <c r="G778">
        <v>47350.96</v>
      </c>
      <c r="H778">
        <v>27430.36</v>
      </c>
      <c r="I778">
        <v>19920.599999999999</v>
      </c>
      <c r="J778">
        <v>63549.99</v>
      </c>
      <c r="K778">
        <v>5494.87</v>
      </c>
      <c r="L778">
        <v>117845.75</v>
      </c>
      <c r="M778">
        <v>506</v>
      </c>
      <c r="N778">
        <v>-6.4000000000000003E-3</v>
      </c>
      <c r="O778">
        <f t="shared" si="24"/>
        <v>0.42070000000000002</v>
      </c>
      <c r="P778">
        <f t="shared" si="25"/>
        <v>4.6600000000000003E-2</v>
      </c>
      <c r="Q778" t="s">
        <v>46</v>
      </c>
      <c r="R778">
        <v>2022</v>
      </c>
      <c r="S778" t="s">
        <v>25</v>
      </c>
    </row>
    <row r="779" spans="1:19" x14ac:dyDescent="0.3">
      <c r="A779" t="s">
        <v>853</v>
      </c>
      <c r="B779">
        <v>44803</v>
      </c>
      <c r="C779" t="s">
        <v>1282</v>
      </c>
      <c r="D779" t="s">
        <v>69</v>
      </c>
      <c r="E779" t="s">
        <v>38</v>
      </c>
      <c r="F779" t="s">
        <v>23</v>
      </c>
      <c r="G779">
        <v>83527.850000000006</v>
      </c>
      <c r="H779">
        <v>51281.37</v>
      </c>
      <c r="I779">
        <v>32246.48</v>
      </c>
      <c r="J779">
        <v>23232.16</v>
      </c>
      <c r="K779">
        <v>17944.68</v>
      </c>
      <c r="L779">
        <v>75564.2</v>
      </c>
      <c r="M779">
        <v>1342</v>
      </c>
      <c r="N779">
        <v>-4.7500000000000001E-2</v>
      </c>
      <c r="O779">
        <f t="shared" si="24"/>
        <v>0.3861</v>
      </c>
      <c r="P779">
        <f t="shared" si="25"/>
        <v>0.23749999999999999</v>
      </c>
      <c r="Q779" t="s">
        <v>76</v>
      </c>
      <c r="R779">
        <v>2022</v>
      </c>
      <c r="S779" t="s">
        <v>25</v>
      </c>
    </row>
    <row r="780" spans="1:19" x14ac:dyDescent="0.3">
      <c r="A780" t="s">
        <v>854</v>
      </c>
      <c r="B780">
        <v>45122</v>
      </c>
      <c r="C780" t="s">
        <v>78</v>
      </c>
      <c r="D780" t="s">
        <v>79</v>
      </c>
      <c r="E780" t="s">
        <v>38</v>
      </c>
      <c r="F780" t="s">
        <v>23</v>
      </c>
      <c r="G780">
        <v>57904.68</v>
      </c>
      <c r="H780">
        <v>48472.67</v>
      </c>
      <c r="I780">
        <v>9432.01</v>
      </c>
      <c r="J780">
        <v>40599.379999999997</v>
      </c>
      <c r="K780">
        <v>31088.46</v>
      </c>
      <c r="L780">
        <v>214051.41</v>
      </c>
      <c r="M780">
        <v>620</v>
      </c>
      <c r="N780">
        <v>-2.3E-2</v>
      </c>
      <c r="O780">
        <f t="shared" si="24"/>
        <v>0.16289999999999999</v>
      </c>
      <c r="P780">
        <f t="shared" si="25"/>
        <v>0.1452</v>
      </c>
      <c r="Q780" t="s">
        <v>56</v>
      </c>
      <c r="R780">
        <v>2023</v>
      </c>
      <c r="S780" t="s">
        <v>25</v>
      </c>
    </row>
    <row r="781" spans="1:19" x14ac:dyDescent="0.3">
      <c r="A781" t="s">
        <v>855</v>
      </c>
      <c r="B781">
        <v>45630</v>
      </c>
      <c r="C781" t="s">
        <v>85</v>
      </c>
      <c r="D781" t="s">
        <v>86</v>
      </c>
      <c r="E781" t="s">
        <v>32</v>
      </c>
      <c r="F781" t="s">
        <v>23</v>
      </c>
      <c r="G781">
        <v>101580.03755000001</v>
      </c>
      <c r="H781">
        <v>75775.5</v>
      </c>
      <c r="I781">
        <v>25804.53</v>
      </c>
      <c r="J781">
        <v>120871.64</v>
      </c>
      <c r="K781">
        <v>38855.83</v>
      </c>
      <c r="L781">
        <v>134507.35</v>
      </c>
      <c r="M781">
        <v>585</v>
      </c>
      <c r="N781">
        <v>0.1459</v>
      </c>
      <c r="O781">
        <f t="shared" si="24"/>
        <v>0.254</v>
      </c>
      <c r="P781">
        <f t="shared" si="25"/>
        <v>0.28889999999999999</v>
      </c>
      <c r="Q781" t="s">
        <v>52</v>
      </c>
      <c r="R781">
        <v>2024</v>
      </c>
      <c r="S781" t="s">
        <v>25</v>
      </c>
    </row>
    <row r="782" spans="1:19" x14ac:dyDescent="0.3">
      <c r="A782" t="s">
        <v>856</v>
      </c>
      <c r="B782">
        <v>45851</v>
      </c>
      <c r="C782" t="s">
        <v>61</v>
      </c>
      <c r="D782" t="s">
        <v>74</v>
      </c>
      <c r="E782" t="s">
        <v>22</v>
      </c>
      <c r="F782" t="s">
        <v>23</v>
      </c>
      <c r="G782">
        <v>71533.7</v>
      </c>
      <c r="H782">
        <v>56034.879999999997</v>
      </c>
      <c r="I782">
        <v>15498.82</v>
      </c>
      <c r="J782">
        <v>68490.5</v>
      </c>
      <c r="K782">
        <v>26399.13</v>
      </c>
      <c r="L782">
        <v>100593.45</v>
      </c>
      <c r="M782">
        <v>753</v>
      </c>
      <c r="N782">
        <v>-6.7400000000000002E-2</v>
      </c>
      <c r="O782">
        <f t="shared" si="24"/>
        <v>0.2167</v>
      </c>
      <c r="P782">
        <f t="shared" si="25"/>
        <v>0.26240000000000002</v>
      </c>
      <c r="Q782" t="s">
        <v>24</v>
      </c>
      <c r="R782">
        <v>2025</v>
      </c>
      <c r="S782" t="s">
        <v>25</v>
      </c>
    </row>
    <row r="783" spans="1:19" x14ac:dyDescent="0.3">
      <c r="A783" t="s">
        <v>857</v>
      </c>
      <c r="B783">
        <v>45202</v>
      </c>
      <c r="C783" t="s">
        <v>20</v>
      </c>
      <c r="D783" t="s">
        <v>21</v>
      </c>
      <c r="E783" t="s">
        <v>51</v>
      </c>
      <c r="F783" t="s">
        <v>23</v>
      </c>
      <c r="G783">
        <v>129701.5</v>
      </c>
      <c r="H783">
        <v>90266.97</v>
      </c>
      <c r="I783">
        <v>39434.53</v>
      </c>
      <c r="J783">
        <v>36670.300000000003</v>
      </c>
      <c r="K783">
        <v>159067.59</v>
      </c>
      <c r="L783">
        <v>105048.29</v>
      </c>
      <c r="M783">
        <v>997</v>
      </c>
      <c r="N783">
        <v>1.2999999999999999E-2</v>
      </c>
      <c r="O783">
        <f t="shared" si="24"/>
        <v>0.30399999999999999</v>
      </c>
      <c r="P783">
        <f t="shared" si="25"/>
        <v>1.5142</v>
      </c>
      <c r="Q783" t="s">
        <v>44</v>
      </c>
      <c r="R783">
        <v>2023</v>
      </c>
      <c r="S783" t="s">
        <v>82</v>
      </c>
    </row>
    <row r="784" spans="1:19" x14ac:dyDescent="0.3">
      <c r="A784" t="s">
        <v>858</v>
      </c>
      <c r="B784">
        <v>45107</v>
      </c>
      <c r="C784" t="s">
        <v>1282</v>
      </c>
      <c r="D784" t="s">
        <v>69</v>
      </c>
      <c r="E784" t="s">
        <v>38</v>
      </c>
      <c r="F784" t="s">
        <v>23</v>
      </c>
      <c r="G784">
        <v>50321.760000000002</v>
      </c>
      <c r="H784">
        <v>32510.67</v>
      </c>
      <c r="I784">
        <v>17811.09</v>
      </c>
      <c r="J784">
        <v>71743.91</v>
      </c>
      <c r="K784">
        <v>10577.55</v>
      </c>
      <c r="L784">
        <v>81093.570000000007</v>
      </c>
      <c r="M784">
        <v>1073</v>
      </c>
      <c r="N784">
        <v>-9.5999999999999992E-3</v>
      </c>
      <c r="O784">
        <f t="shared" si="24"/>
        <v>0.35389999999999999</v>
      </c>
      <c r="P784">
        <f t="shared" si="25"/>
        <v>0.13039999999999999</v>
      </c>
      <c r="Q784" t="s">
        <v>39</v>
      </c>
      <c r="R784">
        <v>2023</v>
      </c>
      <c r="S784" t="s">
        <v>25</v>
      </c>
    </row>
    <row r="785" spans="1:19" x14ac:dyDescent="0.3">
      <c r="A785" t="s">
        <v>859</v>
      </c>
      <c r="B785">
        <v>45364</v>
      </c>
      <c r="C785" t="s">
        <v>85</v>
      </c>
      <c r="D785" t="s">
        <v>86</v>
      </c>
      <c r="E785" t="s">
        <v>32</v>
      </c>
      <c r="F785" t="s">
        <v>23</v>
      </c>
      <c r="G785">
        <v>118757.05275</v>
      </c>
      <c r="H785">
        <v>85398.06</v>
      </c>
      <c r="I785">
        <v>33358.99</v>
      </c>
      <c r="J785">
        <v>55409.47</v>
      </c>
      <c r="K785">
        <v>105526.62</v>
      </c>
      <c r="L785">
        <v>278359.58</v>
      </c>
      <c r="M785">
        <v>790</v>
      </c>
      <c r="N785">
        <v>0.1023</v>
      </c>
      <c r="O785">
        <f t="shared" si="24"/>
        <v>0.28089999999999998</v>
      </c>
      <c r="P785">
        <f t="shared" si="25"/>
        <v>0.37909999999999999</v>
      </c>
      <c r="Q785" t="s">
        <v>80</v>
      </c>
      <c r="R785">
        <v>2024</v>
      </c>
      <c r="S785" t="s">
        <v>40</v>
      </c>
    </row>
    <row r="786" spans="1:19" x14ac:dyDescent="0.3">
      <c r="A786" t="s">
        <v>860</v>
      </c>
      <c r="B786">
        <v>45018</v>
      </c>
      <c r="C786" t="s">
        <v>27</v>
      </c>
      <c r="D786" t="s">
        <v>28</v>
      </c>
      <c r="E786" t="s">
        <v>32</v>
      </c>
      <c r="F786" t="s">
        <v>23</v>
      </c>
      <c r="G786">
        <v>18171.470600000001</v>
      </c>
      <c r="H786">
        <v>12953.44</v>
      </c>
      <c r="I786">
        <v>5218.03</v>
      </c>
      <c r="J786">
        <v>121347.35</v>
      </c>
      <c r="K786">
        <v>37900.199999999997</v>
      </c>
      <c r="L786">
        <v>169010.04</v>
      </c>
      <c r="M786">
        <v>679</v>
      </c>
      <c r="N786">
        <v>-3.39E-2</v>
      </c>
      <c r="O786">
        <f t="shared" si="24"/>
        <v>0.28720000000000001</v>
      </c>
      <c r="P786">
        <f t="shared" si="25"/>
        <v>0.22420000000000001</v>
      </c>
      <c r="Q786" t="s">
        <v>39</v>
      </c>
      <c r="R786">
        <v>2023</v>
      </c>
      <c r="S786" t="s">
        <v>25</v>
      </c>
    </row>
    <row r="787" spans="1:19" x14ac:dyDescent="0.3">
      <c r="A787" t="s">
        <v>861</v>
      </c>
      <c r="B787">
        <v>45629</v>
      </c>
      <c r="C787" t="s">
        <v>30</v>
      </c>
      <c r="D787" t="s">
        <v>31</v>
      </c>
      <c r="E787" t="s">
        <v>51</v>
      </c>
      <c r="F787" t="s">
        <v>23</v>
      </c>
      <c r="G787">
        <v>22398.32</v>
      </c>
      <c r="H787">
        <v>16039.38</v>
      </c>
      <c r="I787">
        <v>6358.94</v>
      </c>
      <c r="J787">
        <v>75459.31</v>
      </c>
      <c r="K787">
        <v>8611.33</v>
      </c>
      <c r="L787">
        <v>143911.91</v>
      </c>
      <c r="M787">
        <v>370</v>
      </c>
      <c r="N787">
        <v>-0.1011</v>
      </c>
      <c r="O787">
        <f t="shared" si="24"/>
        <v>0.28389999999999999</v>
      </c>
      <c r="P787">
        <f t="shared" si="25"/>
        <v>5.9799999999999999E-2</v>
      </c>
      <c r="Q787" t="s">
        <v>52</v>
      </c>
      <c r="R787">
        <v>2024</v>
      </c>
      <c r="S787" t="s">
        <v>25</v>
      </c>
    </row>
    <row r="788" spans="1:19" x14ac:dyDescent="0.3">
      <c r="A788" t="s">
        <v>862</v>
      </c>
      <c r="B788">
        <v>44804</v>
      </c>
      <c r="C788" t="s">
        <v>54</v>
      </c>
      <c r="D788" t="s">
        <v>55</v>
      </c>
      <c r="E788" t="s">
        <v>22</v>
      </c>
      <c r="F788" t="s">
        <v>23</v>
      </c>
      <c r="G788">
        <v>266951.90999999997</v>
      </c>
      <c r="H788">
        <v>216658.58</v>
      </c>
      <c r="I788">
        <v>50293.33</v>
      </c>
      <c r="J788">
        <v>118625.60000000001</v>
      </c>
      <c r="K788">
        <v>17275.3</v>
      </c>
      <c r="L788">
        <v>153497.95000000001</v>
      </c>
      <c r="M788">
        <v>894</v>
      </c>
      <c r="N788">
        <v>-7.4499999999999997E-2</v>
      </c>
      <c r="O788">
        <f t="shared" si="24"/>
        <v>0.18840000000000001</v>
      </c>
      <c r="P788">
        <f t="shared" si="25"/>
        <v>0.1125</v>
      </c>
      <c r="Q788" t="s">
        <v>76</v>
      </c>
      <c r="R788">
        <v>2022</v>
      </c>
      <c r="S788" t="s">
        <v>25</v>
      </c>
    </row>
    <row r="789" spans="1:19" x14ac:dyDescent="0.3">
      <c r="A789" t="s">
        <v>863</v>
      </c>
      <c r="B789">
        <v>44616</v>
      </c>
      <c r="C789" t="s">
        <v>1282</v>
      </c>
      <c r="D789" t="s">
        <v>69</v>
      </c>
      <c r="E789" t="s">
        <v>51</v>
      </c>
      <c r="F789" t="s">
        <v>23</v>
      </c>
      <c r="G789">
        <v>41709.620000000003</v>
      </c>
      <c r="H789">
        <v>33896.379999999997</v>
      </c>
      <c r="I789">
        <v>7813.24</v>
      </c>
      <c r="J789">
        <v>24437.1</v>
      </c>
      <c r="K789">
        <v>10704.31</v>
      </c>
      <c r="L789">
        <v>89415.63</v>
      </c>
      <c r="M789">
        <v>1068</v>
      </c>
      <c r="N789">
        <v>-7.8200000000000006E-2</v>
      </c>
      <c r="O789">
        <f t="shared" si="24"/>
        <v>0.18729999999999999</v>
      </c>
      <c r="P789">
        <f t="shared" si="25"/>
        <v>0.1197</v>
      </c>
      <c r="Q789" t="s">
        <v>90</v>
      </c>
      <c r="R789">
        <v>2022</v>
      </c>
      <c r="S789" t="s">
        <v>25</v>
      </c>
    </row>
    <row r="790" spans="1:19" x14ac:dyDescent="0.3">
      <c r="A790" t="s">
        <v>864</v>
      </c>
      <c r="B790">
        <v>45028</v>
      </c>
      <c r="C790" t="s">
        <v>85</v>
      </c>
      <c r="D790" t="s">
        <v>86</v>
      </c>
      <c r="E790" t="s">
        <v>22</v>
      </c>
      <c r="F790" t="s">
        <v>23</v>
      </c>
      <c r="G790" t="s">
        <v>1281</v>
      </c>
      <c r="H790">
        <v>31765.55</v>
      </c>
      <c r="I790" t="s">
        <v>1281</v>
      </c>
      <c r="J790">
        <v>27430.04</v>
      </c>
      <c r="K790">
        <v>21158.31</v>
      </c>
      <c r="L790">
        <v>49992.9</v>
      </c>
      <c r="M790">
        <v>511</v>
      </c>
      <c r="N790">
        <v>7.2700000000000001E-2</v>
      </c>
      <c r="O790" t="s">
        <v>1281</v>
      </c>
      <c r="P790">
        <f t="shared" si="25"/>
        <v>0.42320000000000002</v>
      </c>
      <c r="Q790" t="s">
        <v>39</v>
      </c>
      <c r="R790">
        <v>2023</v>
      </c>
      <c r="S790" t="s">
        <v>40</v>
      </c>
    </row>
    <row r="791" spans="1:19" x14ac:dyDescent="0.3">
      <c r="A791" t="s">
        <v>865</v>
      </c>
      <c r="B791">
        <v>45927</v>
      </c>
      <c r="C791" t="s">
        <v>54</v>
      </c>
      <c r="D791" t="s">
        <v>55</v>
      </c>
      <c r="E791" t="s">
        <v>38</v>
      </c>
      <c r="F791" t="s">
        <v>23</v>
      </c>
      <c r="G791">
        <v>97558.62</v>
      </c>
      <c r="H791">
        <v>74935.179999999993</v>
      </c>
      <c r="I791">
        <v>22623.439999999999</v>
      </c>
      <c r="J791">
        <v>35274.559999999998</v>
      </c>
      <c r="K791">
        <v>203606.03</v>
      </c>
      <c r="L791">
        <v>63693.33</v>
      </c>
      <c r="M791">
        <v>542</v>
      </c>
      <c r="N791">
        <v>-4.6600000000000003E-2</v>
      </c>
      <c r="O791">
        <f t="shared" si="24"/>
        <v>0.2319</v>
      </c>
      <c r="P791">
        <f t="shared" si="25"/>
        <v>3.1966999999999999</v>
      </c>
      <c r="Q791" t="s">
        <v>24</v>
      </c>
      <c r="R791">
        <v>2025</v>
      </c>
      <c r="S791" t="s">
        <v>82</v>
      </c>
    </row>
    <row r="792" spans="1:19" x14ac:dyDescent="0.3">
      <c r="A792" t="s">
        <v>866</v>
      </c>
      <c r="B792">
        <v>45534</v>
      </c>
      <c r="C792" t="s">
        <v>85</v>
      </c>
      <c r="D792" t="s">
        <v>86</v>
      </c>
      <c r="E792" t="s">
        <v>22</v>
      </c>
      <c r="F792" t="s">
        <v>23</v>
      </c>
      <c r="G792">
        <v>74200.08</v>
      </c>
      <c r="H792">
        <v>42671.33</v>
      </c>
      <c r="I792">
        <v>31528.75</v>
      </c>
      <c r="J792">
        <v>107525.47</v>
      </c>
      <c r="K792">
        <v>53111.53</v>
      </c>
      <c r="L792">
        <v>202935.67</v>
      </c>
      <c r="M792">
        <v>1391</v>
      </c>
      <c r="N792">
        <v>-8.3699999999999997E-2</v>
      </c>
      <c r="O792">
        <f t="shared" si="24"/>
        <v>0.4249</v>
      </c>
      <c r="P792">
        <f t="shared" si="25"/>
        <v>0.26169999999999999</v>
      </c>
      <c r="Q792" t="s">
        <v>72</v>
      </c>
      <c r="R792">
        <v>2024</v>
      </c>
      <c r="S792" t="s">
        <v>25</v>
      </c>
    </row>
    <row r="793" spans="1:19" x14ac:dyDescent="0.3">
      <c r="A793" t="s">
        <v>867</v>
      </c>
      <c r="B793">
        <v>45476</v>
      </c>
      <c r="C793" t="s">
        <v>27</v>
      </c>
      <c r="D793" t="s">
        <v>28</v>
      </c>
      <c r="E793" t="s">
        <v>22</v>
      </c>
      <c r="F793" t="s">
        <v>23</v>
      </c>
      <c r="G793">
        <v>77490.880000000005</v>
      </c>
      <c r="H793">
        <v>62446.57</v>
      </c>
      <c r="I793">
        <v>15044.31</v>
      </c>
      <c r="J793">
        <v>76622.509999999995</v>
      </c>
      <c r="K793">
        <v>26656.49</v>
      </c>
      <c r="L793">
        <v>206324.52</v>
      </c>
      <c r="M793">
        <v>1469</v>
      </c>
      <c r="N793">
        <v>-5.04E-2</v>
      </c>
      <c r="O793">
        <f t="shared" si="24"/>
        <v>0.19409999999999999</v>
      </c>
      <c r="P793">
        <f t="shared" si="25"/>
        <v>0.12920000000000001</v>
      </c>
      <c r="Q793" t="s">
        <v>72</v>
      </c>
      <c r="R793">
        <v>2024</v>
      </c>
      <c r="S793" t="s">
        <v>25</v>
      </c>
    </row>
    <row r="794" spans="1:19" x14ac:dyDescent="0.3">
      <c r="A794" t="s">
        <v>868</v>
      </c>
      <c r="B794">
        <v>45789</v>
      </c>
      <c r="C794" t="s">
        <v>36</v>
      </c>
      <c r="D794" t="s">
        <v>37</v>
      </c>
      <c r="E794" t="s">
        <v>32</v>
      </c>
      <c r="F794" t="s">
        <v>23</v>
      </c>
      <c r="G794">
        <v>109207.1459</v>
      </c>
      <c r="H794">
        <v>86963.25</v>
      </c>
      <c r="I794">
        <v>22243.89</v>
      </c>
      <c r="J794">
        <v>81263.100000000006</v>
      </c>
      <c r="K794">
        <v>50930.58</v>
      </c>
      <c r="L794">
        <v>110338.83</v>
      </c>
      <c r="M794">
        <v>536</v>
      </c>
      <c r="N794">
        <v>-8.6E-3</v>
      </c>
      <c r="O794">
        <f t="shared" si="24"/>
        <v>0.20369999999999999</v>
      </c>
      <c r="P794">
        <f t="shared" si="25"/>
        <v>0.46160000000000001</v>
      </c>
      <c r="Q794" t="s">
        <v>34</v>
      </c>
      <c r="R794">
        <v>2025</v>
      </c>
      <c r="S794" t="s">
        <v>40</v>
      </c>
    </row>
    <row r="795" spans="1:19" x14ac:dyDescent="0.3">
      <c r="A795" t="s">
        <v>869</v>
      </c>
      <c r="B795">
        <v>45009</v>
      </c>
      <c r="C795" t="s">
        <v>61</v>
      </c>
      <c r="D795" t="s">
        <v>74</v>
      </c>
      <c r="E795" t="s">
        <v>38</v>
      </c>
      <c r="F795" t="s">
        <v>23</v>
      </c>
      <c r="G795">
        <v>12006.34</v>
      </c>
      <c r="H795">
        <v>7140.03</v>
      </c>
      <c r="I795">
        <v>4866.3100000000004</v>
      </c>
      <c r="J795">
        <v>15942.69</v>
      </c>
      <c r="K795">
        <v>6969.62</v>
      </c>
      <c r="L795">
        <v>54489.08</v>
      </c>
      <c r="M795">
        <v>716</v>
      </c>
      <c r="N795">
        <v>-4.8500000000000001E-2</v>
      </c>
      <c r="O795">
        <f t="shared" si="24"/>
        <v>0.40529999999999999</v>
      </c>
      <c r="P795">
        <f t="shared" si="25"/>
        <v>0.12790000000000001</v>
      </c>
      <c r="Q795" t="s">
        <v>118</v>
      </c>
      <c r="R795">
        <v>2023</v>
      </c>
      <c r="S795" t="s">
        <v>25</v>
      </c>
    </row>
    <row r="796" spans="1:19" x14ac:dyDescent="0.3">
      <c r="A796" t="s">
        <v>870</v>
      </c>
      <c r="B796">
        <v>45021</v>
      </c>
      <c r="C796" t="s">
        <v>1282</v>
      </c>
      <c r="D796" t="s">
        <v>69</v>
      </c>
      <c r="E796" t="s">
        <v>22</v>
      </c>
      <c r="F796" t="s">
        <v>23</v>
      </c>
      <c r="G796">
        <v>33697.629999999997</v>
      </c>
      <c r="H796">
        <v>19828.38</v>
      </c>
      <c r="I796">
        <v>13869.25</v>
      </c>
      <c r="J796">
        <v>33232.53</v>
      </c>
      <c r="K796">
        <v>9940.8799999999992</v>
      </c>
      <c r="L796">
        <v>117131.65</v>
      </c>
      <c r="M796">
        <v>653</v>
      </c>
      <c r="N796">
        <v>-3.04E-2</v>
      </c>
      <c r="O796">
        <f t="shared" si="24"/>
        <v>0.41160000000000002</v>
      </c>
      <c r="P796">
        <f t="shared" si="25"/>
        <v>8.4900000000000003E-2</v>
      </c>
      <c r="Q796" t="s">
        <v>39</v>
      </c>
      <c r="R796">
        <v>2023</v>
      </c>
      <c r="S796" t="s">
        <v>25</v>
      </c>
    </row>
    <row r="797" spans="1:19" x14ac:dyDescent="0.3">
      <c r="A797" t="s">
        <v>871</v>
      </c>
      <c r="B797">
        <v>46005</v>
      </c>
      <c r="C797" t="s">
        <v>54</v>
      </c>
      <c r="D797" t="s">
        <v>55</v>
      </c>
      <c r="E797" t="s">
        <v>32</v>
      </c>
      <c r="F797" t="s">
        <v>23</v>
      </c>
      <c r="G797">
        <v>212613.59585000001</v>
      </c>
      <c r="H797">
        <v>1.1499999999999999</v>
      </c>
      <c r="I797">
        <v>1.1499999999999999</v>
      </c>
      <c r="J797">
        <v>23248.22</v>
      </c>
      <c r="K797">
        <v>20077.91</v>
      </c>
      <c r="L797">
        <v>110901.62</v>
      </c>
      <c r="M797">
        <v>680</v>
      </c>
      <c r="N797">
        <v>6.7299999999999999E-2</v>
      </c>
      <c r="O797">
        <f t="shared" si="24"/>
        <v>0</v>
      </c>
      <c r="P797">
        <f t="shared" si="25"/>
        <v>0.18099999999999999</v>
      </c>
      <c r="Q797" t="s">
        <v>66</v>
      </c>
      <c r="R797">
        <v>2025</v>
      </c>
      <c r="S797" t="s">
        <v>25</v>
      </c>
    </row>
    <row r="798" spans="1:19" x14ac:dyDescent="0.3">
      <c r="A798" t="s">
        <v>872</v>
      </c>
      <c r="B798">
        <v>45223</v>
      </c>
      <c r="C798" t="s">
        <v>42</v>
      </c>
      <c r="D798" t="s">
        <v>43</v>
      </c>
      <c r="E798" t="s">
        <v>38</v>
      </c>
      <c r="F798" t="s">
        <v>23</v>
      </c>
      <c r="G798">
        <v>87048.51</v>
      </c>
      <c r="H798">
        <v>77109.14</v>
      </c>
      <c r="I798">
        <v>9939.3700000000008</v>
      </c>
      <c r="J798">
        <v>10119.19</v>
      </c>
      <c r="K798">
        <v>26194.31</v>
      </c>
      <c r="L798">
        <v>158536.54999999999</v>
      </c>
      <c r="M798">
        <v>914</v>
      </c>
      <c r="N798">
        <v>-3.0700000000000002E-2</v>
      </c>
      <c r="O798">
        <f t="shared" si="24"/>
        <v>0.1142</v>
      </c>
      <c r="P798">
        <f t="shared" si="25"/>
        <v>0.16520000000000001</v>
      </c>
      <c r="Q798" t="s">
        <v>44</v>
      </c>
      <c r="R798">
        <v>2023</v>
      </c>
      <c r="S798" t="s">
        <v>25</v>
      </c>
    </row>
    <row r="799" spans="1:19" x14ac:dyDescent="0.3">
      <c r="A799" t="s">
        <v>873</v>
      </c>
      <c r="B799">
        <v>45419</v>
      </c>
      <c r="C799" t="s">
        <v>85</v>
      </c>
      <c r="D799" t="s">
        <v>86</v>
      </c>
      <c r="E799" t="s">
        <v>38</v>
      </c>
      <c r="F799" t="s">
        <v>23</v>
      </c>
      <c r="G799">
        <v>59035.35</v>
      </c>
      <c r="H799">
        <v>49323.32</v>
      </c>
      <c r="I799">
        <v>9712.0300000000007</v>
      </c>
      <c r="J799">
        <v>21916.57</v>
      </c>
      <c r="K799">
        <v>64704.29</v>
      </c>
      <c r="L799">
        <v>62362.11</v>
      </c>
      <c r="M799">
        <v>594</v>
      </c>
      <c r="N799">
        <v>-2.6800000000000001E-2</v>
      </c>
      <c r="O799">
        <f t="shared" si="24"/>
        <v>0.16450000000000001</v>
      </c>
      <c r="P799">
        <f t="shared" si="25"/>
        <v>1.0376000000000001</v>
      </c>
      <c r="Q799" t="s">
        <v>111</v>
      </c>
      <c r="R799">
        <v>2024</v>
      </c>
      <c r="S799" t="s">
        <v>82</v>
      </c>
    </row>
    <row r="800" spans="1:19" x14ac:dyDescent="0.3">
      <c r="A800" t="s">
        <v>874</v>
      </c>
      <c r="B800">
        <v>45352</v>
      </c>
      <c r="C800" t="s">
        <v>30</v>
      </c>
      <c r="D800" t="s">
        <v>31</v>
      </c>
      <c r="E800" t="s">
        <v>32</v>
      </c>
      <c r="F800" t="s">
        <v>23</v>
      </c>
      <c r="G800">
        <v>261321.43784999999</v>
      </c>
      <c r="H800">
        <v>152213.46</v>
      </c>
      <c r="I800">
        <v>109107.98</v>
      </c>
      <c r="J800">
        <v>36803.25</v>
      </c>
      <c r="K800">
        <v>54558.52</v>
      </c>
      <c r="L800">
        <v>122889.76</v>
      </c>
      <c r="M800">
        <v>718</v>
      </c>
      <c r="N800">
        <v>0.1386</v>
      </c>
      <c r="O800">
        <f t="shared" si="24"/>
        <v>0.41749999999999998</v>
      </c>
      <c r="P800">
        <f t="shared" si="25"/>
        <v>0.44400000000000001</v>
      </c>
      <c r="Q800" t="s">
        <v>80</v>
      </c>
      <c r="R800">
        <v>2024</v>
      </c>
      <c r="S800" t="s">
        <v>40</v>
      </c>
    </row>
    <row r="801" spans="1:19" x14ac:dyDescent="0.3">
      <c r="A801" t="s">
        <v>875</v>
      </c>
      <c r="B801">
        <v>45795</v>
      </c>
      <c r="C801" t="s">
        <v>102</v>
      </c>
      <c r="D801" t="s">
        <v>103</v>
      </c>
      <c r="E801" t="s">
        <v>38</v>
      </c>
      <c r="F801" t="s">
        <v>23</v>
      </c>
      <c r="G801" t="s">
        <v>1281</v>
      </c>
      <c r="H801">
        <v>58278.75</v>
      </c>
      <c r="I801" t="s">
        <v>1281</v>
      </c>
      <c r="J801">
        <v>15486.71</v>
      </c>
      <c r="K801">
        <v>24152.91</v>
      </c>
      <c r="L801">
        <v>32268.14</v>
      </c>
      <c r="M801">
        <v>789</v>
      </c>
      <c r="N801">
        <v>9.6299999999999997E-2</v>
      </c>
      <c r="O801" t="s">
        <v>1281</v>
      </c>
      <c r="P801">
        <f t="shared" si="25"/>
        <v>0.74850000000000005</v>
      </c>
      <c r="Q801" t="s">
        <v>34</v>
      </c>
      <c r="R801">
        <v>2025</v>
      </c>
      <c r="S801" t="s">
        <v>82</v>
      </c>
    </row>
    <row r="802" spans="1:19" x14ac:dyDescent="0.3">
      <c r="A802" t="s">
        <v>876</v>
      </c>
      <c r="B802">
        <v>45619</v>
      </c>
      <c r="C802" t="s">
        <v>27</v>
      </c>
      <c r="D802" t="s">
        <v>28</v>
      </c>
      <c r="E802" t="s">
        <v>32</v>
      </c>
      <c r="F802" t="s">
        <v>23</v>
      </c>
      <c r="G802">
        <v>71164.623950000008</v>
      </c>
      <c r="H802">
        <v>49724.3</v>
      </c>
      <c r="I802">
        <v>21440.32</v>
      </c>
      <c r="J802">
        <v>30120.21</v>
      </c>
      <c r="K802">
        <v>21855.77</v>
      </c>
      <c r="L802">
        <v>171468.47</v>
      </c>
      <c r="M802">
        <v>1611</v>
      </c>
      <c r="N802">
        <v>8.2000000000000003E-2</v>
      </c>
      <c r="O802">
        <f t="shared" si="24"/>
        <v>0.30130000000000001</v>
      </c>
      <c r="P802">
        <f t="shared" si="25"/>
        <v>0.1275</v>
      </c>
      <c r="Q802" t="s">
        <v>52</v>
      </c>
      <c r="R802">
        <v>2024</v>
      </c>
      <c r="S802" t="s">
        <v>25</v>
      </c>
    </row>
    <row r="803" spans="1:19" x14ac:dyDescent="0.3">
      <c r="A803" t="s">
        <v>877</v>
      </c>
      <c r="B803">
        <v>44568</v>
      </c>
      <c r="C803" t="s">
        <v>27</v>
      </c>
      <c r="D803" t="s">
        <v>28</v>
      </c>
      <c r="E803" t="s">
        <v>22</v>
      </c>
      <c r="F803" t="s">
        <v>23</v>
      </c>
      <c r="G803">
        <v>22136.05</v>
      </c>
      <c r="H803">
        <v>12861.78</v>
      </c>
      <c r="I803">
        <v>9274.27</v>
      </c>
      <c r="J803">
        <v>61616.32</v>
      </c>
      <c r="K803">
        <v>60352.91</v>
      </c>
      <c r="L803">
        <v>83671.14</v>
      </c>
      <c r="M803">
        <v>567</v>
      </c>
      <c r="N803">
        <v>-0.1104</v>
      </c>
      <c r="O803">
        <f t="shared" si="24"/>
        <v>0.41899999999999998</v>
      </c>
      <c r="P803">
        <f t="shared" si="25"/>
        <v>0.72130000000000005</v>
      </c>
      <c r="Q803" t="s">
        <v>90</v>
      </c>
      <c r="R803">
        <v>2022</v>
      </c>
      <c r="S803" t="s">
        <v>82</v>
      </c>
    </row>
    <row r="804" spans="1:19" x14ac:dyDescent="0.3">
      <c r="A804" t="s">
        <v>878</v>
      </c>
      <c r="B804">
        <v>46020</v>
      </c>
      <c r="C804" t="s">
        <v>48</v>
      </c>
      <c r="D804" t="s">
        <v>49</v>
      </c>
      <c r="E804" t="s">
        <v>32</v>
      </c>
      <c r="F804" t="s">
        <v>23</v>
      </c>
      <c r="G804">
        <v>236580.41525000002</v>
      </c>
      <c r="H804">
        <v>174896.43</v>
      </c>
      <c r="I804">
        <v>61683.99</v>
      </c>
      <c r="J804">
        <v>23914.5</v>
      </c>
      <c r="K804">
        <v>260127.92</v>
      </c>
      <c r="L804">
        <v>97652.36</v>
      </c>
      <c r="M804">
        <v>1484</v>
      </c>
      <c r="N804">
        <v>2.7400000000000001E-2</v>
      </c>
      <c r="O804">
        <f t="shared" si="24"/>
        <v>0.26069999999999999</v>
      </c>
      <c r="P804">
        <f t="shared" si="25"/>
        <v>2.6638000000000002</v>
      </c>
      <c r="Q804" t="s">
        <v>66</v>
      </c>
      <c r="R804">
        <v>2025</v>
      </c>
      <c r="S804" t="s">
        <v>82</v>
      </c>
    </row>
    <row r="805" spans="1:19" x14ac:dyDescent="0.3">
      <c r="A805" t="s">
        <v>879</v>
      </c>
      <c r="B805">
        <v>45987</v>
      </c>
      <c r="C805" t="s">
        <v>78</v>
      </c>
      <c r="D805" t="s">
        <v>79</v>
      </c>
      <c r="E805" t="s">
        <v>38</v>
      </c>
      <c r="F805" t="s">
        <v>23</v>
      </c>
      <c r="G805">
        <v>75641.05</v>
      </c>
      <c r="H805" t="s">
        <v>1281</v>
      </c>
      <c r="I805" t="s">
        <v>1281</v>
      </c>
      <c r="J805">
        <v>12688.78</v>
      </c>
      <c r="K805">
        <v>17851.29</v>
      </c>
      <c r="L805">
        <v>81132.679999999993</v>
      </c>
      <c r="M805">
        <v>733</v>
      </c>
      <c r="N805">
        <v>0.2661</v>
      </c>
      <c r="O805" t="s">
        <v>1281</v>
      </c>
      <c r="P805">
        <f t="shared" si="25"/>
        <v>0.22</v>
      </c>
      <c r="Q805" t="s">
        <v>66</v>
      </c>
      <c r="R805">
        <v>2025</v>
      </c>
      <c r="S805" t="s">
        <v>25</v>
      </c>
    </row>
    <row r="806" spans="1:19" x14ac:dyDescent="0.3">
      <c r="A806" t="s">
        <v>880</v>
      </c>
      <c r="B806" s="4">
        <v>44607</v>
      </c>
      <c r="C806" t="s">
        <v>48</v>
      </c>
      <c r="D806" t="s">
        <v>49</v>
      </c>
      <c r="E806" t="s">
        <v>22</v>
      </c>
      <c r="F806" t="s">
        <v>23</v>
      </c>
      <c r="G806">
        <v>41788.25</v>
      </c>
      <c r="H806">
        <v>30006.65</v>
      </c>
      <c r="I806">
        <v>11781.6</v>
      </c>
      <c r="J806">
        <v>38739.67</v>
      </c>
      <c r="K806">
        <v>44712.480000000003</v>
      </c>
      <c r="L806">
        <v>80065.279999999999</v>
      </c>
      <c r="M806">
        <v>1165</v>
      </c>
      <c r="N806">
        <v>4.8099999999999997E-2</v>
      </c>
      <c r="O806">
        <f t="shared" si="24"/>
        <v>0.28189999999999998</v>
      </c>
      <c r="P806">
        <f t="shared" si="25"/>
        <v>0.5585</v>
      </c>
      <c r="Q806" t="s">
        <v>90</v>
      </c>
      <c r="R806">
        <v>2022</v>
      </c>
      <c r="S806" t="s">
        <v>40</v>
      </c>
    </row>
    <row r="807" spans="1:19" x14ac:dyDescent="0.3">
      <c r="A807" t="s">
        <v>881</v>
      </c>
      <c r="B807">
        <v>45401</v>
      </c>
      <c r="C807" t="s">
        <v>54</v>
      </c>
      <c r="D807" t="s">
        <v>55</v>
      </c>
      <c r="E807" t="s">
        <v>22</v>
      </c>
      <c r="F807" t="s">
        <v>23</v>
      </c>
      <c r="G807">
        <v>257911.36</v>
      </c>
      <c r="H807">
        <v>175273.35</v>
      </c>
      <c r="I807">
        <v>82638.009999999995</v>
      </c>
      <c r="J807">
        <v>59687.4</v>
      </c>
      <c r="K807">
        <v>21557.7</v>
      </c>
      <c r="L807">
        <v>95865.51</v>
      </c>
      <c r="M807">
        <v>510</v>
      </c>
      <c r="N807">
        <v>-3.1600000000000003E-2</v>
      </c>
      <c r="O807">
        <f t="shared" si="24"/>
        <v>0.32040000000000002</v>
      </c>
      <c r="P807">
        <f t="shared" si="25"/>
        <v>0.22489999999999999</v>
      </c>
      <c r="Q807" t="s">
        <v>111</v>
      </c>
      <c r="R807">
        <v>2024</v>
      </c>
      <c r="S807" t="s">
        <v>25</v>
      </c>
    </row>
    <row r="808" spans="1:19" x14ac:dyDescent="0.3">
      <c r="A808" t="s">
        <v>882</v>
      </c>
      <c r="B808">
        <v>45362</v>
      </c>
      <c r="C808" t="s">
        <v>48</v>
      </c>
      <c r="D808" t="s">
        <v>49</v>
      </c>
      <c r="E808" t="s">
        <v>51</v>
      </c>
      <c r="F808" t="s">
        <v>23</v>
      </c>
      <c r="G808">
        <v>77792.2</v>
      </c>
      <c r="H808">
        <v>53038.58</v>
      </c>
      <c r="I808">
        <v>24753.62</v>
      </c>
      <c r="J808">
        <v>59500.63</v>
      </c>
      <c r="K808">
        <v>5733.04</v>
      </c>
      <c r="L808">
        <v>80994.33</v>
      </c>
      <c r="M808">
        <v>749</v>
      </c>
      <c r="N808">
        <v>-8.1100000000000005E-2</v>
      </c>
      <c r="O808">
        <f t="shared" si="24"/>
        <v>0.31819999999999998</v>
      </c>
      <c r="P808">
        <f t="shared" si="25"/>
        <v>7.0800000000000002E-2</v>
      </c>
      <c r="Q808" t="s">
        <v>80</v>
      </c>
      <c r="R808">
        <v>2024</v>
      </c>
      <c r="S808" t="s">
        <v>25</v>
      </c>
    </row>
    <row r="809" spans="1:19" x14ac:dyDescent="0.3">
      <c r="A809" t="s">
        <v>883</v>
      </c>
      <c r="B809">
        <v>45105</v>
      </c>
      <c r="C809" t="s">
        <v>54</v>
      </c>
      <c r="D809" t="s">
        <v>55</v>
      </c>
      <c r="E809" t="s">
        <v>51</v>
      </c>
      <c r="F809" t="s">
        <v>23</v>
      </c>
      <c r="G809">
        <v>121832.22</v>
      </c>
      <c r="H809">
        <v>89674.84</v>
      </c>
      <c r="I809">
        <v>32157.38</v>
      </c>
      <c r="J809">
        <v>10663.67</v>
      </c>
      <c r="K809">
        <v>5372.93</v>
      </c>
      <c r="L809">
        <v>86401.16</v>
      </c>
      <c r="M809">
        <v>732</v>
      </c>
      <c r="N809">
        <v>-6.1699999999999998E-2</v>
      </c>
      <c r="O809">
        <f t="shared" si="24"/>
        <v>0.26390000000000002</v>
      </c>
      <c r="P809">
        <f t="shared" si="25"/>
        <v>6.2199999999999998E-2</v>
      </c>
      <c r="Q809" t="s">
        <v>39</v>
      </c>
      <c r="R809">
        <v>2023</v>
      </c>
      <c r="S809" t="s">
        <v>25</v>
      </c>
    </row>
    <row r="810" spans="1:19" x14ac:dyDescent="0.3">
      <c r="A810" t="s">
        <v>884</v>
      </c>
      <c r="B810">
        <v>44932</v>
      </c>
      <c r="C810" t="s">
        <v>42</v>
      </c>
      <c r="D810" t="s">
        <v>43</v>
      </c>
      <c r="E810" t="s">
        <v>22</v>
      </c>
      <c r="F810" t="s">
        <v>23</v>
      </c>
      <c r="G810">
        <v>147351.82</v>
      </c>
      <c r="H810">
        <v>118519.27</v>
      </c>
      <c r="I810">
        <v>28832.55</v>
      </c>
      <c r="J810">
        <v>35027.230000000003</v>
      </c>
      <c r="K810">
        <v>9256.41</v>
      </c>
      <c r="L810">
        <v>82302.03</v>
      </c>
      <c r="M810">
        <v>1757</v>
      </c>
      <c r="N810">
        <v>5.9499999999999997E-2</v>
      </c>
      <c r="O810">
        <f t="shared" si="24"/>
        <v>0.19570000000000001</v>
      </c>
      <c r="P810">
        <f t="shared" si="25"/>
        <v>0.1125</v>
      </c>
      <c r="Q810" t="s">
        <v>118</v>
      </c>
      <c r="R810">
        <v>2023</v>
      </c>
      <c r="S810" t="s">
        <v>25</v>
      </c>
    </row>
    <row r="811" spans="1:19" x14ac:dyDescent="0.3">
      <c r="A811" t="s">
        <v>885</v>
      </c>
      <c r="B811">
        <v>44656</v>
      </c>
      <c r="C811" t="s">
        <v>36</v>
      </c>
      <c r="D811" t="s">
        <v>37</v>
      </c>
      <c r="E811" t="s">
        <v>32</v>
      </c>
      <c r="F811" t="s">
        <v>23</v>
      </c>
      <c r="G811">
        <v>111964.4433</v>
      </c>
      <c r="H811">
        <v>82388.11</v>
      </c>
      <c r="I811">
        <v>29576.33</v>
      </c>
      <c r="J811">
        <v>75288.009999999995</v>
      </c>
      <c r="K811">
        <v>74869.789999999994</v>
      </c>
      <c r="L811">
        <v>160845.89000000001</v>
      </c>
      <c r="M811">
        <v>626</v>
      </c>
      <c r="N811">
        <v>-1.1900000000000001E-2</v>
      </c>
      <c r="O811">
        <f t="shared" si="24"/>
        <v>0.26419999999999999</v>
      </c>
      <c r="P811">
        <f t="shared" si="25"/>
        <v>0.46550000000000002</v>
      </c>
      <c r="Q811" t="s">
        <v>58</v>
      </c>
      <c r="R811">
        <v>2022</v>
      </c>
      <c r="S811" t="s">
        <v>40</v>
      </c>
    </row>
    <row r="812" spans="1:19" x14ac:dyDescent="0.3">
      <c r="A812" t="s">
        <v>886</v>
      </c>
      <c r="B812">
        <v>45136</v>
      </c>
      <c r="C812" t="s">
        <v>42</v>
      </c>
      <c r="D812" t="s">
        <v>43</v>
      </c>
      <c r="E812" t="s">
        <v>22</v>
      </c>
      <c r="F812" t="s">
        <v>23</v>
      </c>
      <c r="G812">
        <v>54598.559999999998</v>
      </c>
      <c r="H812">
        <v>46128.72</v>
      </c>
      <c r="I812">
        <v>8469.84</v>
      </c>
      <c r="J812">
        <v>25273.64</v>
      </c>
      <c r="K812">
        <v>30992.06</v>
      </c>
      <c r="L812">
        <v>69155.77</v>
      </c>
      <c r="M812">
        <v>1622</v>
      </c>
      <c r="N812">
        <v>-4.1500000000000002E-2</v>
      </c>
      <c r="O812">
        <f t="shared" si="24"/>
        <v>0.15509999999999999</v>
      </c>
      <c r="P812">
        <f t="shared" si="25"/>
        <v>0.4481</v>
      </c>
      <c r="Q812" t="s">
        <v>56</v>
      </c>
      <c r="R812">
        <v>2023</v>
      </c>
      <c r="S812" t="s">
        <v>40</v>
      </c>
    </row>
    <row r="813" spans="1:19" x14ac:dyDescent="0.3">
      <c r="A813" t="s">
        <v>887</v>
      </c>
      <c r="B813">
        <v>45044</v>
      </c>
      <c r="C813" t="s">
        <v>42</v>
      </c>
      <c r="D813" t="s">
        <v>43</v>
      </c>
      <c r="E813" t="s">
        <v>32</v>
      </c>
      <c r="F813" t="s">
        <v>23</v>
      </c>
      <c r="G813">
        <v>158082.7304</v>
      </c>
      <c r="H813">
        <v>102513.27</v>
      </c>
      <c r="I813">
        <v>55569.46</v>
      </c>
      <c r="J813">
        <v>24979.47</v>
      </c>
      <c r="K813">
        <v>48725.77</v>
      </c>
      <c r="L813">
        <v>72031.7</v>
      </c>
      <c r="M813">
        <v>910</v>
      </c>
      <c r="N813">
        <v>3.0800000000000001E-2</v>
      </c>
      <c r="O813">
        <f t="shared" si="24"/>
        <v>0.35149999999999998</v>
      </c>
      <c r="P813">
        <f t="shared" si="25"/>
        <v>0.6764</v>
      </c>
      <c r="Q813" t="s">
        <v>39</v>
      </c>
      <c r="R813">
        <v>2023</v>
      </c>
      <c r="S813" t="s">
        <v>82</v>
      </c>
    </row>
    <row r="814" spans="1:19" x14ac:dyDescent="0.3">
      <c r="A814" t="s">
        <v>888</v>
      </c>
      <c r="B814">
        <v>45422</v>
      </c>
      <c r="C814" t="s">
        <v>48</v>
      </c>
      <c r="D814" t="s">
        <v>49</v>
      </c>
      <c r="E814" t="s">
        <v>38</v>
      </c>
      <c r="F814" t="s">
        <v>23</v>
      </c>
      <c r="G814">
        <v>102208.93</v>
      </c>
      <c r="H814">
        <v>85465.61</v>
      </c>
      <c r="I814">
        <v>16743.32</v>
      </c>
      <c r="J814">
        <v>20866.2</v>
      </c>
      <c r="K814">
        <v>8558.44</v>
      </c>
      <c r="L814">
        <v>96443.23</v>
      </c>
      <c r="M814">
        <v>1500</v>
      </c>
      <c r="N814">
        <v>-3.78E-2</v>
      </c>
      <c r="O814">
        <f t="shared" si="24"/>
        <v>0.1638</v>
      </c>
      <c r="P814">
        <f t="shared" si="25"/>
        <v>8.8700000000000001E-2</v>
      </c>
      <c r="Q814" t="s">
        <v>111</v>
      </c>
      <c r="R814">
        <v>2024</v>
      </c>
      <c r="S814" t="s">
        <v>25</v>
      </c>
    </row>
    <row r="815" spans="1:19" x14ac:dyDescent="0.3">
      <c r="A815" t="s">
        <v>889</v>
      </c>
      <c r="B815">
        <v>44811</v>
      </c>
      <c r="C815" t="s">
        <v>54</v>
      </c>
      <c r="D815" t="s">
        <v>55</v>
      </c>
      <c r="E815" t="s">
        <v>32</v>
      </c>
      <c r="F815" t="s">
        <v>23</v>
      </c>
      <c r="G815">
        <v>92035.500750000007</v>
      </c>
      <c r="H815">
        <v>56980</v>
      </c>
      <c r="I815">
        <v>35055.5</v>
      </c>
      <c r="J815">
        <v>100058.52</v>
      </c>
      <c r="K815">
        <v>98492.49</v>
      </c>
      <c r="L815">
        <v>113370.54</v>
      </c>
      <c r="M815">
        <v>1387</v>
      </c>
      <c r="N815">
        <v>0.13009999999999999</v>
      </c>
      <c r="O815">
        <f t="shared" si="24"/>
        <v>0.38090000000000002</v>
      </c>
      <c r="P815">
        <f t="shared" si="25"/>
        <v>0.86880000000000002</v>
      </c>
      <c r="Q815" t="s">
        <v>76</v>
      </c>
      <c r="R815">
        <v>2022</v>
      </c>
      <c r="S815" t="s">
        <v>82</v>
      </c>
    </row>
    <row r="816" spans="1:19" x14ac:dyDescent="0.3">
      <c r="A816" t="s">
        <v>890</v>
      </c>
      <c r="B816">
        <v>45093</v>
      </c>
      <c r="C816" t="s">
        <v>85</v>
      </c>
      <c r="D816" t="s">
        <v>86</v>
      </c>
      <c r="E816" t="s">
        <v>38</v>
      </c>
      <c r="F816" t="s">
        <v>23</v>
      </c>
      <c r="G816">
        <v>102388.86</v>
      </c>
      <c r="H816">
        <v>80764.070000000007</v>
      </c>
      <c r="I816">
        <v>21624.79</v>
      </c>
      <c r="J816">
        <v>17671.57</v>
      </c>
      <c r="K816">
        <v>12081.24</v>
      </c>
      <c r="L816">
        <v>198127.72</v>
      </c>
      <c r="M816">
        <v>1330</v>
      </c>
      <c r="N816">
        <v>-0.05</v>
      </c>
      <c r="O816">
        <f t="shared" si="24"/>
        <v>0.2112</v>
      </c>
      <c r="P816">
        <f t="shared" si="25"/>
        <v>6.0999999999999999E-2</v>
      </c>
      <c r="Q816" t="s">
        <v>39</v>
      </c>
      <c r="R816">
        <v>2023</v>
      </c>
      <c r="S816" t="s">
        <v>25</v>
      </c>
    </row>
    <row r="817" spans="1:19" x14ac:dyDescent="0.3">
      <c r="A817" t="s">
        <v>891</v>
      </c>
      <c r="B817">
        <v>44572</v>
      </c>
      <c r="C817" t="s">
        <v>102</v>
      </c>
      <c r="D817" t="s">
        <v>103</v>
      </c>
      <c r="E817" t="s">
        <v>22</v>
      </c>
      <c r="F817" t="s">
        <v>23</v>
      </c>
      <c r="G817">
        <v>26519.48</v>
      </c>
      <c r="H817">
        <v>21473.37</v>
      </c>
      <c r="I817">
        <v>5046.1099999999997</v>
      </c>
      <c r="J817">
        <v>86379.02</v>
      </c>
      <c r="K817">
        <v>40145.14</v>
      </c>
      <c r="L817">
        <v>203300.37</v>
      </c>
      <c r="M817">
        <v>233</v>
      </c>
      <c r="N817">
        <v>7.8299999999999995E-2</v>
      </c>
      <c r="O817">
        <f t="shared" si="24"/>
        <v>0.1903</v>
      </c>
      <c r="P817">
        <f t="shared" si="25"/>
        <v>0.19750000000000001</v>
      </c>
      <c r="Q817" t="s">
        <v>90</v>
      </c>
      <c r="R817">
        <v>2022</v>
      </c>
      <c r="S817" t="s">
        <v>25</v>
      </c>
    </row>
    <row r="818" spans="1:19" x14ac:dyDescent="0.3">
      <c r="A818" t="s">
        <v>892</v>
      </c>
      <c r="B818">
        <v>45717</v>
      </c>
      <c r="C818" t="s">
        <v>30</v>
      </c>
      <c r="D818" t="s">
        <v>31</v>
      </c>
      <c r="E818" t="s">
        <v>22</v>
      </c>
      <c r="F818" t="s">
        <v>23</v>
      </c>
      <c r="G818">
        <v>21621.14</v>
      </c>
      <c r="H818">
        <v>16010.97</v>
      </c>
      <c r="I818">
        <v>5610.17</v>
      </c>
      <c r="J818">
        <v>28260.37</v>
      </c>
      <c r="K818">
        <v>28069.74</v>
      </c>
      <c r="L818">
        <v>142833.35</v>
      </c>
      <c r="M818">
        <v>724</v>
      </c>
      <c r="N818">
        <v>0.1358</v>
      </c>
      <c r="O818">
        <f t="shared" si="24"/>
        <v>0.25950000000000001</v>
      </c>
      <c r="P818">
        <f t="shared" si="25"/>
        <v>0.19650000000000001</v>
      </c>
      <c r="Q818" t="s">
        <v>106</v>
      </c>
      <c r="R818">
        <v>2025</v>
      </c>
      <c r="S818" t="s">
        <v>25</v>
      </c>
    </row>
    <row r="819" spans="1:19" x14ac:dyDescent="0.3">
      <c r="A819" t="s">
        <v>893</v>
      </c>
      <c r="B819">
        <v>45057</v>
      </c>
      <c r="C819" t="s">
        <v>1282</v>
      </c>
      <c r="D819" t="s">
        <v>69</v>
      </c>
      <c r="E819" t="s">
        <v>32</v>
      </c>
      <c r="F819" t="s">
        <v>23</v>
      </c>
      <c r="G819">
        <v>129864.0909</v>
      </c>
      <c r="H819">
        <v>95360.24</v>
      </c>
      <c r="I819">
        <v>34503.85</v>
      </c>
      <c r="J819">
        <v>11318.36</v>
      </c>
      <c r="K819">
        <v>8149.5</v>
      </c>
      <c r="L819">
        <v>120432.74</v>
      </c>
      <c r="M819">
        <v>655</v>
      </c>
      <c r="N819">
        <v>-6.7999999999999996E-3</v>
      </c>
      <c r="O819">
        <f t="shared" si="24"/>
        <v>0.26569999999999999</v>
      </c>
      <c r="P819">
        <f t="shared" si="25"/>
        <v>6.7699999999999996E-2</v>
      </c>
      <c r="Q819" t="s">
        <v>39</v>
      </c>
      <c r="R819">
        <v>2023</v>
      </c>
      <c r="S819" t="s">
        <v>25</v>
      </c>
    </row>
    <row r="820" spans="1:19" x14ac:dyDescent="0.3">
      <c r="A820" t="s">
        <v>894</v>
      </c>
      <c r="B820">
        <v>45260</v>
      </c>
      <c r="C820" t="s">
        <v>48</v>
      </c>
      <c r="D820" t="s">
        <v>49</v>
      </c>
      <c r="E820" t="s">
        <v>51</v>
      </c>
      <c r="F820" t="s">
        <v>23</v>
      </c>
      <c r="G820">
        <v>182214.5</v>
      </c>
      <c r="H820">
        <v>119940.87</v>
      </c>
      <c r="I820">
        <v>62273.63</v>
      </c>
      <c r="J820">
        <v>0</v>
      </c>
      <c r="K820">
        <v>61023.42</v>
      </c>
      <c r="L820">
        <v>201940.3</v>
      </c>
      <c r="M820">
        <v>933</v>
      </c>
      <c r="N820">
        <v>-6.5000000000000002E-2</v>
      </c>
      <c r="O820">
        <f t="shared" si="24"/>
        <v>0.34179999999999999</v>
      </c>
      <c r="P820">
        <f t="shared" si="25"/>
        <v>0.30220000000000002</v>
      </c>
      <c r="Q820" t="s">
        <v>44</v>
      </c>
      <c r="R820">
        <v>2023</v>
      </c>
      <c r="S820" t="s">
        <v>40</v>
      </c>
    </row>
    <row r="821" spans="1:19" x14ac:dyDescent="0.3">
      <c r="A821" t="s">
        <v>895</v>
      </c>
      <c r="B821">
        <v>44618</v>
      </c>
      <c r="C821" t="s">
        <v>30</v>
      </c>
      <c r="D821" t="s">
        <v>31</v>
      </c>
      <c r="E821" t="s">
        <v>32</v>
      </c>
      <c r="F821" t="s">
        <v>23</v>
      </c>
      <c r="G821">
        <v>206866.68054999999</v>
      </c>
      <c r="H821">
        <v>141950.20000000001</v>
      </c>
      <c r="I821">
        <v>64916.480000000003</v>
      </c>
      <c r="J821">
        <v>38544.050000000003</v>
      </c>
      <c r="K821">
        <v>14321.4</v>
      </c>
      <c r="L821">
        <v>75668.289999999994</v>
      </c>
      <c r="M821">
        <v>756</v>
      </c>
      <c r="N821">
        <v>1.3599999999999999E-2</v>
      </c>
      <c r="O821">
        <f t="shared" si="24"/>
        <v>0.31380000000000002</v>
      </c>
      <c r="P821">
        <f t="shared" si="25"/>
        <v>0.1893</v>
      </c>
      <c r="Q821" t="s">
        <v>90</v>
      </c>
      <c r="R821">
        <v>2022</v>
      </c>
      <c r="S821" t="s">
        <v>25</v>
      </c>
    </row>
    <row r="822" spans="1:19" x14ac:dyDescent="0.3">
      <c r="A822" t="s">
        <v>897</v>
      </c>
      <c r="B822">
        <v>44807</v>
      </c>
      <c r="C822" t="s">
        <v>61</v>
      </c>
      <c r="D822" t="s">
        <v>74</v>
      </c>
      <c r="E822" t="s">
        <v>22</v>
      </c>
      <c r="F822" t="s">
        <v>23</v>
      </c>
      <c r="G822" t="s">
        <v>1281</v>
      </c>
      <c r="H822">
        <v>62532.77</v>
      </c>
      <c r="I822" t="s">
        <v>1281</v>
      </c>
      <c r="J822">
        <v>53489.77</v>
      </c>
      <c r="K822">
        <v>18984.310000000001</v>
      </c>
      <c r="L822">
        <v>85343.6</v>
      </c>
      <c r="M822">
        <v>724</v>
      </c>
      <c r="N822">
        <v>6.7000000000000002E-3</v>
      </c>
      <c r="O822" t="s">
        <v>1281</v>
      </c>
      <c r="P822">
        <f t="shared" si="25"/>
        <v>0.22239999999999999</v>
      </c>
      <c r="Q822" t="s">
        <v>76</v>
      </c>
      <c r="R822">
        <v>2022</v>
      </c>
      <c r="S822" t="s">
        <v>25</v>
      </c>
    </row>
    <row r="823" spans="1:19" x14ac:dyDescent="0.3">
      <c r="A823" t="s">
        <v>898</v>
      </c>
      <c r="B823">
        <v>45037</v>
      </c>
      <c r="C823" t="s">
        <v>61</v>
      </c>
      <c r="D823" t="s">
        <v>74</v>
      </c>
      <c r="E823" t="s">
        <v>32</v>
      </c>
      <c r="F823" t="s">
        <v>23</v>
      </c>
      <c r="G823">
        <v>85000.048250000007</v>
      </c>
      <c r="H823">
        <v>72510.960000000006</v>
      </c>
      <c r="I823">
        <v>12489.09</v>
      </c>
      <c r="J823">
        <v>58269.68</v>
      </c>
      <c r="K823">
        <v>19646.22</v>
      </c>
      <c r="L823">
        <v>129857.31</v>
      </c>
      <c r="M823">
        <v>1243</v>
      </c>
      <c r="N823">
        <v>-0.123</v>
      </c>
      <c r="O823">
        <f t="shared" si="24"/>
        <v>0.1469</v>
      </c>
      <c r="P823">
        <f t="shared" si="25"/>
        <v>0.15129999999999999</v>
      </c>
      <c r="Q823" t="s">
        <v>39</v>
      </c>
      <c r="R823">
        <v>2023</v>
      </c>
      <c r="S823" t="s">
        <v>25</v>
      </c>
    </row>
    <row r="824" spans="1:19" x14ac:dyDescent="0.3">
      <c r="A824" t="s">
        <v>899</v>
      </c>
      <c r="B824">
        <v>45431</v>
      </c>
      <c r="C824" t="s">
        <v>48</v>
      </c>
      <c r="D824" t="s">
        <v>49</v>
      </c>
      <c r="E824" t="s">
        <v>32</v>
      </c>
      <c r="F824" t="s">
        <v>23</v>
      </c>
      <c r="G824">
        <v>43312.2814</v>
      </c>
      <c r="H824">
        <v>33133.35</v>
      </c>
      <c r="I824">
        <v>10178.94</v>
      </c>
      <c r="J824">
        <v>78341.83</v>
      </c>
      <c r="K824">
        <v>61980.959999999999</v>
      </c>
      <c r="L824">
        <v>212163.08</v>
      </c>
      <c r="M824">
        <v>1086</v>
      </c>
      <c r="N824">
        <v>-2.1600000000000001E-2</v>
      </c>
      <c r="O824">
        <f t="shared" si="24"/>
        <v>0.23499999999999999</v>
      </c>
      <c r="P824">
        <f t="shared" si="25"/>
        <v>0.29210000000000003</v>
      </c>
      <c r="Q824" t="s">
        <v>111</v>
      </c>
      <c r="R824">
        <v>2024</v>
      </c>
      <c r="S824" t="s">
        <v>25</v>
      </c>
    </row>
    <row r="825" spans="1:19" x14ac:dyDescent="0.3">
      <c r="A825" t="s">
        <v>900</v>
      </c>
      <c r="B825">
        <v>45580</v>
      </c>
      <c r="C825" t="s">
        <v>85</v>
      </c>
      <c r="D825" t="s">
        <v>86</v>
      </c>
      <c r="E825" t="s">
        <v>32</v>
      </c>
      <c r="F825" t="s">
        <v>23</v>
      </c>
      <c r="G825">
        <v>61715.832050000005</v>
      </c>
      <c r="H825">
        <v>45752.77</v>
      </c>
      <c r="I825">
        <v>15963.06</v>
      </c>
      <c r="J825">
        <v>109925.08</v>
      </c>
      <c r="K825">
        <v>91905.5</v>
      </c>
      <c r="L825">
        <v>149347.98000000001</v>
      </c>
      <c r="M825">
        <v>1222</v>
      </c>
      <c r="N825">
        <v>6.5600000000000006E-2</v>
      </c>
      <c r="O825">
        <f t="shared" si="24"/>
        <v>0.25869999999999999</v>
      </c>
      <c r="P825">
        <f t="shared" si="25"/>
        <v>0.61539999999999995</v>
      </c>
      <c r="Q825" t="s">
        <v>52</v>
      </c>
      <c r="R825">
        <v>2024</v>
      </c>
      <c r="S825" t="s">
        <v>82</v>
      </c>
    </row>
    <row r="826" spans="1:19" x14ac:dyDescent="0.3">
      <c r="A826" t="s">
        <v>901</v>
      </c>
      <c r="B826">
        <v>45416</v>
      </c>
      <c r="C826" t="s">
        <v>48</v>
      </c>
      <c r="D826" t="s">
        <v>49</v>
      </c>
      <c r="E826" t="s">
        <v>38</v>
      </c>
      <c r="F826" t="s">
        <v>23</v>
      </c>
      <c r="G826">
        <v>122199.18</v>
      </c>
      <c r="H826">
        <v>101017.79</v>
      </c>
      <c r="I826">
        <v>21181.39</v>
      </c>
      <c r="J826">
        <v>52120.2</v>
      </c>
      <c r="K826">
        <v>101283.79</v>
      </c>
      <c r="L826">
        <v>95892.15</v>
      </c>
      <c r="M826">
        <v>1414</v>
      </c>
      <c r="N826">
        <v>3.6700000000000003E-2</v>
      </c>
      <c r="O826">
        <f t="shared" si="24"/>
        <v>0.17330000000000001</v>
      </c>
      <c r="P826">
        <f t="shared" si="25"/>
        <v>1.0562</v>
      </c>
      <c r="Q826" t="s">
        <v>111</v>
      </c>
      <c r="R826">
        <v>2024</v>
      </c>
      <c r="S826" t="s">
        <v>82</v>
      </c>
    </row>
    <row r="827" spans="1:19" x14ac:dyDescent="0.3">
      <c r="A827" t="s">
        <v>902</v>
      </c>
      <c r="B827">
        <v>45201</v>
      </c>
      <c r="C827" t="s">
        <v>36</v>
      </c>
      <c r="D827" t="s">
        <v>37</v>
      </c>
      <c r="E827" t="s">
        <v>38</v>
      </c>
      <c r="F827" t="s">
        <v>23</v>
      </c>
      <c r="G827">
        <v>137856.67000000001</v>
      </c>
      <c r="H827">
        <v>81933.070000000007</v>
      </c>
      <c r="I827">
        <v>55923.6</v>
      </c>
      <c r="J827">
        <v>39545.75</v>
      </c>
      <c r="K827">
        <v>53702.25</v>
      </c>
      <c r="L827">
        <v>94974.93</v>
      </c>
      <c r="M827">
        <v>932</v>
      </c>
      <c r="N827">
        <v>0.1118</v>
      </c>
      <c r="O827">
        <f t="shared" si="24"/>
        <v>0.40570000000000001</v>
      </c>
      <c r="P827">
        <f t="shared" si="25"/>
        <v>0.56540000000000001</v>
      </c>
      <c r="Q827" t="s">
        <v>44</v>
      </c>
      <c r="R827">
        <v>2023</v>
      </c>
      <c r="S827" t="s">
        <v>40</v>
      </c>
    </row>
    <row r="828" spans="1:19" x14ac:dyDescent="0.3">
      <c r="A828" t="s">
        <v>903</v>
      </c>
      <c r="B828">
        <v>45936</v>
      </c>
      <c r="C828" t="s">
        <v>1282</v>
      </c>
      <c r="D828" t="s">
        <v>69</v>
      </c>
      <c r="E828" t="s">
        <v>32</v>
      </c>
      <c r="F828" t="s">
        <v>23</v>
      </c>
      <c r="G828">
        <v>181136.30924999999</v>
      </c>
      <c r="H828">
        <v>108700.8</v>
      </c>
      <c r="I828">
        <v>72435.509999999995</v>
      </c>
      <c r="J828">
        <v>19149.88</v>
      </c>
      <c r="K828">
        <v>16791.36</v>
      </c>
      <c r="L828">
        <v>68231.55</v>
      </c>
      <c r="M828">
        <v>695</v>
      </c>
      <c r="N828">
        <v>5.7799999999999997E-2</v>
      </c>
      <c r="O828">
        <f t="shared" si="24"/>
        <v>0.39989999999999998</v>
      </c>
      <c r="P828">
        <f t="shared" si="25"/>
        <v>0.24610000000000001</v>
      </c>
      <c r="Q828" t="s">
        <v>66</v>
      </c>
      <c r="R828">
        <v>2025</v>
      </c>
      <c r="S828" t="s">
        <v>25</v>
      </c>
    </row>
    <row r="829" spans="1:19" x14ac:dyDescent="0.3">
      <c r="A829" t="s">
        <v>904</v>
      </c>
      <c r="B829">
        <v>45678</v>
      </c>
      <c r="C829" t="s">
        <v>36</v>
      </c>
      <c r="D829" t="s">
        <v>37</v>
      </c>
      <c r="E829" t="s">
        <v>51</v>
      </c>
      <c r="F829" t="s">
        <v>23</v>
      </c>
      <c r="G829">
        <v>48947.23</v>
      </c>
      <c r="H829" t="s">
        <v>1281</v>
      </c>
      <c r="I829" t="s">
        <v>1281</v>
      </c>
      <c r="J829">
        <v>54251.99</v>
      </c>
      <c r="K829">
        <v>60842.2</v>
      </c>
      <c r="L829">
        <v>326965.99</v>
      </c>
      <c r="M829">
        <v>1928</v>
      </c>
      <c r="N829">
        <v>-7.6700000000000004E-2</v>
      </c>
      <c r="O829" t="s">
        <v>1281</v>
      </c>
      <c r="P829">
        <f t="shared" si="25"/>
        <v>0.18609999999999999</v>
      </c>
      <c r="Q829" t="s">
        <v>106</v>
      </c>
      <c r="R829">
        <v>2025</v>
      </c>
      <c r="S829" t="s">
        <v>25</v>
      </c>
    </row>
    <row r="830" spans="1:19" x14ac:dyDescent="0.3">
      <c r="A830" t="s">
        <v>905</v>
      </c>
      <c r="B830">
        <v>44814</v>
      </c>
      <c r="C830" t="s">
        <v>20</v>
      </c>
      <c r="D830" t="s">
        <v>21</v>
      </c>
      <c r="E830" t="s">
        <v>22</v>
      </c>
      <c r="F830" t="s">
        <v>23</v>
      </c>
      <c r="G830">
        <v>284086.74</v>
      </c>
      <c r="H830">
        <v>250330.04</v>
      </c>
      <c r="I830">
        <v>33756.699999999997</v>
      </c>
      <c r="J830">
        <v>24381.29</v>
      </c>
      <c r="K830">
        <v>38565.93</v>
      </c>
      <c r="L830">
        <v>79747.850000000006</v>
      </c>
      <c r="M830">
        <v>1996</v>
      </c>
      <c r="N830">
        <v>-0.1009</v>
      </c>
      <c r="O830">
        <f t="shared" si="24"/>
        <v>0.1188</v>
      </c>
      <c r="P830">
        <f t="shared" si="25"/>
        <v>0.48359999999999997</v>
      </c>
      <c r="Q830" t="s">
        <v>76</v>
      </c>
      <c r="R830">
        <v>2022</v>
      </c>
      <c r="S830" t="s">
        <v>40</v>
      </c>
    </row>
    <row r="831" spans="1:19" x14ac:dyDescent="0.3">
      <c r="A831" t="s">
        <v>906</v>
      </c>
      <c r="B831">
        <v>45282</v>
      </c>
      <c r="C831" t="s">
        <v>102</v>
      </c>
      <c r="D831" t="s">
        <v>103</v>
      </c>
      <c r="E831" t="s">
        <v>51</v>
      </c>
      <c r="F831" t="s">
        <v>23</v>
      </c>
      <c r="G831">
        <v>124073.85</v>
      </c>
      <c r="H831">
        <v>92149.87</v>
      </c>
      <c r="I831">
        <v>31923.98</v>
      </c>
      <c r="J831">
        <v>18202.28</v>
      </c>
      <c r="K831">
        <v>54249.55</v>
      </c>
      <c r="L831">
        <v>52741.22</v>
      </c>
      <c r="M831">
        <v>2188</v>
      </c>
      <c r="N831">
        <v>5.8200000000000002E-2</v>
      </c>
      <c r="O831">
        <f t="shared" si="24"/>
        <v>0.25729999999999997</v>
      </c>
      <c r="P831">
        <f t="shared" si="25"/>
        <v>1.0286</v>
      </c>
      <c r="Q831" t="s">
        <v>44</v>
      </c>
      <c r="R831">
        <v>2023</v>
      </c>
      <c r="S831" t="s">
        <v>82</v>
      </c>
    </row>
    <row r="832" spans="1:19" x14ac:dyDescent="0.3">
      <c r="A832" t="s">
        <v>907</v>
      </c>
      <c r="B832">
        <v>45612</v>
      </c>
      <c r="C832" t="s">
        <v>1282</v>
      </c>
      <c r="D832" t="s">
        <v>69</v>
      </c>
      <c r="E832" t="s">
        <v>22</v>
      </c>
      <c r="F832" t="s">
        <v>23</v>
      </c>
      <c r="G832">
        <v>29868.97</v>
      </c>
      <c r="H832">
        <v>18620.25</v>
      </c>
      <c r="I832">
        <v>11248.72</v>
      </c>
      <c r="J832">
        <v>108022.46</v>
      </c>
      <c r="K832">
        <v>27206.3</v>
      </c>
      <c r="L832">
        <v>199407.85</v>
      </c>
      <c r="M832">
        <v>688</v>
      </c>
      <c r="N832">
        <v>0.12659999999999999</v>
      </c>
      <c r="O832">
        <f t="shared" si="24"/>
        <v>0.37659999999999999</v>
      </c>
      <c r="P832">
        <f t="shared" si="25"/>
        <v>0.13639999999999999</v>
      </c>
      <c r="Q832" t="s">
        <v>52</v>
      </c>
      <c r="R832">
        <v>2024</v>
      </c>
      <c r="S832" t="s">
        <v>25</v>
      </c>
    </row>
    <row r="833" spans="1:19" x14ac:dyDescent="0.3">
      <c r="A833" t="s">
        <v>908</v>
      </c>
      <c r="B833">
        <v>45331</v>
      </c>
      <c r="C833" t="s">
        <v>78</v>
      </c>
      <c r="D833" t="s">
        <v>79</v>
      </c>
      <c r="E833" t="s">
        <v>38</v>
      </c>
      <c r="F833" t="s">
        <v>23</v>
      </c>
      <c r="G833">
        <v>273053.09000000003</v>
      </c>
      <c r="H833">
        <v>200406.48</v>
      </c>
      <c r="I833">
        <v>72646.61</v>
      </c>
      <c r="J833">
        <v>138960.16</v>
      </c>
      <c r="K833">
        <v>26645.22</v>
      </c>
      <c r="L833">
        <v>164793.57999999999</v>
      </c>
      <c r="M833">
        <v>874</v>
      </c>
      <c r="N833">
        <v>6.1999999999999998E-3</v>
      </c>
      <c r="O833">
        <f t="shared" si="24"/>
        <v>0.2661</v>
      </c>
      <c r="P833">
        <f t="shared" si="25"/>
        <v>0.16170000000000001</v>
      </c>
      <c r="Q833" t="s">
        <v>80</v>
      </c>
      <c r="R833">
        <v>2024</v>
      </c>
      <c r="S833" t="s">
        <v>25</v>
      </c>
    </row>
    <row r="834" spans="1:19" x14ac:dyDescent="0.3">
      <c r="A834" t="s">
        <v>909</v>
      </c>
      <c r="B834">
        <v>44778</v>
      </c>
      <c r="C834" t="s">
        <v>61</v>
      </c>
      <c r="D834" t="s">
        <v>74</v>
      </c>
      <c r="E834" t="s">
        <v>38</v>
      </c>
      <c r="F834" t="s">
        <v>23</v>
      </c>
      <c r="G834">
        <v>37219.11</v>
      </c>
      <c r="H834" t="s">
        <v>1281</v>
      </c>
      <c r="I834" t="s">
        <v>1281</v>
      </c>
      <c r="J834">
        <v>107074.88</v>
      </c>
      <c r="K834">
        <v>73833.929999999993</v>
      </c>
      <c r="L834">
        <v>204321.11</v>
      </c>
      <c r="M834">
        <v>1076</v>
      </c>
      <c r="N834">
        <v>1.2999999999999999E-3</v>
      </c>
      <c r="O834" t="s">
        <v>1281</v>
      </c>
      <c r="P834">
        <f t="shared" si="25"/>
        <v>0.3614</v>
      </c>
      <c r="Q834" t="s">
        <v>76</v>
      </c>
      <c r="R834">
        <v>2022</v>
      </c>
      <c r="S834" t="s">
        <v>40</v>
      </c>
    </row>
    <row r="835" spans="1:19" x14ac:dyDescent="0.3">
      <c r="A835" t="s">
        <v>910</v>
      </c>
      <c r="B835">
        <v>45692</v>
      </c>
      <c r="C835" t="s">
        <v>61</v>
      </c>
      <c r="D835" t="s">
        <v>74</v>
      </c>
      <c r="E835" t="s">
        <v>22</v>
      </c>
      <c r="F835" t="s">
        <v>23</v>
      </c>
      <c r="G835">
        <v>41171.230000000003</v>
      </c>
      <c r="H835">
        <v>26694.65</v>
      </c>
      <c r="I835">
        <v>14476.58</v>
      </c>
      <c r="J835">
        <v>25470.1</v>
      </c>
      <c r="K835">
        <v>18609.009999999998</v>
      </c>
      <c r="L835">
        <v>82693.06</v>
      </c>
      <c r="M835">
        <v>1172</v>
      </c>
      <c r="N835">
        <v>0.10879999999999999</v>
      </c>
      <c r="O835">
        <f t="shared" ref="O835:O898" si="26">(ROUND(I835/G835,4))</f>
        <v>0.35160000000000002</v>
      </c>
      <c r="P835">
        <f t="shared" ref="P835:P898" si="27">ROUND(K835/L835,4)</f>
        <v>0.22500000000000001</v>
      </c>
      <c r="Q835" t="s">
        <v>106</v>
      </c>
      <c r="R835">
        <v>2025</v>
      </c>
      <c r="S835" t="s">
        <v>25</v>
      </c>
    </row>
    <row r="836" spans="1:19" x14ac:dyDescent="0.3">
      <c r="A836" t="s">
        <v>911</v>
      </c>
      <c r="B836">
        <v>45472</v>
      </c>
      <c r="C836" t="s">
        <v>42</v>
      </c>
      <c r="D836" t="s">
        <v>43</v>
      </c>
      <c r="E836" t="s">
        <v>38</v>
      </c>
      <c r="F836" t="s">
        <v>23</v>
      </c>
      <c r="G836">
        <v>88408.38</v>
      </c>
      <c r="H836">
        <v>48813.37</v>
      </c>
      <c r="I836">
        <v>39595.01</v>
      </c>
      <c r="J836">
        <v>86191.360000000001</v>
      </c>
      <c r="K836">
        <v>5802.95</v>
      </c>
      <c r="L836">
        <v>106055.18</v>
      </c>
      <c r="M836">
        <v>1044</v>
      </c>
      <c r="N836">
        <v>-4.53E-2</v>
      </c>
      <c r="O836">
        <f t="shared" si="26"/>
        <v>0.44790000000000002</v>
      </c>
      <c r="P836">
        <f t="shared" si="27"/>
        <v>5.4699999999999999E-2</v>
      </c>
      <c r="Q836" t="s">
        <v>111</v>
      </c>
      <c r="R836">
        <v>2024</v>
      </c>
      <c r="S836" t="s">
        <v>25</v>
      </c>
    </row>
    <row r="837" spans="1:19" x14ac:dyDescent="0.3">
      <c r="A837" t="s">
        <v>912</v>
      </c>
      <c r="B837">
        <v>44681</v>
      </c>
      <c r="C837" t="s">
        <v>1282</v>
      </c>
      <c r="D837" t="s">
        <v>69</v>
      </c>
      <c r="E837" t="s">
        <v>32</v>
      </c>
      <c r="F837" t="s">
        <v>23</v>
      </c>
      <c r="G837">
        <v>133634.5759</v>
      </c>
      <c r="H837">
        <v>120255.48</v>
      </c>
      <c r="I837">
        <v>13379.1</v>
      </c>
      <c r="J837">
        <v>134489.97</v>
      </c>
      <c r="K837">
        <v>165965.25</v>
      </c>
      <c r="L837">
        <v>162158.35</v>
      </c>
      <c r="M837">
        <v>1260</v>
      </c>
      <c r="N837">
        <v>6.8999999999999999E-3</v>
      </c>
      <c r="O837">
        <f t="shared" si="26"/>
        <v>0.10009999999999999</v>
      </c>
      <c r="P837">
        <f t="shared" si="27"/>
        <v>1.0235000000000001</v>
      </c>
      <c r="Q837" t="s">
        <v>58</v>
      </c>
      <c r="R837">
        <v>2022</v>
      </c>
      <c r="S837" t="s">
        <v>82</v>
      </c>
    </row>
    <row r="838" spans="1:19" x14ac:dyDescent="0.3">
      <c r="A838" t="s">
        <v>913</v>
      </c>
      <c r="B838">
        <v>45967</v>
      </c>
      <c r="C838" t="s">
        <v>27</v>
      </c>
      <c r="D838" t="s">
        <v>28</v>
      </c>
      <c r="E838" t="s">
        <v>38</v>
      </c>
      <c r="F838" t="s">
        <v>23</v>
      </c>
      <c r="G838">
        <v>64548.38</v>
      </c>
      <c r="H838">
        <v>41271.360000000001</v>
      </c>
      <c r="I838">
        <v>23277.02</v>
      </c>
      <c r="J838">
        <v>52073</v>
      </c>
      <c r="K838">
        <v>82448.509999999995</v>
      </c>
      <c r="L838">
        <v>124801.95</v>
      </c>
      <c r="M838">
        <v>424</v>
      </c>
      <c r="N838">
        <v>7.6200000000000004E-2</v>
      </c>
      <c r="O838">
        <f t="shared" si="26"/>
        <v>0.36059999999999998</v>
      </c>
      <c r="P838">
        <f t="shared" si="27"/>
        <v>0.66059999999999997</v>
      </c>
      <c r="Q838" t="s">
        <v>66</v>
      </c>
      <c r="R838">
        <v>2025</v>
      </c>
      <c r="S838" t="s">
        <v>82</v>
      </c>
    </row>
    <row r="839" spans="1:19" x14ac:dyDescent="0.3">
      <c r="A839" t="s">
        <v>914</v>
      </c>
      <c r="B839">
        <v>44729</v>
      </c>
      <c r="C839" t="s">
        <v>30</v>
      </c>
      <c r="D839" t="s">
        <v>31</v>
      </c>
      <c r="E839" t="s">
        <v>51</v>
      </c>
      <c r="F839" t="s">
        <v>23</v>
      </c>
      <c r="G839">
        <v>105464.51</v>
      </c>
      <c r="H839">
        <v>78792.88</v>
      </c>
      <c r="I839">
        <v>26671.63</v>
      </c>
      <c r="J839">
        <v>76848.72</v>
      </c>
      <c r="K839">
        <v>7808.39</v>
      </c>
      <c r="L839">
        <v>109791.73</v>
      </c>
      <c r="M839">
        <v>822</v>
      </c>
      <c r="N839">
        <v>0.1069</v>
      </c>
      <c r="O839">
        <f t="shared" si="26"/>
        <v>0.25290000000000001</v>
      </c>
      <c r="P839">
        <f t="shared" si="27"/>
        <v>7.1099999999999997E-2</v>
      </c>
      <c r="Q839" t="s">
        <v>58</v>
      </c>
      <c r="R839">
        <v>2022</v>
      </c>
      <c r="S839" t="s">
        <v>25</v>
      </c>
    </row>
    <row r="840" spans="1:19" x14ac:dyDescent="0.3">
      <c r="A840" t="s">
        <v>915</v>
      </c>
      <c r="B840">
        <v>45841</v>
      </c>
      <c r="C840" t="s">
        <v>54</v>
      </c>
      <c r="D840" t="s">
        <v>55</v>
      </c>
      <c r="E840" t="s">
        <v>32</v>
      </c>
      <c r="F840" t="s">
        <v>23</v>
      </c>
      <c r="G840">
        <v>213007.75065</v>
      </c>
      <c r="H840">
        <v>154664.63</v>
      </c>
      <c r="I840">
        <v>58343.12</v>
      </c>
      <c r="J840">
        <v>22986.52</v>
      </c>
      <c r="K840">
        <v>118738.81</v>
      </c>
      <c r="L840">
        <v>76504.73</v>
      </c>
      <c r="M840">
        <v>865</v>
      </c>
      <c r="N840">
        <v>8.3000000000000001E-3</v>
      </c>
      <c r="O840">
        <f t="shared" si="26"/>
        <v>0.27389999999999998</v>
      </c>
      <c r="P840">
        <f t="shared" si="27"/>
        <v>1.552</v>
      </c>
      <c r="Q840" t="s">
        <v>24</v>
      </c>
      <c r="R840">
        <v>2025</v>
      </c>
      <c r="S840" t="s">
        <v>82</v>
      </c>
    </row>
    <row r="841" spans="1:19" x14ac:dyDescent="0.3">
      <c r="A841" t="s">
        <v>916</v>
      </c>
      <c r="B841">
        <v>45228</v>
      </c>
      <c r="C841" t="s">
        <v>54</v>
      </c>
      <c r="D841" t="s">
        <v>55</v>
      </c>
      <c r="E841" t="s">
        <v>38</v>
      </c>
      <c r="F841" t="s">
        <v>23</v>
      </c>
      <c r="G841">
        <v>36072.300000000003</v>
      </c>
      <c r="H841" t="s">
        <v>1281</v>
      </c>
      <c r="I841" t="s">
        <v>1281</v>
      </c>
      <c r="J841">
        <v>78812.77</v>
      </c>
      <c r="K841">
        <v>63587.82</v>
      </c>
      <c r="L841">
        <v>210141.3</v>
      </c>
      <c r="M841">
        <v>1324</v>
      </c>
      <c r="N841">
        <v>8.8000000000000005E-3</v>
      </c>
      <c r="O841" t="s">
        <v>1281</v>
      </c>
      <c r="P841">
        <f t="shared" si="27"/>
        <v>0.30259999999999998</v>
      </c>
      <c r="Q841" t="s">
        <v>44</v>
      </c>
      <c r="R841">
        <v>2023</v>
      </c>
      <c r="S841" t="s">
        <v>40</v>
      </c>
    </row>
    <row r="842" spans="1:19" x14ac:dyDescent="0.3">
      <c r="A842" t="s">
        <v>917</v>
      </c>
      <c r="B842">
        <v>45110</v>
      </c>
      <c r="C842" t="s">
        <v>36</v>
      </c>
      <c r="D842" t="s">
        <v>37</v>
      </c>
      <c r="E842" t="s">
        <v>38</v>
      </c>
      <c r="F842" t="s">
        <v>23</v>
      </c>
      <c r="G842">
        <v>48686.38</v>
      </c>
      <c r="H842">
        <v>27540.12</v>
      </c>
      <c r="I842">
        <v>21146.26</v>
      </c>
      <c r="J842">
        <v>16567.89</v>
      </c>
      <c r="K842">
        <v>9317.0499999999993</v>
      </c>
      <c r="L842">
        <v>118077.69</v>
      </c>
      <c r="M842">
        <v>1426</v>
      </c>
      <c r="N842">
        <v>-4.58E-2</v>
      </c>
      <c r="O842">
        <f t="shared" si="26"/>
        <v>0.43430000000000002</v>
      </c>
      <c r="P842">
        <f t="shared" si="27"/>
        <v>7.8899999999999998E-2</v>
      </c>
      <c r="Q842" t="s">
        <v>56</v>
      </c>
      <c r="R842">
        <v>2023</v>
      </c>
      <c r="S842" t="s">
        <v>25</v>
      </c>
    </row>
    <row r="843" spans="1:19" x14ac:dyDescent="0.3">
      <c r="A843" t="s">
        <v>918</v>
      </c>
      <c r="B843">
        <v>44921</v>
      </c>
      <c r="C843" t="s">
        <v>30</v>
      </c>
      <c r="D843" t="s">
        <v>31</v>
      </c>
      <c r="E843" t="s">
        <v>22</v>
      </c>
      <c r="F843" t="s">
        <v>23</v>
      </c>
      <c r="G843">
        <v>67027.45</v>
      </c>
      <c r="H843">
        <v>49437.05</v>
      </c>
      <c r="I843">
        <v>17590.400000000001</v>
      </c>
      <c r="J843">
        <v>15499.72</v>
      </c>
      <c r="K843">
        <v>60919.47</v>
      </c>
      <c r="L843">
        <v>191330.27</v>
      </c>
      <c r="M843">
        <v>559</v>
      </c>
      <c r="N843">
        <v>-6.2899999999999998E-2</v>
      </c>
      <c r="O843">
        <f t="shared" si="26"/>
        <v>0.26240000000000002</v>
      </c>
      <c r="P843">
        <f t="shared" si="27"/>
        <v>0.31840000000000002</v>
      </c>
      <c r="Q843" t="s">
        <v>46</v>
      </c>
      <c r="R843">
        <v>2022</v>
      </c>
      <c r="S843" t="s">
        <v>40</v>
      </c>
    </row>
    <row r="844" spans="1:19" x14ac:dyDescent="0.3">
      <c r="A844" t="s">
        <v>919</v>
      </c>
      <c r="B844">
        <v>44630</v>
      </c>
      <c r="C844" t="s">
        <v>61</v>
      </c>
      <c r="D844" t="s">
        <v>74</v>
      </c>
      <c r="E844" t="s">
        <v>38</v>
      </c>
      <c r="F844" t="s">
        <v>23</v>
      </c>
      <c r="G844">
        <v>44245.9</v>
      </c>
      <c r="H844">
        <v>25589.439999999999</v>
      </c>
      <c r="I844">
        <v>18656.46</v>
      </c>
      <c r="J844">
        <v>54628.6</v>
      </c>
      <c r="K844">
        <v>9246.61</v>
      </c>
      <c r="L844">
        <v>169560.29</v>
      </c>
      <c r="M844">
        <v>1618</v>
      </c>
      <c r="N844">
        <v>1.4E-2</v>
      </c>
      <c r="O844">
        <f t="shared" si="26"/>
        <v>0.42170000000000002</v>
      </c>
      <c r="P844">
        <f t="shared" si="27"/>
        <v>5.45E-2</v>
      </c>
      <c r="Q844" t="s">
        <v>90</v>
      </c>
      <c r="R844">
        <v>2022</v>
      </c>
      <c r="S844" t="s">
        <v>25</v>
      </c>
    </row>
    <row r="845" spans="1:19" x14ac:dyDescent="0.3">
      <c r="A845" t="s">
        <v>920</v>
      </c>
      <c r="B845">
        <v>44794</v>
      </c>
      <c r="C845" t="s">
        <v>78</v>
      </c>
      <c r="D845" t="s">
        <v>79</v>
      </c>
      <c r="E845" t="s">
        <v>51</v>
      </c>
      <c r="F845" t="s">
        <v>23</v>
      </c>
      <c r="G845">
        <v>115436.94</v>
      </c>
      <c r="H845">
        <v>98526.399999999994</v>
      </c>
      <c r="I845">
        <v>16910.54</v>
      </c>
      <c r="J845">
        <v>91977.81</v>
      </c>
      <c r="K845">
        <v>8950.75</v>
      </c>
      <c r="L845">
        <v>133950.14000000001</v>
      </c>
      <c r="M845">
        <v>3375</v>
      </c>
      <c r="N845">
        <v>6.4299999999999996E-2</v>
      </c>
      <c r="O845">
        <f t="shared" si="26"/>
        <v>0.14649999999999999</v>
      </c>
      <c r="P845">
        <f t="shared" si="27"/>
        <v>6.6799999999999998E-2</v>
      </c>
      <c r="Q845" t="s">
        <v>76</v>
      </c>
      <c r="R845">
        <v>2022</v>
      </c>
      <c r="S845" t="s">
        <v>25</v>
      </c>
    </row>
    <row r="846" spans="1:19" x14ac:dyDescent="0.3">
      <c r="A846" t="s">
        <v>921</v>
      </c>
      <c r="B846">
        <v>45408</v>
      </c>
      <c r="C846" t="s">
        <v>1282</v>
      </c>
      <c r="D846" t="s">
        <v>69</v>
      </c>
      <c r="E846" t="s">
        <v>32</v>
      </c>
      <c r="F846" t="s">
        <v>23</v>
      </c>
      <c r="G846">
        <v>174413.49900000001</v>
      </c>
      <c r="H846">
        <v>97078.29</v>
      </c>
      <c r="I846">
        <v>77335.210000000006</v>
      </c>
      <c r="J846">
        <v>104842.46</v>
      </c>
      <c r="K846">
        <v>15395.46</v>
      </c>
      <c r="L846">
        <v>178005.35</v>
      </c>
      <c r="M846">
        <v>622</v>
      </c>
      <c r="N846">
        <v>-8.2600000000000007E-2</v>
      </c>
      <c r="O846">
        <f t="shared" si="26"/>
        <v>0.44340000000000002</v>
      </c>
      <c r="P846">
        <f t="shared" si="27"/>
        <v>8.6499999999999994E-2</v>
      </c>
      <c r="Q846" t="s">
        <v>111</v>
      </c>
      <c r="R846">
        <v>2024</v>
      </c>
      <c r="S846" t="s">
        <v>25</v>
      </c>
    </row>
    <row r="847" spans="1:19" x14ac:dyDescent="0.3">
      <c r="A847" t="s">
        <v>922</v>
      </c>
      <c r="B847">
        <v>44657</v>
      </c>
      <c r="C847" t="s">
        <v>102</v>
      </c>
      <c r="D847" t="s">
        <v>103</v>
      </c>
      <c r="E847" t="s">
        <v>22</v>
      </c>
      <c r="F847" t="s">
        <v>23</v>
      </c>
      <c r="G847">
        <v>71312.69</v>
      </c>
      <c r="H847">
        <v>62459.03</v>
      </c>
      <c r="I847">
        <v>8853.66</v>
      </c>
      <c r="J847">
        <v>99998.84</v>
      </c>
      <c r="K847">
        <v>8050.62</v>
      </c>
      <c r="L847">
        <v>136223.59</v>
      </c>
      <c r="M847">
        <v>1617</v>
      </c>
      <c r="N847">
        <v>-6.0299999999999999E-2</v>
      </c>
      <c r="O847">
        <f t="shared" si="26"/>
        <v>0.1242</v>
      </c>
      <c r="P847">
        <f t="shared" si="27"/>
        <v>5.91E-2</v>
      </c>
      <c r="Q847" t="s">
        <v>58</v>
      </c>
      <c r="R847">
        <v>2022</v>
      </c>
      <c r="S847" t="s">
        <v>25</v>
      </c>
    </row>
    <row r="848" spans="1:19" x14ac:dyDescent="0.3">
      <c r="A848" t="s">
        <v>923</v>
      </c>
      <c r="B848">
        <v>45765</v>
      </c>
      <c r="C848" t="s">
        <v>48</v>
      </c>
      <c r="D848" t="s">
        <v>49</v>
      </c>
      <c r="E848" t="s">
        <v>32</v>
      </c>
      <c r="F848" t="s">
        <v>23</v>
      </c>
      <c r="G848">
        <v>898701.38580000005</v>
      </c>
      <c r="H848">
        <v>62963.65</v>
      </c>
      <c r="I848">
        <v>835737.73</v>
      </c>
      <c r="J848">
        <v>218429.93</v>
      </c>
      <c r="K848">
        <v>218206.13</v>
      </c>
      <c r="L848">
        <v>316111.76</v>
      </c>
      <c r="M848">
        <v>1202</v>
      </c>
      <c r="N848">
        <v>-9.4899999999999998E-2</v>
      </c>
      <c r="O848">
        <f t="shared" si="26"/>
        <v>0.92989999999999995</v>
      </c>
      <c r="P848">
        <f t="shared" si="27"/>
        <v>0.69030000000000002</v>
      </c>
      <c r="Q848" t="s">
        <v>34</v>
      </c>
      <c r="R848">
        <v>2025</v>
      </c>
      <c r="S848" t="s">
        <v>82</v>
      </c>
    </row>
    <row r="849" spans="1:19" x14ac:dyDescent="0.3">
      <c r="A849" t="s">
        <v>924</v>
      </c>
      <c r="B849">
        <v>45804</v>
      </c>
      <c r="C849" t="s">
        <v>1282</v>
      </c>
      <c r="D849" t="s">
        <v>69</v>
      </c>
      <c r="E849" t="s">
        <v>51</v>
      </c>
      <c r="F849" t="s">
        <v>23</v>
      </c>
      <c r="G849">
        <v>58788.82</v>
      </c>
      <c r="H849">
        <v>52010.7</v>
      </c>
      <c r="I849">
        <v>6778.12</v>
      </c>
      <c r="J849">
        <v>42236.5</v>
      </c>
      <c r="K849">
        <v>10590.79</v>
      </c>
      <c r="L849">
        <v>61516.12</v>
      </c>
      <c r="M849">
        <v>925</v>
      </c>
      <c r="N849">
        <v>7.7700000000000005E-2</v>
      </c>
      <c r="O849">
        <f t="shared" si="26"/>
        <v>0.1153</v>
      </c>
      <c r="P849">
        <f t="shared" si="27"/>
        <v>0.17219999999999999</v>
      </c>
      <c r="Q849" t="s">
        <v>34</v>
      </c>
      <c r="R849">
        <v>2025</v>
      </c>
      <c r="S849" t="s">
        <v>25</v>
      </c>
    </row>
    <row r="850" spans="1:19" x14ac:dyDescent="0.3">
      <c r="A850" t="s">
        <v>925</v>
      </c>
      <c r="B850">
        <v>44782</v>
      </c>
      <c r="C850" t="s">
        <v>78</v>
      </c>
      <c r="D850" t="s">
        <v>79</v>
      </c>
      <c r="E850" t="s">
        <v>32</v>
      </c>
      <c r="F850" t="s">
        <v>23</v>
      </c>
      <c r="G850">
        <v>95909.4136</v>
      </c>
      <c r="H850">
        <v>63772.32</v>
      </c>
      <c r="I850">
        <v>32137.09</v>
      </c>
      <c r="J850">
        <v>39189.089999999997</v>
      </c>
      <c r="K850">
        <v>150335.4</v>
      </c>
      <c r="L850">
        <v>88310.31</v>
      </c>
      <c r="M850">
        <v>1544</v>
      </c>
      <c r="N850">
        <v>2.0899999999999998E-2</v>
      </c>
      <c r="O850">
        <f t="shared" si="26"/>
        <v>0.33510000000000001</v>
      </c>
      <c r="P850">
        <f t="shared" si="27"/>
        <v>1.7023999999999999</v>
      </c>
      <c r="Q850" t="s">
        <v>76</v>
      </c>
      <c r="R850">
        <v>2022</v>
      </c>
      <c r="S850" t="s">
        <v>82</v>
      </c>
    </row>
    <row r="851" spans="1:19" x14ac:dyDescent="0.3">
      <c r="A851" t="s">
        <v>926</v>
      </c>
      <c r="B851">
        <v>45249</v>
      </c>
      <c r="C851" t="s">
        <v>102</v>
      </c>
      <c r="D851" t="s">
        <v>103</v>
      </c>
      <c r="E851" t="s">
        <v>32</v>
      </c>
      <c r="F851" t="s">
        <v>23</v>
      </c>
      <c r="G851">
        <v>106808.35945</v>
      </c>
      <c r="H851">
        <v>92584.21</v>
      </c>
      <c r="I851">
        <v>14224.15</v>
      </c>
      <c r="J851">
        <v>70703.429999999993</v>
      </c>
      <c r="K851">
        <v>23986.89</v>
      </c>
      <c r="L851">
        <v>108441.06</v>
      </c>
      <c r="M851">
        <v>802</v>
      </c>
      <c r="N851">
        <v>3.3599999999999998E-2</v>
      </c>
      <c r="O851">
        <f t="shared" si="26"/>
        <v>0.13320000000000001</v>
      </c>
      <c r="P851">
        <f t="shared" si="27"/>
        <v>0.22120000000000001</v>
      </c>
      <c r="Q851" t="s">
        <v>44</v>
      </c>
      <c r="R851">
        <v>2023</v>
      </c>
      <c r="S851" t="s">
        <v>25</v>
      </c>
    </row>
    <row r="852" spans="1:19" x14ac:dyDescent="0.3">
      <c r="A852" t="s">
        <v>927</v>
      </c>
      <c r="B852">
        <v>45402</v>
      </c>
      <c r="C852" t="s">
        <v>36</v>
      </c>
      <c r="D852" t="s">
        <v>37</v>
      </c>
      <c r="E852" t="s">
        <v>22</v>
      </c>
      <c r="F852" t="s">
        <v>23</v>
      </c>
      <c r="G852">
        <v>59548.480000000003</v>
      </c>
      <c r="H852">
        <v>51575.42</v>
      </c>
      <c r="I852">
        <v>7973.06</v>
      </c>
      <c r="J852">
        <v>40947.129999999997</v>
      </c>
      <c r="K852">
        <v>31864.63</v>
      </c>
      <c r="L852">
        <v>302830.77</v>
      </c>
      <c r="M852">
        <v>786</v>
      </c>
      <c r="N852">
        <v>0.10050000000000001</v>
      </c>
      <c r="O852">
        <f t="shared" si="26"/>
        <v>0.13389999999999999</v>
      </c>
      <c r="P852">
        <f t="shared" si="27"/>
        <v>0.1052</v>
      </c>
      <c r="Q852" t="s">
        <v>111</v>
      </c>
      <c r="R852">
        <v>2024</v>
      </c>
      <c r="S852" t="s">
        <v>25</v>
      </c>
    </row>
    <row r="853" spans="1:19" x14ac:dyDescent="0.3">
      <c r="A853" t="s">
        <v>928</v>
      </c>
      <c r="B853">
        <v>45645</v>
      </c>
      <c r="C853" t="s">
        <v>102</v>
      </c>
      <c r="D853" t="s">
        <v>103</v>
      </c>
      <c r="E853" t="s">
        <v>38</v>
      </c>
      <c r="F853" t="s">
        <v>23</v>
      </c>
      <c r="G853">
        <v>615173.47</v>
      </c>
      <c r="H853">
        <v>521707.03</v>
      </c>
      <c r="I853">
        <v>93466.44</v>
      </c>
      <c r="J853">
        <v>47954.93</v>
      </c>
      <c r="K853">
        <v>36500.54</v>
      </c>
      <c r="L853">
        <v>214687.24</v>
      </c>
      <c r="M853">
        <v>676</v>
      </c>
      <c r="N853">
        <v>5.3100000000000001E-2</v>
      </c>
      <c r="O853">
        <f t="shared" si="26"/>
        <v>0.15190000000000001</v>
      </c>
      <c r="P853">
        <f t="shared" si="27"/>
        <v>0.17</v>
      </c>
      <c r="Q853" t="s">
        <v>52</v>
      </c>
      <c r="R853">
        <v>2024</v>
      </c>
      <c r="S853" t="s">
        <v>25</v>
      </c>
    </row>
    <row r="854" spans="1:19" x14ac:dyDescent="0.3">
      <c r="A854" t="s">
        <v>929</v>
      </c>
      <c r="B854">
        <v>45081</v>
      </c>
      <c r="C854" t="s">
        <v>102</v>
      </c>
      <c r="D854" t="s">
        <v>103</v>
      </c>
      <c r="E854" t="s">
        <v>22</v>
      </c>
      <c r="F854" t="s">
        <v>23</v>
      </c>
      <c r="G854">
        <v>464842.67</v>
      </c>
      <c r="H854">
        <v>368134.29</v>
      </c>
      <c r="I854">
        <v>96708.38</v>
      </c>
      <c r="J854">
        <v>26462.68</v>
      </c>
      <c r="K854">
        <v>17966.14</v>
      </c>
      <c r="L854">
        <v>92356.57</v>
      </c>
      <c r="M854">
        <v>967</v>
      </c>
      <c r="N854">
        <v>2.52E-2</v>
      </c>
      <c r="O854">
        <f t="shared" si="26"/>
        <v>0.20799999999999999</v>
      </c>
      <c r="P854">
        <f t="shared" si="27"/>
        <v>0.19450000000000001</v>
      </c>
      <c r="Q854" t="s">
        <v>39</v>
      </c>
      <c r="R854">
        <v>2023</v>
      </c>
      <c r="S854" t="s">
        <v>25</v>
      </c>
    </row>
    <row r="855" spans="1:19" x14ac:dyDescent="0.3">
      <c r="A855" t="s">
        <v>930</v>
      </c>
      <c r="B855">
        <v>45798</v>
      </c>
      <c r="C855" t="s">
        <v>61</v>
      </c>
      <c r="D855" t="s">
        <v>74</v>
      </c>
      <c r="E855" t="s">
        <v>38</v>
      </c>
      <c r="F855" t="s">
        <v>23</v>
      </c>
      <c r="G855">
        <v>121578.79</v>
      </c>
      <c r="H855">
        <v>83873.740000000005</v>
      </c>
      <c r="I855">
        <v>37705.050000000003</v>
      </c>
      <c r="J855">
        <v>17359.03</v>
      </c>
      <c r="K855">
        <v>13130.16</v>
      </c>
      <c r="L855">
        <v>23523.79</v>
      </c>
      <c r="M855">
        <v>1131</v>
      </c>
      <c r="N855">
        <v>-0.1225</v>
      </c>
      <c r="O855">
        <f t="shared" si="26"/>
        <v>0.31009999999999999</v>
      </c>
      <c r="P855">
        <f t="shared" si="27"/>
        <v>0.55820000000000003</v>
      </c>
      <c r="Q855" t="s">
        <v>34</v>
      </c>
      <c r="R855">
        <v>2025</v>
      </c>
      <c r="S855" t="s">
        <v>40</v>
      </c>
    </row>
    <row r="856" spans="1:19" x14ac:dyDescent="0.3">
      <c r="A856" t="s">
        <v>931</v>
      </c>
      <c r="B856">
        <v>46018</v>
      </c>
      <c r="C856" t="s">
        <v>48</v>
      </c>
      <c r="D856" t="s">
        <v>49</v>
      </c>
      <c r="E856" t="s">
        <v>38</v>
      </c>
      <c r="F856" t="s">
        <v>23</v>
      </c>
      <c r="G856">
        <v>28981.24</v>
      </c>
      <c r="H856">
        <v>21674.38</v>
      </c>
      <c r="I856">
        <v>7306.86</v>
      </c>
      <c r="J856">
        <v>23257.68</v>
      </c>
      <c r="K856">
        <v>27771.65</v>
      </c>
      <c r="L856">
        <v>43853.48</v>
      </c>
      <c r="M856">
        <v>1104</v>
      </c>
      <c r="N856">
        <v>-5.9299999999999999E-2</v>
      </c>
      <c r="O856">
        <f t="shared" si="26"/>
        <v>0.25209999999999999</v>
      </c>
      <c r="P856">
        <f t="shared" si="27"/>
        <v>0.63329999999999997</v>
      </c>
      <c r="Q856" t="s">
        <v>66</v>
      </c>
      <c r="R856">
        <v>2025</v>
      </c>
      <c r="S856" t="s">
        <v>82</v>
      </c>
    </row>
    <row r="857" spans="1:19" x14ac:dyDescent="0.3">
      <c r="A857" t="s">
        <v>932</v>
      </c>
      <c r="B857">
        <v>44830</v>
      </c>
      <c r="C857" t="s">
        <v>48</v>
      </c>
      <c r="D857" t="s">
        <v>49</v>
      </c>
      <c r="E857" t="s">
        <v>38</v>
      </c>
      <c r="F857" t="s">
        <v>23</v>
      </c>
      <c r="G857">
        <v>27337.38</v>
      </c>
      <c r="H857">
        <v>20372.39</v>
      </c>
      <c r="I857">
        <v>6964.99</v>
      </c>
      <c r="J857">
        <v>51103.74</v>
      </c>
      <c r="K857">
        <v>51318.62</v>
      </c>
      <c r="L857">
        <v>112488.22</v>
      </c>
      <c r="M857">
        <v>2425</v>
      </c>
      <c r="N857">
        <v>0.108</v>
      </c>
      <c r="O857">
        <f t="shared" si="26"/>
        <v>0.25480000000000003</v>
      </c>
      <c r="P857">
        <f t="shared" si="27"/>
        <v>0.45619999999999999</v>
      </c>
      <c r="Q857" t="s">
        <v>76</v>
      </c>
      <c r="R857">
        <v>2022</v>
      </c>
      <c r="S857" t="s">
        <v>40</v>
      </c>
    </row>
    <row r="858" spans="1:19" x14ac:dyDescent="0.3">
      <c r="A858" t="s">
        <v>933</v>
      </c>
      <c r="B858">
        <v>44586</v>
      </c>
      <c r="C858" t="s">
        <v>48</v>
      </c>
      <c r="D858" t="s">
        <v>49</v>
      </c>
      <c r="E858" t="s">
        <v>51</v>
      </c>
      <c r="F858" t="s">
        <v>23</v>
      </c>
      <c r="G858">
        <v>45513.18</v>
      </c>
      <c r="H858">
        <v>39248.629999999997</v>
      </c>
      <c r="I858">
        <v>6264.55</v>
      </c>
      <c r="J858">
        <v>63556.62</v>
      </c>
      <c r="K858">
        <v>72384.3</v>
      </c>
      <c r="L858">
        <v>113027.67</v>
      </c>
      <c r="M858">
        <v>730</v>
      </c>
      <c r="N858">
        <v>4.5699999999999998E-2</v>
      </c>
      <c r="O858">
        <f t="shared" si="26"/>
        <v>0.1376</v>
      </c>
      <c r="P858">
        <f t="shared" si="27"/>
        <v>0.64039999999999997</v>
      </c>
      <c r="Q858" t="s">
        <v>90</v>
      </c>
      <c r="R858">
        <v>2022</v>
      </c>
      <c r="S858" t="s">
        <v>82</v>
      </c>
    </row>
    <row r="859" spans="1:19" x14ac:dyDescent="0.3">
      <c r="A859" t="s">
        <v>934</v>
      </c>
      <c r="B859">
        <v>45282</v>
      </c>
      <c r="C859" t="s">
        <v>78</v>
      </c>
      <c r="D859" t="s">
        <v>79</v>
      </c>
      <c r="E859" t="s">
        <v>22</v>
      </c>
      <c r="F859" t="s">
        <v>23</v>
      </c>
      <c r="G859">
        <v>101926.38</v>
      </c>
      <c r="H859">
        <v>82324.100000000006</v>
      </c>
      <c r="I859">
        <v>19602.28</v>
      </c>
      <c r="J859">
        <v>10791.75</v>
      </c>
      <c r="K859">
        <v>22089.63</v>
      </c>
      <c r="L859">
        <v>60982.07</v>
      </c>
      <c r="M859">
        <v>331</v>
      </c>
      <c r="N859">
        <v>-5.3600000000000002E-2</v>
      </c>
      <c r="O859">
        <f t="shared" si="26"/>
        <v>0.1923</v>
      </c>
      <c r="P859">
        <f t="shared" si="27"/>
        <v>0.36220000000000002</v>
      </c>
      <c r="Q859" t="s">
        <v>44</v>
      </c>
      <c r="R859">
        <v>2023</v>
      </c>
      <c r="S859" t="s">
        <v>40</v>
      </c>
    </row>
    <row r="860" spans="1:19" x14ac:dyDescent="0.3">
      <c r="A860" t="s">
        <v>935</v>
      </c>
      <c r="B860">
        <v>44574</v>
      </c>
      <c r="C860" t="s">
        <v>20</v>
      </c>
      <c r="D860" t="s">
        <v>21</v>
      </c>
      <c r="E860" t="s">
        <v>51</v>
      </c>
      <c r="F860" t="s">
        <v>23</v>
      </c>
      <c r="G860">
        <v>39008.19</v>
      </c>
      <c r="H860">
        <v>26054.27</v>
      </c>
      <c r="I860">
        <v>12953.92</v>
      </c>
      <c r="J860">
        <v>75138.94</v>
      </c>
      <c r="K860">
        <v>145660.97</v>
      </c>
      <c r="L860">
        <v>106539.34</v>
      </c>
      <c r="M860">
        <v>776</v>
      </c>
      <c r="N860">
        <v>-1.7500000000000002E-2</v>
      </c>
      <c r="O860">
        <f t="shared" si="26"/>
        <v>0.33210000000000001</v>
      </c>
      <c r="P860">
        <f t="shared" si="27"/>
        <v>1.3672</v>
      </c>
      <c r="Q860" t="s">
        <v>90</v>
      </c>
      <c r="R860">
        <v>2022</v>
      </c>
      <c r="S860" t="s">
        <v>82</v>
      </c>
    </row>
    <row r="861" spans="1:19" x14ac:dyDescent="0.3">
      <c r="A861" t="s">
        <v>936</v>
      </c>
      <c r="B861">
        <v>45851</v>
      </c>
      <c r="C861" t="s">
        <v>36</v>
      </c>
      <c r="D861" t="s">
        <v>37</v>
      </c>
      <c r="E861" t="s">
        <v>38</v>
      </c>
      <c r="F861" t="s">
        <v>23</v>
      </c>
      <c r="G861">
        <v>135441.21</v>
      </c>
      <c r="H861">
        <v>107725.15</v>
      </c>
      <c r="I861">
        <v>27716.06</v>
      </c>
      <c r="J861">
        <v>26524.71</v>
      </c>
      <c r="K861">
        <v>75440.84</v>
      </c>
      <c r="L861">
        <v>52556.12</v>
      </c>
      <c r="M861">
        <v>1659</v>
      </c>
      <c r="N861">
        <v>5.7999999999999996E-3</v>
      </c>
      <c r="O861">
        <f t="shared" si="26"/>
        <v>0.2046</v>
      </c>
      <c r="P861">
        <f t="shared" si="27"/>
        <v>1.4354</v>
      </c>
      <c r="Q861" t="s">
        <v>24</v>
      </c>
      <c r="R861">
        <v>2025</v>
      </c>
      <c r="S861" t="s">
        <v>82</v>
      </c>
    </row>
    <row r="862" spans="1:19" x14ac:dyDescent="0.3">
      <c r="A862" t="s">
        <v>937</v>
      </c>
      <c r="B862">
        <v>45886</v>
      </c>
      <c r="C862" t="s">
        <v>78</v>
      </c>
      <c r="D862" t="s">
        <v>79</v>
      </c>
      <c r="E862" t="s">
        <v>22</v>
      </c>
      <c r="F862" t="s">
        <v>23</v>
      </c>
      <c r="G862">
        <v>74404.509999999995</v>
      </c>
      <c r="H862">
        <v>50837.07</v>
      </c>
      <c r="I862">
        <v>23567.439999999999</v>
      </c>
      <c r="J862">
        <v>61421.45</v>
      </c>
      <c r="K862">
        <v>124852.09</v>
      </c>
      <c r="L862">
        <v>107359.63</v>
      </c>
      <c r="M862">
        <v>811</v>
      </c>
      <c r="N862">
        <v>3.2199999999999999E-2</v>
      </c>
      <c r="O862">
        <f t="shared" si="26"/>
        <v>0.31669999999999998</v>
      </c>
      <c r="P862">
        <f t="shared" si="27"/>
        <v>1.1629</v>
      </c>
      <c r="Q862" t="s">
        <v>24</v>
      </c>
      <c r="R862">
        <v>2025</v>
      </c>
      <c r="S862" t="s">
        <v>82</v>
      </c>
    </row>
    <row r="863" spans="1:19" x14ac:dyDescent="0.3">
      <c r="A863" t="s">
        <v>938</v>
      </c>
      <c r="B863">
        <v>45974</v>
      </c>
      <c r="C863" t="s">
        <v>85</v>
      </c>
      <c r="D863" t="s">
        <v>86</v>
      </c>
      <c r="E863" t="s">
        <v>32</v>
      </c>
      <c r="F863" t="s">
        <v>23</v>
      </c>
      <c r="G863">
        <v>58231.826049999996</v>
      </c>
      <c r="H863">
        <v>34445.83</v>
      </c>
      <c r="I863">
        <v>23786</v>
      </c>
      <c r="J863">
        <v>30241.01</v>
      </c>
      <c r="K863">
        <v>59692.37</v>
      </c>
      <c r="L863">
        <v>52298.33</v>
      </c>
      <c r="M863">
        <v>906</v>
      </c>
      <c r="N863">
        <v>-0.1608</v>
      </c>
      <c r="O863">
        <f t="shared" si="26"/>
        <v>0.40849999999999997</v>
      </c>
      <c r="P863">
        <f t="shared" si="27"/>
        <v>1.1414</v>
      </c>
      <c r="Q863" t="s">
        <v>66</v>
      </c>
      <c r="R863">
        <v>2025</v>
      </c>
      <c r="S863" t="s">
        <v>82</v>
      </c>
    </row>
    <row r="864" spans="1:19" x14ac:dyDescent="0.3">
      <c r="A864" t="s">
        <v>939</v>
      </c>
      <c r="B864">
        <v>45886</v>
      </c>
      <c r="C864" t="s">
        <v>102</v>
      </c>
      <c r="D864" t="s">
        <v>103</v>
      </c>
      <c r="E864" t="s">
        <v>22</v>
      </c>
      <c r="F864" t="s">
        <v>23</v>
      </c>
      <c r="G864">
        <v>100683.87</v>
      </c>
      <c r="H864">
        <v>72671.679999999993</v>
      </c>
      <c r="I864">
        <v>28012.19</v>
      </c>
      <c r="J864">
        <v>15504.12</v>
      </c>
      <c r="K864">
        <v>2924.7</v>
      </c>
      <c r="L864">
        <v>67832.039999999994</v>
      </c>
      <c r="M864">
        <v>1951</v>
      </c>
      <c r="N864">
        <v>1.9099999999999999E-2</v>
      </c>
      <c r="O864">
        <f t="shared" si="26"/>
        <v>0.2782</v>
      </c>
      <c r="P864">
        <f t="shared" si="27"/>
        <v>4.3099999999999999E-2</v>
      </c>
      <c r="Q864" t="s">
        <v>24</v>
      </c>
      <c r="R864">
        <v>2025</v>
      </c>
      <c r="S864" t="s">
        <v>25</v>
      </c>
    </row>
    <row r="865" spans="1:19" x14ac:dyDescent="0.3">
      <c r="A865" t="s">
        <v>940</v>
      </c>
      <c r="B865">
        <v>45439</v>
      </c>
      <c r="C865" t="s">
        <v>36</v>
      </c>
      <c r="D865" t="s">
        <v>37</v>
      </c>
      <c r="E865" t="s">
        <v>32</v>
      </c>
      <c r="F865" t="s">
        <v>23</v>
      </c>
      <c r="G865">
        <v>47548.289049999999</v>
      </c>
      <c r="H865">
        <v>36865.599999999999</v>
      </c>
      <c r="I865">
        <v>10682.69</v>
      </c>
      <c r="J865">
        <v>35653.589999999997</v>
      </c>
      <c r="K865">
        <v>16238.44</v>
      </c>
      <c r="L865">
        <v>82807.13</v>
      </c>
      <c r="M865">
        <v>1968</v>
      </c>
      <c r="N865">
        <v>0.19040000000000001</v>
      </c>
      <c r="O865">
        <f t="shared" si="26"/>
        <v>0.22470000000000001</v>
      </c>
      <c r="P865">
        <f t="shared" si="27"/>
        <v>0.1961</v>
      </c>
      <c r="Q865" t="s">
        <v>111</v>
      </c>
      <c r="R865">
        <v>2024</v>
      </c>
      <c r="S865" t="s">
        <v>25</v>
      </c>
    </row>
    <row r="866" spans="1:19" x14ac:dyDescent="0.3">
      <c r="A866" t="s">
        <v>941</v>
      </c>
      <c r="B866">
        <v>44770</v>
      </c>
      <c r="C866" t="s">
        <v>1282</v>
      </c>
      <c r="D866" t="s">
        <v>69</v>
      </c>
      <c r="E866" t="s">
        <v>22</v>
      </c>
      <c r="F866" t="s">
        <v>23</v>
      </c>
      <c r="G866">
        <v>46296.35</v>
      </c>
      <c r="H866">
        <v>36465.519999999997</v>
      </c>
      <c r="I866">
        <v>9830.83</v>
      </c>
      <c r="J866">
        <v>19172.669999999998</v>
      </c>
      <c r="K866">
        <v>13132.57</v>
      </c>
      <c r="L866">
        <v>54316.4</v>
      </c>
      <c r="M866" t="s">
        <v>1281</v>
      </c>
      <c r="N866">
        <v>-0.1162</v>
      </c>
      <c r="O866">
        <f t="shared" si="26"/>
        <v>0.21229999999999999</v>
      </c>
      <c r="P866">
        <f t="shared" si="27"/>
        <v>0.24179999999999999</v>
      </c>
      <c r="Q866" t="s">
        <v>76</v>
      </c>
      <c r="R866">
        <v>2022</v>
      </c>
      <c r="S866" t="s">
        <v>25</v>
      </c>
    </row>
    <row r="867" spans="1:19" x14ac:dyDescent="0.3">
      <c r="A867" t="s">
        <v>942</v>
      </c>
      <c r="B867">
        <v>45638</v>
      </c>
      <c r="C867" t="s">
        <v>20</v>
      </c>
      <c r="D867" t="s">
        <v>21</v>
      </c>
      <c r="E867" t="s">
        <v>22</v>
      </c>
      <c r="F867" t="s">
        <v>23</v>
      </c>
      <c r="G867">
        <v>50638.12</v>
      </c>
      <c r="H867">
        <v>46192.3</v>
      </c>
      <c r="I867">
        <v>4445.82</v>
      </c>
      <c r="J867">
        <v>7159.06</v>
      </c>
      <c r="K867">
        <v>18582.25</v>
      </c>
      <c r="L867">
        <v>34130.720000000001</v>
      </c>
      <c r="M867">
        <v>734</v>
      </c>
      <c r="N867">
        <v>-3.2399999999999998E-2</v>
      </c>
      <c r="O867">
        <f t="shared" si="26"/>
        <v>8.7800000000000003E-2</v>
      </c>
      <c r="P867">
        <f t="shared" si="27"/>
        <v>0.5444</v>
      </c>
      <c r="Q867" t="s">
        <v>52</v>
      </c>
      <c r="R867">
        <v>2024</v>
      </c>
      <c r="S867" t="s">
        <v>40</v>
      </c>
    </row>
    <row r="868" spans="1:19" x14ac:dyDescent="0.3">
      <c r="A868" t="s">
        <v>943</v>
      </c>
      <c r="B868">
        <v>44932</v>
      </c>
      <c r="C868" t="s">
        <v>54</v>
      </c>
      <c r="D868" t="s">
        <v>55</v>
      </c>
      <c r="E868" t="s">
        <v>32</v>
      </c>
      <c r="F868" t="s">
        <v>23</v>
      </c>
      <c r="G868">
        <v>242301.45355000001</v>
      </c>
      <c r="H868">
        <v>187283.17</v>
      </c>
      <c r="I868">
        <v>55018.28</v>
      </c>
      <c r="J868">
        <v>75608.08</v>
      </c>
      <c r="K868">
        <v>17890.849999999999</v>
      </c>
      <c r="L868">
        <v>109532.8</v>
      </c>
      <c r="M868">
        <v>709</v>
      </c>
      <c r="N868">
        <v>4.2900000000000001E-2</v>
      </c>
      <c r="O868">
        <f t="shared" si="26"/>
        <v>0.2271</v>
      </c>
      <c r="P868">
        <f t="shared" si="27"/>
        <v>0.1633</v>
      </c>
      <c r="Q868" t="s">
        <v>118</v>
      </c>
      <c r="R868">
        <v>2023</v>
      </c>
      <c r="S868" t="s">
        <v>25</v>
      </c>
    </row>
    <row r="869" spans="1:19" x14ac:dyDescent="0.3">
      <c r="A869" t="s">
        <v>944</v>
      </c>
      <c r="B869">
        <v>45800</v>
      </c>
      <c r="C869" t="s">
        <v>36</v>
      </c>
      <c r="D869" t="s">
        <v>37</v>
      </c>
      <c r="E869" t="s">
        <v>38</v>
      </c>
      <c r="F869" t="s">
        <v>23</v>
      </c>
      <c r="G869">
        <v>31474.82</v>
      </c>
      <c r="H869">
        <v>26941.01</v>
      </c>
      <c r="I869">
        <v>4533.8100000000004</v>
      </c>
      <c r="J869">
        <v>7000.79</v>
      </c>
      <c r="K869">
        <v>33964.129999999997</v>
      </c>
      <c r="L869">
        <v>45923.06</v>
      </c>
      <c r="M869">
        <v>507</v>
      </c>
      <c r="N869">
        <v>-7.1099999999999997E-2</v>
      </c>
      <c r="O869">
        <f t="shared" si="26"/>
        <v>0.14399999999999999</v>
      </c>
      <c r="P869">
        <f t="shared" si="27"/>
        <v>0.73960000000000004</v>
      </c>
      <c r="Q869" t="s">
        <v>34</v>
      </c>
      <c r="R869">
        <v>2025</v>
      </c>
      <c r="S869" t="s">
        <v>82</v>
      </c>
    </row>
    <row r="870" spans="1:19" x14ac:dyDescent="0.3">
      <c r="A870" t="s">
        <v>945</v>
      </c>
      <c r="B870">
        <v>44987</v>
      </c>
      <c r="C870" t="s">
        <v>1282</v>
      </c>
      <c r="D870" t="s">
        <v>69</v>
      </c>
      <c r="E870" t="s">
        <v>38</v>
      </c>
      <c r="F870" t="s">
        <v>23</v>
      </c>
      <c r="G870">
        <v>75878.41</v>
      </c>
      <c r="H870">
        <v>63808.31</v>
      </c>
      <c r="I870">
        <v>12070.1</v>
      </c>
      <c r="J870">
        <v>9410.2199999999993</v>
      </c>
      <c r="K870">
        <v>7988.52</v>
      </c>
      <c r="L870">
        <v>96303.69</v>
      </c>
      <c r="M870">
        <v>1586</v>
      </c>
      <c r="N870">
        <v>8.2900000000000001E-2</v>
      </c>
      <c r="O870">
        <f t="shared" si="26"/>
        <v>0.15909999999999999</v>
      </c>
      <c r="P870">
        <f t="shared" si="27"/>
        <v>8.3000000000000004E-2</v>
      </c>
      <c r="Q870" t="s">
        <v>118</v>
      </c>
      <c r="R870">
        <v>2023</v>
      </c>
      <c r="S870" t="s">
        <v>25</v>
      </c>
    </row>
    <row r="871" spans="1:19" x14ac:dyDescent="0.3">
      <c r="A871" t="s">
        <v>946</v>
      </c>
      <c r="B871">
        <v>45941</v>
      </c>
      <c r="C871" t="s">
        <v>61</v>
      </c>
      <c r="D871" t="s">
        <v>74</v>
      </c>
      <c r="E871" t="s">
        <v>22</v>
      </c>
      <c r="F871" t="s">
        <v>23</v>
      </c>
      <c r="G871">
        <v>171778.03</v>
      </c>
      <c r="H871">
        <v>120038.12</v>
      </c>
      <c r="I871">
        <v>51739.91</v>
      </c>
      <c r="J871">
        <v>32505.67</v>
      </c>
      <c r="K871">
        <v>24047.19</v>
      </c>
      <c r="L871">
        <v>72887.34</v>
      </c>
      <c r="M871">
        <v>1575</v>
      </c>
      <c r="N871">
        <v>-0.06</v>
      </c>
      <c r="O871">
        <f t="shared" si="26"/>
        <v>0.30120000000000002</v>
      </c>
      <c r="P871">
        <f t="shared" si="27"/>
        <v>0.32990000000000003</v>
      </c>
      <c r="Q871" t="s">
        <v>66</v>
      </c>
      <c r="R871">
        <v>2025</v>
      </c>
      <c r="S871" t="s">
        <v>40</v>
      </c>
    </row>
    <row r="872" spans="1:19" x14ac:dyDescent="0.3">
      <c r="A872" t="s">
        <v>947</v>
      </c>
      <c r="B872">
        <v>45300</v>
      </c>
      <c r="C872" t="s">
        <v>48</v>
      </c>
      <c r="D872" t="s">
        <v>49</v>
      </c>
      <c r="E872" t="s">
        <v>38</v>
      </c>
      <c r="F872" t="s">
        <v>23</v>
      </c>
      <c r="G872">
        <v>45652.44</v>
      </c>
      <c r="H872">
        <v>34358.78</v>
      </c>
      <c r="I872">
        <v>11293.66</v>
      </c>
      <c r="J872">
        <v>17555.419999999998</v>
      </c>
      <c r="K872">
        <v>20196.75</v>
      </c>
      <c r="L872">
        <v>41446.25</v>
      </c>
      <c r="M872">
        <v>1524</v>
      </c>
      <c r="N872">
        <v>-3.3799999999999997E-2</v>
      </c>
      <c r="O872">
        <f t="shared" si="26"/>
        <v>0.24740000000000001</v>
      </c>
      <c r="P872">
        <f t="shared" si="27"/>
        <v>0.48730000000000001</v>
      </c>
      <c r="Q872" t="s">
        <v>80</v>
      </c>
      <c r="R872">
        <v>2024</v>
      </c>
      <c r="S872" t="s">
        <v>40</v>
      </c>
    </row>
    <row r="873" spans="1:19" x14ac:dyDescent="0.3">
      <c r="A873" t="s">
        <v>948</v>
      </c>
      <c r="B873">
        <v>45847</v>
      </c>
      <c r="C873" t="s">
        <v>61</v>
      </c>
      <c r="D873" t="s">
        <v>74</v>
      </c>
      <c r="E873" t="s">
        <v>32</v>
      </c>
      <c r="F873" t="s">
        <v>23</v>
      </c>
      <c r="G873">
        <v>55232.361150000004</v>
      </c>
      <c r="H873">
        <v>35750.910000000003</v>
      </c>
      <c r="I873">
        <v>19481.45</v>
      </c>
      <c r="J873">
        <v>106300.51</v>
      </c>
      <c r="K873">
        <v>29774.79</v>
      </c>
      <c r="L873">
        <v>117998.08</v>
      </c>
      <c r="M873">
        <v>520</v>
      </c>
      <c r="N873">
        <v>-4.53E-2</v>
      </c>
      <c r="O873">
        <f t="shared" si="26"/>
        <v>0.35270000000000001</v>
      </c>
      <c r="P873">
        <f t="shared" si="27"/>
        <v>0.25230000000000002</v>
      </c>
      <c r="Q873" t="s">
        <v>24</v>
      </c>
      <c r="R873">
        <v>2025</v>
      </c>
      <c r="S873" t="s">
        <v>25</v>
      </c>
    </row>
    <row r="874" spans="1:19" x14ac:dyDescent="0.3">
      <c r="A874" t="s">
        <v>949</v>
      </c>
      <c r="B874">
        <v>45368</v>
      </c>
      <c r="C874" t="s">
        <v>36</v>
      </c>
      <c r="D874" t="s">
        <v>37</v>
      </c>
      <c r="E874" t="s">
        <v>38</v>
      </c>
      <c r="F874" t="s">
        <v>23</v>
      </c>
      <c r="G874">
        <v>47536.85</v>
      </c>
      <c r="H874">
        <v>34767.599999999999</v>
      </c>
      <c r="I874">
        <v>12769.25</v>
      </c>
      <c r="J874">
        <v>53678.96</v>
      </c>
      <c r="K874">
        <v>63063.72</v>
      </c>
      <c r="L874">
        <v>96073.05</v>
      </c>
      <c r="M874">
        <v>911</v>
      </c>
      <c r="N874">
        <v>7.4999999999999997E-3</v>
      </c>
      <c r="O874">
        <f t="shared" si="26"/>
        <v>0.26860000000000001</v>
      </c>
      <c r="P874">
        <f t="shared" si="27"/>
        <v>0.65639999999999998</v>
      </c>
      <c r="Q874" t="s">
        <v>80</v>
      </c>
      <c r="R874">
        <v>2024</v>
      </c>
      <c r="S874" t="s">
        <v>82</v>
      </c>
    </row>
    <row r="875" spans="1:19" x14ac:dyDescent="0.3">
      <c r="A875" t="s">
        <v>950</v>
      </c>
      <c r="B875">
        <v>45960</v>
      </c>
      <c r="C875" t="s">
        <v>102</v>
      </c>
      <c r="D875" t="s">
        <v>103</v>
      </c>
      <c r="E875" t="s">
        <v>32</v>
      </c>
      <c r="F875" t="s">
        <v>23</v>
      </c>
      <c r="G875">
        <v>110113.01265</v>
      </c>
      <c r="H875">
        <v>98808.53</v>
      </c>
      <c r="I875">
        <v>11304.48</v>
      </c>
      <c r="J875">
        <v>66227.17</v>
      </c>
      <c r="K875">
        <v>15649.69</v>
      </c>
      <c r="L875">
        <v>174386.99</v>
      </c>
      <c r="M875">
        <v>639</v>
      </c>
      <c r="N875">
        <v>2.3999999999999998E-3</v>
      </c>
      <c r="O875">
        <f t="shared" si="26"/>
        <v>0.1027</v>
      </c>
      <c r="P875">
        <f t="shared" si="27"/>
        <v>8.9700000000000002E-2</v>
      </c>
      <c r="Q875" t="s">
        <v>66</v>
      </c>
      <c r="R875">
        <v>2025</v>
      </c>
      <c r="S875" t="s">
        <v>25</v>
      </c>
    </row>
    <row r="876" spans="1:19" x14ac:dyDescent="0.3">
      <c r="A876" t="s">
        <v>951</v>
      </c>
      <c r="B876">
        <v>45460</v>
      </c>
      <c r="C876" t="s">
        <v>78</v>
      </c>
      <c r="D876" t="s">
        <v>79</v>
      </c>
      <c r="E876" t="s">
        <v>22</v>
      </c>
      <c r="F876" t="s">
        <v>23</v>
      </c>
      <c r="G876">
        <v>176674.2</v>
      </c>
      <c r="H876">
        <v>125092.23</v>
      </c>
      <c r="I876">
        <v>51581.97</v>
      </c>
      <c r="J876">
        <v>39990.74</v>
      </c>
      <c r="K876">
        <v>10921.57</v>
      </c>
      <c r="L876">
        <v>170097.08</v>
      </c>
      <c r="M876">
        <v>807</v>
      </c>
      <c r="N876">
        <v>4.2599999999999999E-2</v>
      </c>
      <c r="O876">
        <f t="shared" si="26"/>
        <v>0.29199999999999998</v>
      </c>
      <c r="P876">
        <f t="shared" si="27"/>
        <v>6.4199999999999993E-2</v>
      </c>
      <c r="Q876" t="s">
        <v>111</v>
      </c>
      <c r="R876">
        <v>2024</v>
      </c>
      <c r="S876" t="s">
        <v>25</v>
      </c>
    </row>
    <row r="877" spans="1:19" x14ac:dyDescent="0.3">
      <c r="A877" t="s">
        <v>952</v>
      </c>
      <c r="B877">
        <v>46011</v>
      </c>
      <c r="C877" t="s">
        <v>27</v>
      </c>
      <c r="D877" t="s">
        <v>28</v>
      </c>
      <c r="E877" t="s">
        <v>51</v>
      </c>
      <c r="F877" t="s">
        <v>23</v>
      </c>
      <c r="G877">
        <v>57295.95</v>
      </c>
      <c r="H877">
        <v>41764.699999999997</v>
      </c>
      <c r="I877">
        <v>15531.25</v>
      </c>
      <c r="J877">
        <v>31755.43</v>
      </c>
      <c r="K877">
        <v>5300.13</v>
      </c>
      <c r="L877">
        <v>92167.52</v>
      </c>
      <c r="M877">
        <v>777</v>
      </c>
      <c r="N877">
        <v>-6.1600000000000002E-2</v>
      </c>
      <c r="O877">
        <f t="shared" si="26"/>
        <v>0.27110000000000001</v>
      </c>
      <c r="P877">
        <f t="shared" si="27"/>
        <v>5.7500000000000002E-2</v>
      </c>
      <c r="Q877" t="s">
        <v>66</v>
      </c>
      <c r="R877">
        <v>2025</v>
      </c>
      <c r="S877" t="s">
        <v>25</v>
      </c>
    </row>
    <row r="878" spans="1:19" x14ac:dyDescent="0.3">
      <c r="A878" t="s">
        <v>953</v>
      </c>
      <c r="B878">
        <v>44596</v>
      </c>
      <c r="C878" t="s">
        <v>27</v>
      </c>
      <c r="D878" t="s">
        <v>28</v>
      </c>
      <c r="E878" t="s">
        <v>32</v>
      </c>
      <c r="F878" t="s">
        <v>23</v>
      </c>
      <c r="G878">
        <v>408669.27800000005</v>
      </c>
      <c r="H878">
        <v>255102.83</v>
      </c>
      <c r="I878">
        <v>153566.45000000001</v>
      </c>
      <c r="J878">
        <v>67493.36</v>
      </c>
      <c r="K878">
        <v>16213.3</v>
      </c>
      <c r="L878">
        <v>114447.63</v>
      </c>
      <c r="M878">
        <v>625</v>
      </c>
      <c r="N878">
        <v>-4.4900000000000002E-2</v>
      </c>
      <c r="O878">
        <f t="shared" si="26"/>
        <v>0.37580000000000002</v>
      </c>
      <c r="P878">
        <f t="shared" si="27"/>
        <v>0.14169999999999999</v>
      </c>
      <c r="Q878" t="s">
        <v>90</v>
      </c>
      <c r="R878">
        <v>2022</v>
      </c>
      <c r="S878" t="s">
        <v>25</v>
      </c>
    </row>
    <row r="879" spans="1:19" x14ac:dyDescent="0.3">
      <c r="A879" t="s">
        <v>954</v>
      </c>
      <c r="B879">
        <v>45760</v>
      </c>
      <c r="C879" t="s">
        <v>27</v>
      </c>
      <c r="D879" t="s">
        <v>28</v>
      </c>
      <c r="E879" t="s">
        <v>51</v>
      </c>
      <c r="F879" t="s">
        <v>23</v>
      </c>
      <c r="G879">
        <v>149661.24</v>
      </c>
      <c r="H879">
        <v>113336.86</v>
      </c>
      <c r="I879">
        <v>36324.379999999997</v>
      </c>
      <c r="J879">
        <v>46369.42</v>
      </c>
      <c r="K879">
        <v>13515.52</v>
      </c>
      <c r="L879">
        <v>77133.66</v>
      </c>
      <c r="M879">
        <v>1236</v>
      </c>
      <c r="N879">
        <v>-6.2700000000000006E-2</v>
      </c>
      <c r="O879">
        <f t="shared" si="26"/>
        <v>0.2427</v>
      </c>
      <c r="P879">
        <f t="shared" si="27"/>
        <v>0.17519999999999999</v>
      </c>
      <c r="Q879" t="s">
        <v>34</v>
      </c>
      <c r="R879">
        <v>2025</v>
      </c>
      <c r="S879" t="s">
        <v>25</v>
      </c>
    </row>
    <row r="880" spans="1:19" x14ac:dyDescent="0.3">
      <c r="A880" t="s">
        <v>955</v>
      </c>
      <c r="B880">
        <v>45156</v>
      </c>
      <c r="C880" t="s">
        <v>30</v>
      </c>
      <c r="D880" t="s">
        <v>31</v>
      </c>
      <c r="E880" t="s">
        <v>32</v>
      </c>
      <c r="F880" t="s">
        <v>23</v>
      </c>
      <c r="G880">
        <v>41025.842349999999</v>
      </c>
      <c r="H880">
        <v>28607.95</v>
      </c>
      <c r="I880">
        <v>12417.89</v>
      </c>
      <c r="J880">
        <v>29209.96</v>
      </c>
      <c r="K880">
        <v>49929.53</v>
      </c>
      <c r="L880">
        <v>103535.93</v>
      </c>
      <c r="M880">
        <v>903</v>
      </c>
      <c r="N880">
        <v>-4.7699999999999999E-2</v>
      </c>
      <c r="O880">
        <f t="shared" si="26"/>
        <v>0.30270000000000002</v>
      </c>
      <c r="P880">
        <f t="shared" si="27"/>
        <v>0.48220000000000002</v>
      </c>
      <c r="Q880" t="s">
        <v>56</v>
      </c>
      <c r="R880">
        <v>2023</v>
      </c>
      <c r="S880" t="s">
        <v>40</v>
      </c>
    </row>
    <row r="881" spans="1:19" x14ac:dyDescent="0.3">
      <c r="A881" t="s">
        <v>956</v>
      </c>
      <c r="B881">
        <v>45982</v>
      </c>
      <c r="C881" t="s">
        <v>1282</v>
      </c>
      <c r="D881" t="s">
        <v>69</v>
      </c>
      <c r="E881" t="s">
        <v>38</v>
      </c>
      <c r="F881" t="s">
        <v>23</v>
      </c>
      <c r="G881">
        <v>84305.05</v>
      </c>
      <c r="H881">
        <v>60422.74</v>
      </c>
      <c r="I881">
        <v>23882.31</v>
      </c>
      <c r="J881">
        <v>81476.87</v>
      </c>
      <c r="K881">
        <v>12115.21</v>
      </c>
      <c r="L881">
        <v>108534.44</v>
      </c>
      <c r="M881">
        <v>1475</v>
      </c>
      <c r="N881">
        <v>-1.8800000000000001E-2</v>
      </c>
      <c r="O881">
        <f t="shared" si="26"/>
        <v>0.2833</v>
      </c>
      <c r="P881">
        <f t="shared" si="27"/>
        <v>0.1116</v>
      </c>
      <c r="Q881" t="s">
        <v>66</v>
      </c>
      <c r="R881">
        <v>2025</v>
      </c>
      <c r="S881" t="s">
        <v>25</v>
      </c>
    </row>
    <row r="882" spans="1:19" x14ac:dyDescent="0.3">
      <c r="A882" t="s">
        <v>957</v>
      </c>
      <c r="B882">
        <v>45780</v>
      </c>
      <c r="C882" t="s">
        <v>48</v>
      </c>
      <c r="D882" t="s">
        <v>49</v>
      </c>
      <c r="E882" t="s">
        <v>38</v>
      </c>
      <c r="F882" t="s">
        <v>23</v>
      </c>
      <c r="G882">
        <v>147905.53</v>
      </c>
      <c r="H882">
        <v>104710.45</v>
      </c>
      <c r="I882">
        <v>43195.08</v>
      </c>
      <c r="J882">
        <v>26018.87</v>
      </c>
      <c r="K882">
        <v>7957.17</v>
      </c>
      <c r="L882">
        <v>100685.95</v>
      </c>
      <c r="M882">
        <v>991</v>
      </c>
      <c r="N882">
        <v>0.13539999999999999</v>
      </c>
      <c r="O882">
        <f t="shared" si="26"/>
        <v>0.29199999999999998</v>
      </c>
      <c r="P882">
        <f t="shared" si="27"/>
        <v>7.9000000000000001E-2</v>
      </c>
      <c r="Q882" t="s">
        <v>34</v>
      </c>
      <c r="R882">
        <v>2025</v>
      </c>
      <c r="S882" t="s">
        <v>25</v>
      </c>
    </row>
    <row r="883" spans="1:19" x14ac:dyDescent="0.3">
      <c r="A883" t="s">
        <v>958</v>
      </c>
      <c r="B883">
        <v>45976</v>
      </c>
      <c r="C883" t="s">
        <v>102</v>
      </c>
      <c r="D883" t="s">
        <v>103</v>
      </c>
      <c r="E883" t="s">
        <v>38</v>
      </c>
      <c r="F883" t="s">
        <v>23</v>
      </c>
      <c r="G883">
        <v>115213.85</v>
      </c>
      <c r="H883">
        <v>97473.24</v>
      </c>
      <c r="I883">
        <v>17740.61</v>
      </c>
      <c r="J883">
        <v>17206.419999999998</v>
      </c>
      <c r="K883">
        <v>11804.58</v>
      </c>
      <c r="L883">
        <v>58853.52</v>
      </c>
      <c r="M883">
        <v>896</v>
      </c>
      <c r="N883">
        <v>6.8999999999999999E-3</v>
      </c>
      <c r="O883">
        <f t="shared" si="26"/>
        <v>0.154</v>
      </c>
      <c r="P883">
        <f t="shared" si="27"/>
        <v>0.2006</v>
      </c>
      <c r="Q883" t="s">
        <v>66</v>
      </c>
      <c r="R883">
        <v>2025</v>
      </c>
      <c r="S883" t="s">
        <v>25</v>
      </c>
    </row>
    <row r="884" spans="1:19" x14ac:dyDescent="0.3">
      <c r="A884" t="s">
        <v>959</v>
      </c>
      <c r="B884">
        <v>45210</v>
      </c>
      <c r="C884" t="s">
        <v>61</v>
      </c>
      <c r="D884" t="s">
        <v>74</v>
      </c>
      <c r="E884" t="s">
        <v>32</v>
      </c>
      <c r="F884" t="s">
        <v>23</v>
      </c>
      <c r="G884">
        <v>44277.275950000003</v>
      </c>
      <c r="H884">
        <v>26757.49</v>
      </c>
      <c r="I884">
        <v>17519.78</v>
      </c>
      <c r="J884">
        <v>137370.62</v>
      </c>
      <c r="K884">
        <v>22887.38</v>
      </c>
      <c r="L884">
        <v>205100.43</v>
      </c>
      <c r="M884">
        <v>787</v>
      </c>
      <c r="N884">
        <v>2.1999999999999999E-2</v>
      </c>
      <c r="O884">
        <f t="shared" si="26"/>
        <v>0.3957</v>
      </c>
      <c r="P884">
        <f t="shared" si="27"/>
        <v>0.1116</v>
      </c>
      <c r="Q884" t="s">
        <v>44</v>
      </c>
      <c r="R884">
        <v>2023</v>
      </c>
      <c r="S884" t="s">
        <v>25</v>
      </c>
    </row>
    <row r="885" spans="1:19" x14ac:dyDescent="0.3">
      <c r="A885" t="s">
        <v>960</v>
      </c>
      <c r="B885">
        <v>45310</v>
      </c>
      <c r="C885" t="s">
        <v>78</v>
      </c>
      <c r="D885" t="s">
        <v>79</v>
      </c>
      <c r="E885" t="s">
        <v>22</v>
      </c>
      <c r="F885" t="s">
        <v>23</v>
      </c>
      <c r="G885">
        <v>235278.92</v>
      </c>
      <c r="H885">
        <v>193468.94</v>
      </c>
      <c r="I885">
        <v>41809.980000000003</v>
      </c>
      <c r="J885">
        <v>26332.66</v>
      </c>
      <c r="K885">
        <v>18035.59</v>
      </c>
      <c r="L885">
        <v>116306.49</v>
      </c>
      <c r="M885">
        <v>808</v>
      </c>
      <c r="N885">
        <v>-4.7000000000000002E-3</v>
      </c>
      <c r="O885">
        <f t="shared" si="26"/>
        <v>0.1777</v>
      </c>
      <c r="P885">
        <f t="shared" si="27"/>
        <v>0.15509999999999999</v>
      </c>
      <c r="Q885" t="s">
        <v>80</v>
      </c>
      <c r="R885">
        <v>2024</v>
      </c>
      <c r="S885" t="s">
        <v>25</v>
      </c>
    </row>
    <row r="886" spans="1:19" x14ac:dyDescent="0.3">
      <c r="A886" t="s">
        <v>961</v>
      </c>
      <c r="B886">
        <v>45309</v>
      </c>
      <c r="C886" t="s">
        <v>36</v>
      </c>
      <c r="D886" t="s">
        <v>37</v>
      </c>
      <c r="E886" t="s">
        <v>38</v>
      </c>
      <c r="F886" t="s">
        <v>23</v>
      </c>
      <c r="G886">
        <v>130293.68</v>
      </c>
      <c r="H886">
        <v>92322.05</v>
      </c>
      <c r="I886">
        <v>37971.629999999997</v>
      </c>
      <c r="J886">
        <v>23333.9</v>
      </c>
      <c r="K886">
        <v>28655.439999999999</v>
      </c>
      <c r="L886">
        <v>250250.62</v>
      </c>
      <c r="M886">
        <v>480</v>
      </c>
      <c r="N886">
        <v>0.1313</v>
      </c>
      <c r="O886">
        <f t="shared" si="26"/>
        <v>0.29139999999999999</v>
      </c>
      <c r="P886">
        <f t="shared" si="27"/>
        <v>0.1145</v>
      </c>
      <c r="Q886" t="s">
        <v>80</v>
      </c>
      <c r="R886">
        <v>2024</v>
      </c>
      <c r="S886" t="s">
        <v>25</v>
      </c>
    </row>
    <row r="887" spans="1:19" x14ac:dyDescent="0.3">
      <c r="A887" t="s">
        <v>962</v>
      </c>
      <c r="B887">
        <v>45789</v>
      </c>
      <c r="C887" t="s">
        <v>102</v>
      </c>
      <c r="D887" t="s">
        <v>103</v>
      </c>
      <c r="E887" t="s">
        <v>32</v>
      </c>
      <c r="F887" t="s">
        <v>23</v>
      </c>
      <c r="G887">
        <v>111813.42925</v>
      </c>
      <c r="H887">
        <v>72475.990000000005</v>
      </c>
      <c r="I887">
        <v>39337.440000000002</v>
      </c>
      <c r="J887">
        <v>68248.33</v>
      </c>
      <c r="K887">
        <v>69342.17</v>
      </c>
      <c r="L887">
        <v>180030.04</v>
      </c>
      <c r="M887">
        <v>822</v>
      </c>
      <c r="N887">
        <v>5.0999999999999997E-2</v>
      </c>
      <c r="O887">
        <f t="shared" si="26"/>
        <v>0.3518</v>
      </c>
      <c r="P887">
        <f t="shared" si="27"/>
        <v>0.38519999999999999</v>
      </c>
      <c r="Q887" t="s">
        <v>34</v>
      </c>
      <c r="R887">
        <v>2025</v>
      </c>
      <c r="S887" t="s">
        <v>40</v>
      </c>
    </row>
    <row r="888" spans="1:19" x14ac:dyDescent="0.3">
      <c r="A888" t="s">
        <v>963</v>
      </c>
      <c r="B888">
        <v>45195</v>
      </c>
      <c r="C888" t="s">
        <v>42</v>
      </c>
      <c r="D888" t="s">
        <v>43</v>
      </c>
      <c r="E888" t="s">
        <v>38</v>
      </c>
      <c r="F888" t="s">
        <v>23</v>
      </c>
      <c r="G888">
        <v>45512.31</v>
      </c>
      <c r="H888">
        <v>29569.86</v>
      </c>
      <c r="I888">
        <v>15942.45</v>
      </c>
      <c r="J888">
        <v>53777.26</v>
      </c>
      <c r="K888">
        <v>35107.69</v>
      </c>
      <c r="L888">
        <v>75806.789999999994</v>
      </c>
      <c r="M888">
        <v>803</v>
      </c>
      <c r="N888">
        <v>3.5000000000000003E-2</v>
      </c>
      <c r="O888">
        <f t="shared" si="26"/>
        <v>0.3503</v>
      </c>
      <c r="P888">
        <f t="shared" si="27"/>
        <v>0.46310000000000001</v>
      </c>
      <c r="Q888" t="s">
        <v>56</v>
      </c>
      <c r="R888">
        <v>2023</v>
      </c>
      <c r="S888" t="s">
        <v>40</v>
      </c>
    </row>
    <row r="889" spans="1:19" x14ac:dyDescent="0.3">
      <c r="A889" t="s">
        <v>964</v>
      </c>
      <c r="B889">
        <v>45477</v>
      </c>
      <c r="C889" t="s">
        <v>20</v>
      </c>
      <c r="D889" t="s">
        <v>21</v>
      </c>
      <c r="E889" t="s">
        <v>38</v>
      </c>
      <c r="F889" t="s">
        <v>23</v>
      </c>
      <c r="G889">
        <v>65377.53</v>
      </c>
      <c r="H889">
        <v>55856.959999999999</v>
      </c>
      <c r="I889">
        <v>9520.57</v>
      </c>
      <c r="J889">
        <v>9762.76</v>
      </c>
      <c r="K889">
        <v>14067.21</v>
      </c>
      <c r="L889">
        <v>48265.62</v>
      </c>
      <c r="M889">
        <v>1056</v>
      </c>
      <c r="N889">
        <v>0.1573</v>
      </c>
      <c r="O889">
        <f t="shared" si="26"/>
        <v>0.14560000000000001</v>
      </c>
      <c r="P889">
        <f t="shared" si="27"/>
        <v>0.29149999999999998</v>
      </c>
      <c r="Q889" t="s">
        <v>72</v>
      </c>
      <c r="R889">
        <v>2024</v>
      </c>
      <c r="S889" t="s">
        <v>25</v>
      </c>
    </row>
    <row r="890" spans="1:19" x14ac:dyDescent="0.3">
      <c r="A890" t="s">
        <v>965</v>
      </c>
      <c r="B890">
        <v>45688</v>
      </c>
      <c r="C890" t="s">
        <v>1282</v>
      </c>
      <c r="D890" t="s">
        <v>69</v>
      </c>
      <c r="E890" t="s">
        <v>32</v>
      </c>
      <c r="F890" t="s">
        <v>23</v>
      </c>
      <c r="G890">
        <v>79075.451849999998</v>
      </c>
      <c r="H890">
        <v>46609.21</v>
      </c>
      <c r="I890">
        <v>32466.25</v>
      </c>
      <c r="J890">
        <v>27332.71</v>
      </c>
      <c r="K890">
        <v>18734.62</v>
      </c>
      <c r="L890">
        <v>91179.42</v>
      </c>
      <c r="M890">
        <v>1015</v>
      </c>
      <c r="N890">
        <v>-4.2299999999999997E-2</v>
      </c>
      <c r="O890">
        <f t="shared" si="26"/>
        <v>0.41060000000000002</v>
      </c>
      <c r="P890">
        <f t="shared" si="27"/>
        <v>0.20549999999999999</v>
      </c>
      <c r="Q890" t="s">
        <v>106</v>
      </c>
      <c r="R890">
        <v>2025</v>
      </c>
      <c r="S890" t="s">
        <v>25</v>
      </c>
    </row>
    <row r="891" spans="1:19" x14ac:dyDescent="0.3">
      <c r="A891" t="s">
        <v>966</v>
      </c>
      <c r="B891">
        <v>45361</v>
      </c>
      <c r="C891" t="s">
        <v>27</v>
      </c>
      <c r="D891" t="s">
        <v>28</v>
      </c>
      <c r="E891" t="s">
        <v>38</v>
      </c>
      <c r="F891" t="s">
        <v>23</v>
      </c>
      <c r="G891">
        <v>99363.61</v>
      </c>
      <c r="H891">
        <v>56051.39</v>
      </c>
      <c r="I891">
        <v>43312.22</v>
      </c>
      <c r="J891">
        <v>91724.52</v>
      </c>
      <c r="K891">
        <v>117979.34</v>
      </c>
      <c r="L891">
        <v>147117.01</v>
      </c>
      <c r="M891">
        <v>615</v>
      </c>
      <c r="N891">
        <v>-1.9800000000000002E-2</v>
      </c>
      <c r="O891">
        <f t="shared" si="26"/>
        <v>0.43590000000000001</v>
      </c>
      <c r="P891">
        <f t="shared" si="27"/>
        <v>0.80189999999999995</v>
      </c>
      <c r="Q891" t="s">
        <v>80</v>
      </c>
      <c r="R891">
        <v>2024</v>
      </c>
      <c r="S891" t="s">
        <v>82</v>
      </c>
    </row>
    <row r="892" spans="1:19" x14ac:dyDescent="0.3">
      <c r="A892" t="s">
        <v>967</v>
      </c>
      <c r="B892" s="4">
        <v>44783</v>
      </c>
      <c r="C892" t="s">
        <v>48</v>
      </c>
      <c r="D892" t="s">
        <v>49</v>
      </c>
      <c r="E892" t="s">
        <v>22</v>
      </c>
      <c r="F892" t="s">
        <v>23</v>
      </c>
      <c r="G892">
        <v>71545.649999999994</v>
      </c>
      <c r="H892">
        <v>47433.39</v>
      </c>
      <c r="I892">
        <v>24112.26</v>
      </c>
      <c r="J892">
        <v>45753.25</v>
      </c>
      <c r="K892">
        <v>6568.11</v>
      </c>
      <c r="L892">
        <v>82818.95</v>
      </c>
      <c r="M892">
        <v>1165</v>
      </c>
      <c r="N892">
        <v>-0.10290000000000001</v>
      </c>
      <c r="O892">
        <f t="shared" si="26"/>
        <v>0.33700000000000002</v>
      </c>
      <c r="P892">
        <f t="shared" si="27"/>
        <v>7.9299999999999995E-2</v>
      </c>
      <c r="Q892" t="s">
        <v>76</v>
      </c>
      <c r="R892">
        <v>2022</v>
      </c>
      <c r="S892" t="s">
        <v>25</v>
      </c>
    </row>
    <row r="893" spans="1:19" x14ac:dyDescent="0.3">
      <c r="A893" t="s">
        <v>968</v>
      </c>
      <c r="B893">
        <v>45727</v>
      </c>
      <c r="C893" t="s">
        <v>1282</v>
      </c>
      <c r="D893" t="s">
        <v>69</v>
      </c>
      <c r="E893" t="s">
        <v>32</v>
      </c>
      <c r="F893" t="s">
        <v>23</v>
      </c>
      <c r="G893">
        <v>130130.24614999999</v>
      </c>
      <c r="H893">
        <v>108399.52</v>
      </c>
      <c r="I893">
        <v>21730.73</v>
      </c>
      <c r="J893">
        <v>29020.52</v>
      </c>
      <c r="K893">
        <v>30841.78</v>
      </c>
      <c r="L893">
        <v>78836.14</v>
      </c>
      <c r="M893">
        <v>1324</v>
      </c>
      <c r="N893">
        <v>-8.8300000000000003E-2</v>
      </c>
      <c r="O893">
        <f t="shared" si="26"/>
        <v>0.16700000000000001</v>
      </c>
      <c r="P893">
        <f t="shared" si="27"/>
        <v>0.39119999999999999</v>
      </c>
      <c r="Q893" t="s">
        <v>106</v>
      </c>
      <c r="R893">
        <v>2025</v>
      </c>
      <c r="S893" t="s">
        <v>40</v>
      </c>
    </row>
    <row r="894" spans="1:19" x14ac:dyDescent="0.3">
      <c r="A894" t="s">
        <v>969</v>
      </c>
      <c r="B894">
        <v>44807</v>
      </c>
      <c r="C894" t="s">
        <v>61</v>
      </c>
      <c r="D894" t="s">
        <v>74</v>
      </c>
      <c r="E894" t="s">
        <v>22</v>
      </c>
      <c r="F894" t="s">
        <v>23</v>
      </c>
      <c r="G894">
        <v>71795.649999999994</v>
      </c>
      <c r="H894">
        <v>60517.04</v>
      </c>
      <c r="I894">
        <v>11278.61</v>
      </c>
      <c r="J894">
        <v>12148.67</v>
      </c>
      <c r="K894">
        <v>215143.03</v>
      </c>
      <c r="L894">
        <v>28580.14</v>
      </c>
      <c r="M894">
        <v>1226</v>
      </c>
      <c r="N894">
        <v>9.7500000000000003E-2</v>
      </c>
      <c r="O894">
        <f t="shared" si="26"/>
        <v>0.15709999999999999</v>
      </c>
      <c r="P894">
        <f t="shared" si="27"/>
        <v>7.5277000000000003</v>
      </c>
      <c r="Q894" t="s">
        <v>76</v>
      </c>
      <c r="R894">
        <v>2022</v>
      </c>
      <c r="S894" t="s">
        <v>82</v>
      </c>
    </row>
    <row r="895" spans="1:19" x14ac:dyDescent="0.3">
      <c r="A895" t="s">
        <v>970</v>
      </c>
      <c r="B895">
        <v>44845</v>
      </c>
      <c r="C895" t="s">
        <v>102</v>
      </c>
      <c r="D895" t="s">
        <v>103</v>
      </c>
      <c r="E895" t="s">
        <v>38</v>
      </c>
      <c r="F895" t="s">
        <v>23</v>
      </c>
      <c r="G895">
        <v>60549.29</v>
      </c>
      <c r="H895">
        <v>49649.74</v>
      </c>
      <c r="I895">
        <v>10899.55</v>
      </c>
      <c r="J895">
        <v>44842.05</v>
      </c>
      <c r="K895">
        <v>35384.01</v>
      </c>
      <c r="L895">
        <v>119641.17</v>
      </c>
      <c r="M895">
        <v>674</v>
      </c>
      <c r="N895">
        <v>3.61E-2</v>
      </c>
      <c r="O895">
        <f t="shared" si="26"/>
        <v>0.18</v>
      </c>
      <c r="P895">
        <f t="shared" si="27"/>
        <v>0.29580000000000001</v>
      </c>
      <c r="Q895" t="s">
        <v>46</v>
      </c>
      <c r="R895">
        <v>2022</v>
      </c>
      <c r="S895" t="s">
        <v>25</v>
      </c>
    </row>
    <row r="896" spans="1:19" x14ac:dyDescent="0.3">
      <c r="A896" t="s">
        <v>971</v>
      </c>
      <c r="B896" s="4">
        <v>45258</v>
      </c>
      <c r="C896" t="s">
        <v>48</v>
      </c>
      <c r="D896" t="s">
        <v>49</v>
      </c>
      <c r="E896" t="s">
        <v>22</v>
      </c>
      <c r="F896" t="s">
        <v>23</v>
      </c>
      <c r="G896">
        <v>309240.18</v>
      </c>
      <c r="H896">
        <v>281399.58</v>
      </c>
      <c r="I896">
        <v>27840.6</v>
      </c>
      <c r="J896">
        <v>34205.64</v>
      </c>
      <c r="K896">
        <v>29288.39</v>
      </c>
      <c r="L896">
        <v>71315.710000000006</v>
      </c>
      <c r="M896">
        <v>874</v>
      </c>
      <c r="N896">
        <v>9.4600000000000004E-2</v>
      </c>
      <c r="O896">
        <f t="shared" si="26"/>
        <v>0.09</v>
      </c>
      <c r="P896">
        <f t="shared" si="27"/>
        <v>0.41070000000000001</v>
      </c>
      <c r="Q896" t="s">
        <v>44</v>
      </c>
      <c r="R896">
        <v>2023</v>
      </c>
      <c r="S896" t="s">
        <v>40</v>
      </c>
    </row>
    <row r="897" spans="1:19" x14ac:dyDescent="0.3">
      <c r="A897" t="s">
        <v>972</v>
      </c>
      <c r="B897">
        <v>45438</v>
      </c>
      <c r="C897" t="s">
        <v>1282</v>
      </c>
      <c r="D897" t="s">
        <v>69</v>
      </c>
      <c r="E897" t="s">
        <v>32</v>
      </c>
      <c r="F897" t="s">
        <v>23</v>
      </c>
      <c r="G897">
        <v>68085.306750000003</v>
      </c>
      <c r="H897">
        <v>46679.46</v>
      </c>
      <c r="I897">
        <v>21405.84</v>
      </c>
      <c r="J897">
        <v>17380.849999999999</v>
      </c>
      <c r="K897">
        <v>143501.69</v>
      </c>
      <c r="L897">
        <v>132605.68</v>
      </c>
      <c r="M897">
        <v>484</v>
      </c>
      <c r="N897">
        <v>9.9599999999999994E-2</v>
      </c>
      <c r="O897">
        <f t="shared" si="26"/>
        <v>0.31440000000000001</v>
      </c>
      <c r="P897">
        <f t="shared" si="27"/>
        <v>1.0822000000000001</v>
      </c>
      <c r="Q897" t="s">
        <v>111</v>
      </c>
      <c r="R897">
        <v>2024</v>
      </c>
      <c r="S897" t="s">
        <v>82</v>
      </c>
    </row>
    <row r="898" spans="1:19" x14ac:dyDescent="0.3">
      <c r="A898" t="s">
        <v>973</v>
      </c>
      <c r="B898">
        <v>44857</v>
      </c>
      <c r="C898" t="s">
        <v>20</v>
      </c>
      <c r="D898" t="s">
        <v>21</v>
      </c>
      <c r="E898" t="s">
        <v>51</v>
      </c>
      <c r="F898" t="s">
        <v>23</v>
      </c>
      <c r="G898">
        <v>46286.080000000002</v>
      </c>
      <c r="H898">
        <v>37654.17</v>
      </c>
      <c r="I898">
        <v>8631.91</v>
      </c>
      <c r="J898">
        <v>51465.42</v>
      </c>
      <c r="K898">
        <v>10158.299999999999</v>
      </c>
      <c r="L898">
        <v>126222.04</v>
      </c>
      <c r="M898">
        <v>887</v>
      </c>
      <c r="N898">
        <v>-0.1191</v>
      </c>
      <c r="O898">
        <f t="shared" si="26"/>
        <v>0.1865</v>
      </c>
      <c r="P898">
        <f t="shared" si="27"/>
        <v>8.0500000000000002E-2</v>
      </c>
      <c r="Q898" t="s">
        <v>46</v>
      </c>
      <c r="R898">
        <v>2022</v>
      </c>
      <c r="S898" t="s">
        <v>25</v>
      </c>
    </row>
    <row r="899" spans="1:19" x14ac:dyDescent="0.3">
      <c r="A899" t="s">
        <v>974</v>
      </c>
      <c r="B899">
        <v>44905</v>
      </c>
      <c r="C899" t="s">
        <v>36</v>
      </c>
      <c r="D899" t="s">
        <v>37</v>
      </c>
      <c r="E899" t="s">
        <v>32</v>
      </c>
      <c r="F899" t="s">
        <v>23</v>
      </c>
      <c r="G899">
        <v>21335.540700000001</v>
      </c>
      <c r="H899">
        <v>16200.67</v>
      </c>
      <c r="I899">
        <v>5134.87</v>
      </c>
      <c r="J899">
        <v>107128.11</v>
      </c>
      <c r="K899">
        <v>48877</v>
      </c>
      <c r="L899">
        <v>167115.35</v>
      </c>
      <c r="M899">
        <v>962</v>
      </c>
      <c r="N899">
        <v>-1.9900000000000001E-2</v>
      </c>
      <c r="O899">
        <f t="shared" ref="O899:O962" si="28">(ROUND(I899/G899,4))</f>
        <v>0.2407</v>
      </c>
      <c r="P899">
        <f t="shared" ref="P899:P962" si="29">ROUND(K899/L899,4)</f>
        <v>0.29249999999999998</v>
      </c>
      <c r="Q899" t="s">
        <v>46</v>
      </c>
      <c r="R899">
        <v>2022</v>
      </c>
      <c r="S899" t="s">
        <v>25</v>
      </c>
    </row>
    <row r="900" spans="1:19" x14ac:dyDescent="0.3">
      <c r="A900" t="s">
        <v>975</v>
      </c>
      <c r="B900">
        <v>44624</v>
      </c>
      <c r="C900" t="s">
        <v>61</v>
      </c>
      <c r="D900" t="s">
        <v>74</v>
      </c>
      <c r="E900" t="s">
        <v>22</v>
      </c>
      <c r="F900" t="s">
        <v>23</v>
      </c>
      <c r="G900">
        <v>28409.18</v>
      </c>
      <c r="H900">
        <v>17731.009999999998</v>
      </c>
      <c r="I900">
        <v>10678.17</v>
      </c>
      <c r="J900">
        <v>39652.019999999997</v>
      </c>
      <c r="K900">
        <v>50284.74</v>
      </c>
      <c r="L900">
        <v>137882.48000000001</v>
      </c>
      <c r="M900" t="s">
        <v>1281</v>
      </c>
      <c r="N900">
        <v>4.3799999999999999E-2</v>
      </c>
      <c r="O900">
        <f t="shared" si="28"/>
        <v>0.37590000000000001</v>
      </c>
      <c r="P900">
        <f t="shared" si="29"/>
        <v>0.36470000000000002</v>
      </c>
      <c r="Q900" t="s">
        <v>90</v>
      </c>
      <c r="R900">
        <v>2022</v>
      </c>
      <c r="S900" t="s">
        <v>40</v>
      </c>
    </row>
    <row r="901" spans="1:19" x14ac:dyDescent="0.3">
      <c r="A901" t="s">
        <v>976</v>
      </c>
      <c r="B901">
        <v>44638</v>
      </c>
      <c r="C901" t="s">
        <v>61</v>
      </c>
      <c r="D901" t="s">
        <v>74</v>
      </c>
      <c r="E901" t="s">
        <v>22</v>
      </c>
      <c r="F901" t="s">
        <v>23</v>
      </c>
      <c r="G901">
        <v>51399.07</v>
      </c>
      <c r="H901">
        <v>37275.67</v>
      </c>
      <c r="I901">
        <v>14123.4</v>
      </c>
      <c r="J901">
        <v>96344.01</v>
      </c>
      <c r="K901">
        <v>47343.42</v>
      </c>
      <c r="L901">
        <v>150014.99</v>
      </c>
      <c r="M901">
        <v>1018</v>
      </c>
      <c r="N901">
        <v>2.8999999999999998E-3</v>
      </c>
      <c r="O901">
        <f t="shared" si="28"/>
        <v>0.27479999999999999</v>
      </c>
      <c r="P901">
        <f t="shared" si="29"/>
        <v>0.31559999999999999</v>
      </c>
      <c r="Q901" t="s">
        <v>90</v>
      </c>
      <c r="R901">
        <v>2022</v>
      </c>
      <c r="S901" t="s">
        <v>40</v>
      </c>
    </row>
    <row r="902" spans="1:19" x14ac:dyDescent="0.3">
      <c r="A902" t="s">
        <v>977</v>
      </c>
      <c r="B902">
        <v>45391</v>
      </c>
      <c r="C902" t="s">
        <v>78</v>
      </c>
      <c r="D902" t="s">
        <v>79</v>
      </c>
      <c r="E902" t="s">
        <v>38</v>
      </c>
      <c r="F902" t="s">
        <v>23</v>
      </c>
      <c r="G902">
        <v>38180.04</v>
      </c>
      <c r="H902">
        <v>34256.400000000001</v>
      </c>
      <c r="I902">
        <v>3923.64</v>
      </c>
      <c r="J902">
        <v>152591.82999999999</v>
      </c>
      <c r="K902">
        <v>21573.89</v>
      </c>
      <c r="L902">
        <v>198239.46</v>
      </c>
      <c r="M902">
        <v>872</v>
      </c>
      <c r="N902">
        <v>-2.3599999999999999E-2</v>
      </c>
      <c r="O902">
        <f t="shared" si="28"/>
        <v>0.1028</v>
      </c>
      <c r="P902">
        <f t="shared" si="29"/>
        <v>0.10879999999999999</v>
      </c>
      <c r="Q902" t="s">
        <v>111</v>
      </c>
      <c r="R902">
        <v>2024</v>
      </c>
      <c r="S902" t="s">
        <v>25</v>
      </c>
    </row>
    <row r="903" spans="1:19" x14ac:dyDescent="0.3">
      <c r="A903" t="s">
        <v>978</v>
      </c>
      <c r="B903">
        <v>45426</v>
      </c>
      <c r="C903" t="s">
        <v>27</v>
      </c>
      <c r="D903" t="s">
        <v>28</v>
      </c>
      <c r="E903" t="s">
        <v>51</v>
      </c>
      <c r="F903" t="s">
        <v>23</v>
      </c>
      <c r="G903">
        <v>111323.1</v>
      </c>
      <c r="H903">
        <v>65010.98</v>
      </c>
      <c r="I903">
        <v>46312.12</v>
      </c>
      <c r="J903">
        <v>165691.23000000001</v>
      </c>
      <c r="K903">
        <v>15986.1</v>
      </c>
      <c r="L903">
        <v>212555.67</v>
      </c>
      <c r="M903">
        <v>2210</v>
      </c>
      <c r="N903">
        <v>-1.3100000000000001E-2</v>
      </c>
      <c r="O903">
        <f t="shared" si="28"/>
        <v>0.41599999999999998</v>
      </c>
      <c r="P903">
        <f t="shared" si="29"/>
        <v>7.5200000000000003E-2</v>
      </c>
      <c r="Q903" t="s">
        <v>111</v>
      </c>
      <c r="R903">
        <v>2024</v>
      </c>
      <c r="S903" t="s">
        <v>25</v>
      </c>
    </row>
    <row r="904" spans="1:19" x14ac:dyDescent="0.3">
      <c r="A904" t="s">
        <v>979</v>
      </c>
      <c r="B904">
        <v>45151</v>
      </c>
      <c r="C904" t="s">
        <v>20</v>
      </c>
      <c r="D904" t="s">
        <v>21</v>
      </c>
      <c r="E904" t="s">
        <v>22</v>
      </c>
      <c r="F904" t="s">
        <v>23</v>
      </c>
      <c r="G904">
        <v>38161.82</v>
      </c>
      <c r="H904">
        <v>25661.09</v>
      </c>
      <c r="I904">
        <v>12500.73</v>
      </c>
      <c r="J904">
        <v>18059.61</v>
      </c>
      <c r="K904">
        <v>28849.93</v>
      </c>
      <c r="L904">
        <v>34080</v>
      </c>
      <c r="M904">
        <v>1170</v>
      </c>
      <c r="N904">
        <v>-0.2029</v>
      </c>
      <c r="O904">
        <f t="shared" si="28"/>
        <v>0.3276</v>
      </c>
      <c r="P904">
        <f t="shared" si="29"/>
        <v>0.84650000000000003</v>
      </c>
      <c r="Q904" t="s">
        <v>56</v>
      </c>
      <c r="R904">
        <v>2023</v>
      </c>
      <c r="S904" t="s">
        <v>82</v>
      </c>
    </row>
    <row r="905" spans="1:19" x14ac:dyDescent="0.3">
      <c r="A905" t="s">
        <v>980</v>
      </c>
      <c r="B905">
        <v>45355</v>
      </c>
      <c r="C905" t="s">
        <v>61</v>
      </c>
      <c r="D905" t="s">
        <v>74</v>
      </c>
      <c r="E905" t="s">
        <v>32</v>
      </c>
      <c r="F905" t="s">
        <v>23</v>
      </c>
      <c r="G905">
        <v>53587.774750000004</v>
      </c>
      <c r="H905">
        <v>36402.46</v>
      </c>
      <c r="I905">
        <v>17185.32</v>
      </c>
      <c r="J905">
        <v>26299.23</v>
      </c>
      <c r="K905">
        <v>61300.95</v>
      </c>
      <c r="L905">
        <v>152181.16</v>
      </c>
      <c r="M905">
        <v>533</v>
      </c>
      <c r="N905">
        <v>6.4399999999999999E-2</v>
      </c>
      <c r="O905">
        <f t="shared" si="28"/>
        <v>0.32069999999999999</v>
      </c>
      <c r="P905">
        <f t="shared" si="29"/>
        <v>0.40279999999999999</v>
      </c>
      <c r="Q905" t="s">
        <v>80</v>
      </c>
      <c r="R905">
        <v>2024</v>
      </c>
      <c r="S905" t="s">
        <v>40</v>
      </c>
    </row>
    <row r="906" spans="1:19" x14ac:dyDescent="0.3">
      <c r="A906" t="s">
        <v>981</v>
      </c>
      <c r="B906">
        <v>45651</v>
      </c>
      <c r="C906" t="s">
        <v>1282</v>
      </c>
      <c r="D906" t="s">
        <v>69</v>
      </c>
      <c r="E906" t="s">
        <v>32</v>
      </c>
      <c r="F906" t="s">
        <v>23</v>
      </c>
      <c r="G906">
        <v>126122.01334999999</v>
      </c>
      <c r="H906">
        <v>77653.53</v>
      </c>
      <c r="I906">
        <v>48468.480000000003</v>
      </c>
      <c r="J906">
        <v>107628.92</v>
      </c>
      <c r="K906">
        <v>13314.17</v>
      </c>
      <c r="L906">
        <v>134256.92000000001</v>
      </c>
      <c r="M906">
        <v>1557</v>
      </c>
      <c r="N906">
        <v>2.8799999999999999E-2</v>
      </c>
      <c r="O906">
        <f t="shared" si="28"/>
        <v>0.38429999999999997</v>
      </c>
      <c r="P906">
        <f t="shared" si="29"/>
        <v>9.9199999999999997E-2</v>
      </c>
      <c r="Q906" t="s">
        <v>52</v>
      </c>
      <c r="R906">
        <v>2024</v>
      </c>
      <c r="S906" t="s">
        <v>25</v>
      </c>
    </row>
    <row r="907" spans="1:19" x14ac:dyDescent="0.3">
      <c r="A907" t="s">
        <v>982</v>
      </c>
      <c r="B907">
        <v>44760</v>
      </c>
      <c r="C907" t="s">
        <v>20</v>
      </c>
      <c r="D907" t="s">
        <v>21</v>
      </c>
      <c r="E907" t="s">
        <v>22</v>
      </c>
      <c r="F907" t="s">
        <v>23</v>
      </c>
      <c r="G907">
        <v>70167.66</v>
      </c>
      <c r="H907">
        <v>60145.31</v>
      </c>
      <c r="I907">
        <v>10022.35</v>
      </c>
      <c r="J907">
        <v>12663.3</v>
      </c>
      <c r="K907">
        <v>30130</v>
      </c>
      <c r="L907">
        <v>98178.04</v>
      </c>
      <c r="M907">
        <v>1520</v>
      </c>
      <c r="N907">
        <v>-0.11409999999999999</v>
      </c>
      <c r="O907">
        <f t="shared" si="28"/>
        <v>0.14280000000000001</v>
      </c>
      <c r="P907">
        <f t="shared" si="29"/>
        <v>0.30690000000000001</v>
      </c>
      <c r="Q907" t="s">
        <v>76</v>
      </c>
      <c r="R907">
        <v>2022</v>
      </c>
      <c r="S907" t="s">
        <v>40</v>
      </c>
    </row>
    <row r="908" spans="1:19" x14ac:dyDescent="0.3">
      <c r="A908" t="s">
        <v>983</v>
      </c>
      <c r="B908">
        <v>45474</v>
      </c>
      <c r="C908" t="s">
        <v>36</v>
      </c>
      <c r="D908" t="s">
        <v>37</v>
      </c>
      <c r="E908" t="s">
        <v>32</v>
      </c>
      <c r="F908" t="s">
        <v>23</v>
      </c>
      <c r="G908">
        <v>93313.423800000004</v>
      </c>
      <c r="H908">
        <v>62536.38</v>
      </c>
      <c r="I908">
        <v>30777.040000000001</v>
      </c>
      <c r="J908">
        <v>79013.16</v>
      </c>
      <c r="K908">
        <v>26090.77</v>
      </c>
      <c r="L908">
        <v>263695.37</v>
      </c>
      <c r="M908">
        <v>773</v>
      </c>
      <c r="N908">
        <v>-0.14069999999999999</v>
      </c>
      <c r="O908">
        <f t="shared" si="28"/>
        <v>0.32979999999999998</v>
      </c>
      <c r="P908">
        <f t="shared" si="29"/>
        <v>9.8900000000000002E-2</v>
      </c>
      <c r="Q908" t="s">
        <v>72</v>
      </c>
      <c r="R908">
        <v>2024</v>
      </c>
      <c r="S908" t="s">
        <v>25</v>
      </c>
    </row>
    <row r="909" spans="1:19" x14ac:dyDescent="0.3">
      <c r="A909" t="s">
        <v>984</v>
      </c>
      <c r="B909">
        <v>44575</v>
      </c>
      <c r="C909" t="s">
        <v>85</v>
      </c>
      <c r="D909" t="s">
        <v>86</v>
      </c>
      <c r="E909" t="s">
        <v>38</v>
      </c>
      <c r="F909" t="s">
        <v>23</v>
      </c>
      <c r="G909">
        <v>30605</v>
      </c>
      <c r="H909">
        <v>21063.81</v>
      </c>
      <c r="I909">
        <v>9541.19</v>
      </c>
      <c r="J909">
        <v>23389.09</v>
      </c>
      <c r="K909">
        <v>12091.78</v>
      </c>
      <c r="L909">
        <v>64056.18</v>
      </c>
      <c r="M909">
        <v>709</v>
      </c>
      <c r="N909">
        <v>0.1905</v>
      </c>
      <c r="O909">
        <f t="shared" si="28"/>
        <v>0.31180000000000002</v>
      </c>
      <c r="P909">
        <f t="shared" si="29"/>
        <v>0.1888</v>
      </c>
      <c r="Q909" t="s">
        <v>90</v>
      </c>
      <c r="R909">
        <v>2022</v>
      </c>
      <c r="S909" t="s">
        <v>25</v>
      </c>
    </row>
    <row r="910" spans="1:19" x14ac:dyDescent="0.3">
      <c r="A910" t="s">
        <v>985</v>
      </c>
      <c r="B910">
        <v>45668</v>
      </c>
      <c r="C910" t="s">
        <v>78</v>
      </c>
      <c r="D910" t="s">
        <v>79</v>
      </c>
      <c r="E910" t="s">
        <v>51</v>
      </c>
      <c r="F910" t="s">
        <v>23</v>
      </c>
      <c r="G910">
        <v>120855.52</v>
      </c>
      <c r="H910">
        <v>106092.7</v>
      </c>
      <c r="I910">
        <v>14762.82</v>
      </c>
      <c r="J910">
        <v>56852.3</v>
      </c>
      <c r="K910">
        <v>34337.74</v>
      </c>
      <c r="L910">
        <v>124526.79</v>
      </c>
      <c r="M910">
        <v>914</v>
      </c>
      <c r="N910">
        <v>-0.1469</v>
      </c>
      <c r="O910">
        <f t="shared" si="28"/>
        <v>0.1222</v>
      </c>
      <c r="P910">
        <f t="shared" si="29"/>
        <v>0.2757</v>
      </c>
      <c r="Q910" t="s">
        <v>106</v>
      </c>
      <c r="R910">
        <v>2025</v>
      </c>
      <c r="S910" t="s">
        <v>25</v>
      </c>
    </row>
    <row r="911" spans="1:19" x14ac:dyDescent="0.3">
      <c r="A911" t="s">
        <v>986</v>
      </c>
      <c r="B911">
        <v>45129</v>
      </c>
      <c r="C911" t="s">
        <v>54</v>
      </c>
      <c r="D911" t="s">
        <v>55</v>
      </c>
      <c r="E911" t="s">
        <v>32</v>
      </c>
      <c r="F911" t="s">
        <v>23</v>
      </c>
      <c r="G911">
        <v>65872.204949999999</v>
      </c>
      <c r="H911">
        <v>42571.78</v>
      </c>
      <c r="I911">
        <v>23300.43</v>
      </c>
      <c r="J911">
        <v>31799.119999999999</v>
      </c>
      <c r="K911">
        <v>17749.55</v>
      </c>
      <c r="L911">
        <v>129159.27</v>
      </c>
      <c r="M911">
        <v>1619</v>
      </c>
      <c r="N911">
        <v>9.7799999999999998E-2</v>
      </c>
      <c r="O911">
        <f t="shared" si="28"/>
        <v>0.35370000000000001</v>
      </c>
      <c r="P911">
        <f t="shared" si="29"/>
        <v>0.13739999999999999</v>
      </c>
      <c r="Q911" t="s">
        <v>56</v>
      </c>
      <c r="R911">
        <v>2023</v>
      </c>
      <c r="S911" t="s">
        <v>25</v>
      </c>
    </row>
    <row r="912" spans="1:19" x14ac:dyDescent="0.3">
      <c r="A912" t="s">
        <v>987</v>
      </c>
      <c r="B912">
        <v>45484</v>
      </c>
      <c r="C912" t="s">
        <v>78</v>
      </c>
      <c r="D912" t="s">
        <v>79</v>
      </c>
      <c r="E912" t="s">
        <v>32</v>
      </c>
      <c r="F912" t="s">
        <v>23</v>
      </c>
      <c r="G912">
        <v>36998.671249999999</v>
      </c>
      <c r="H912">
        <v>32582.880000000001</v>
      </c>
      <c r="I912">
        <v>4415.8</v>
      </c>
      <c r="J912">
        <v>92767.05</v>
      </c>
      <c r="K912">
        <v>46894.27</v>
      </c>
      <c r="L912">
        <v>111268.89</v>
      </c>
      <c r="M912">
        <v>755</v>
      </c>
      <c r="N912">
        <v>-2.76E-2</v>
      </c>
      <c r="O912">
        <f t="shared" si="28"/>
        <v>0.11940000000000001</v>
      </c>
      <c r="P912">
        <f t="shared" si="29"/>
        <v>0.4214</v>
      </c>
      <c r="Q912" t="s">
        <v>72</v>
      </c>
      <c r="R912">
        <v>2024</v>
      </c>
      <c r="S912" t="s">
        <v>40</v>
      </c>
    </row>
    <row r="913" spans="1:19" x14ac:dyDescent="0.3">
      <c r="A913" t="s">
        <v>988</v>
      </c>
      <c r="B913">
        <v>45116</v>
      </c>
      <c r="C913" t="s">
        <v>61</v>
      </c>
      <c r="D913" t="s">
        <v>74</v>
      </c>
      <c r="E913" t="s">
        <v>22</v>
      </c>
      <c r="F913" t="s">
        <v>23</v>
      </c>
      <c r="G913">
        <v>30718.02</v>
      </c>
      <c r="H913">
        <v>16905.63</v>
      </c>
      <c r="I913">
        <v>13812.39</v>
      </c>
      <c r="J913">
        <v>49821.84</v>
      </c>
      <c r="K913">
        <v>23395.09</v>
      </c>
      <c r="L913">
        <v>215885.43</v>
      </c>
      <c r="M913">
        <v>824</v>
      </c>
      <c r="N913">
        <v>7.3700000000000002E-2</v>
      </c>
      <c r="O913">
        <f t="shared" si="28"/>
        <v>0.44969999999999999</v>
      </c>
      <c r="P913">
        <f t="shared" si="29"/>
        <v>0.1084</v>
      </c>
      <c r="Q913" t="s">
        <v>56</v>
      </c>
      <c r="R913">
        <v>2023</v>
      </c>
      <c r="S913" t="s">
        <v>25</v>
      </c>
    </row>
    <row r="914" spans="1:19" x14ac:dyDescent="0.3">
      <c r="A914" t="s">
        <v>989</v>
      </c>
      <c r="B914">
        <v>45963</v>
      </c>
      <c r="C914" t="s">
        <v>102</v>
      </c>
      <c r="D914" t="s">
        <v>103</v>
      </c>
      <c r="E914" t="s">
        <v>38</v>
      </c>
      <c r="F914" t="s">
        <v>23</v>
      </c>
      <c r="G914">
        <v>193309.51</v>
      </c>
      <c r="H914">
        <v>143997.12</v>
      </c>
      <c r="I914">
        <v>49312.39</v>
      </c>
      <c r="J914">
        <v>26923.7</v>
      </c>
      <c r="K914">
        <v>10925.53</v>
      </c>
      <c r="L914">
        <v>58486.73</v>
      </c>
      <c r="M914">
        <v>934</v>
      </c>
      <c r="N914">
        <v>-2.69E-2</v>
      </c>
      <c r="O914">
        <f t="shared" si="28"/>
        <v>0.25509999999999999</v>
      </c>
      <c r="P914">
        <f t="shared" si="29"/>
        <v>0.18679999999999999</v>
      </c>
      <c r="Q914" t="s">
        <v>66</v>
      </c>
      <c r="R914">
        <v>2025</v>
      </c>
      <c r="S914" t="s">
        <v>25</v>
      </c>
    </row>
    <row r="915" spans="1:19" x14ac:dyDescent="0.3">
      <c r="A915" t="s">
        <v>990</v>
      </c>
      <c r="B915">
        <v>45758</v>
      </c>
      <c r="C915" t="s">
        <v>102</v>
      </c>
      <c r="D915" t="s">
        <v>103</v>
      </c>
      <c r="E915" t="s">
        <v>22</v>
      </c>
      <c r="F915" t="s">
        <v>23</v>
      </c>
      <c r="G915">
        <v>171890.43</v>
      </c>
      <c r="H915">
        <v>142376.38</v>
      </c>
      <c r="I915">
        <v>29514.05</v>
      </c>
      <c r="J915">
        <v>71775.179999999993</v>
      </c>
      <c r="K915">
        <v>58727.22</v>
      </c>
      <c r="L915">
        <v>132048.41</v>
      </c>
      <c r="M915">
        <v>474</v>
      </c>
      <c r="N915">
        <v>8.3299999999999999E-2</v>
      </c>
      <c r="O915">
        <f t="shared" si="28"/>
        <v>0.17169999999999999</v>
      </c>
      <c r="P915">
        <f t="shared" si="29"/>
        <v>0.44469999999999998</v>
      </c>
      <c r="Q915" t="s">
        <v>34</v>
      </c>
      <c r="R915">
        <v>2025</v>
      </c>
      <c r="S915" t="s">
        <v>40</v>
      </c>
    </row>
    <row r="916" spans="1:19" x14ac:dyDescent="0.3">
      <c r="A916" t="s">
        <v>991</v>
      </c>
      <c r="B916">
        <v>45304</v>
      </c>
      <c r="C916" t="s">
        <v>85</v>
      </c>
      <c r="D916" t="s">
        <v>86</v>
      </c>
      <c r="E916" t="s">
        <v>38</v>
      </c>
      <c r="F916" t="s">
        <v>23</v>
      </c>
      <c r="G916">
        <v>61344.36</v>
      </c>
      <c r="H916">
        <v>35029.53</v>
      </c>
      <c r="I916">
        <v>26314.83</v>
      </c>
      <c r="J916">
        <v>12421.12</v>
      </c>
      <c r="K916">
        <v>28224.07</v>
      </c>
      <c r="L916">
        <v>88774.92</v>
      </c>
      <c r="M916">
        <v>2181</v>
      </c>
      <c r="N916">
        <v>6.4100000000000004E-2</v>
      </c>
      <c r="O916">
        <f t="shared" si="28"/>
        <v>0.42899999999999999</v>
      </c>
      <c r="P916">
        <f t="shared" si="29"/>
        <v>0.31790000000000002</v>
      </c>
      <c r="Q916" t="s">
        <v>80</v>
      </c>
      <c r="R916">
        <v>2024</v>
      </c>
      <c r="S916" t="s">
        <v>40</v>
      </c>
    </row>
    <row r="917" spans="1:19" x14ac:dyDescent="0.3">
      <c r="A917" t="s">
        <v>992</v>
      </c>
      <c r="B917">
        <v>45535</v>
      </c>
      <c r="C917" t="s">
        <v>85</v>
      </c>
      <c r="D917" t="s">
        <v>86</v>
      </c>
      <c r="E917" t="s">
        <v>22</v>
      </c>
      <c r="F917" t="s">
        <v>23</v>
      </c>
      <c r="G917">
        <v>49207.57</v>
      </c>
      <c r="H917">
        <v>29027.87</v>
      </c>
      <c r="I917">
        <v>20179.7</v>
      </c>
      <c r="J917">
        <v>36874.639999999999</v>
      </c>
      <c r="K917">
        <v>9238.67</v>
      </c>
      <c r="L917">
        <v>170517.29</v>
      </c>
      <c r="M917">
        <v>824</v>
      </c>
      <c r="N917">
        <v>-0.15279999999999999</v>
      </c>
      <c r="O917">
        <f t="shared" si="28"/>
        <v>0.41010000000000002</v>
      </c>
      <c r="P917">
        <f t="shared" si="29"/>
        <v>5.4199999999999998E-2</v>
      </c>
      <c r="Q917" t="s">
        <v>72</v>
      </c>
      <c r="R917">
        <v>2024</v>
      </c>
      <c r="S917" t="s">
        <v>25</v>
      </c>
    </row>
    <row r="918" spans="1:19" x14ac:dyDescent="0.3">
      <c r="A918" t="s">
        <v>993</v>
      </c>
      <c r="B918">
        <v>45682</v>
      </c>
      <c r="C918" t="s">
        <v>54</v>
      </c>
      <c r="D918" t="s">
        <v>55</v>
      </c>
      <c r="E918" t="s">
        <v>22</v>
      </c>
      <c r="F918" t="s">
        <v>23</v>
      </c>
      <c r="G918">
        <v>26312.14</v>
      </c>
      <c r="H918">
        <v>17417.560000000001</v>
      </c>
      <c r="I918">
        <v>8894.58</v>
      </c>
      <c r="J918">
        <v>22178.83</v>
      </c>
      <c r="K918">
        <v>32626.02</v>
      </c>
      <c r="L918">
        <v>38553.5</v>
      </c>
      <c r="M918">
        <v>799</v>
      </c>
      <c r="N918">
        <v>0.19500000000000001</v>
      </c>
      <c r="O918">
        <f t="shared" si="28"/>
        <v>0.33800000000000002</v>
      </c>
      <c r="P918">
        <f t="shared" si="29"/>
        <v>0.84630000000000005</v>
      </c>
      <c r="Q918" t="s">
        <v>106</v>
      </c>
      <c r="R918">
        <v>2025</v>
      </c>
      <c r="S918" t="s">
        <v>82</v>
      </c>
    </row>
    <row r="919" spans="1:19" x14ac:dyDescent="0.3">
      <c r="A919" t="s">
        <v>994</v>
      </c>
      <c r="B919">
        <v>45255</v>
      </c>
      <c r="C919" t="s">
        <v>20</v>
      </c>
      <c r="D919" t="s">
        <v>21</v>
      </c>
      <c r="E919" t="s">
        <v>38</v>
      </c>
      <c r="F919" t="s">
        <v>23</v>
      </c>
      <c r="G919">
        <v>18400.25</v>
      </c>
      <c r="H919">
        <v>13807.37</v>
      </c>
      <c r="I919">
        <v>4592.88</v>
      </c>
      <c r="J919">
        <v>27900.23</v>
      </c>
      <c r="K919">
        <v>64702.66</v>
      </c>
      <c r="L919">
        <v>204412.82</v>
      </c>
      <c r="M919">
        <v>2588</v>
      </c>
      <c r="N919">
        <v>-0.1081</v>
      </c>
      <c r="O919">
        <f t="shared" si="28"/>
        <v>0.24959999999999999</v>
      </c>
      <c r="P919">
        <f t="shared" si="29"/>
        <v>0.3165</v>
      </c>
      <c r="Q919" t="s">
        <v>44</v>
      </c>
      <c r="R919">
        <v>2023</v>
      </c>
      <c r="S919" t="s">
        <v>40</v>
      </c>
    </row>
    <row r="920" spans="1:19" x14ac:dyDescent="0.3">
      <c r="A920" t="s">
        <v>995</v>
      </c>
      <c r="B920">
        <v>44639</v>
      </c>
      <c r="C920" t="s">
        <v>20</v>
      </c>
      <c r="D920" t="s">
        <v>21</v>
      </c>
      <c r="E920" t="s">
        <v>38</v>
      </c>
      <c r="F920" t="s">
        <v>23</v>
      </c>
      <c r="G920">
        <v>123575.73</v>
      </c>
      <c r="H920">
        <v>102122.14</v>
      </c>
      <c r="I920">
        <v>21453.59</v>
      </c>
      <c r="J920">
        <v>14365.93</v>
      </c>
      <c r="K920">
        <v>63816.92</v>
      </c>
      <c r="L920">
        <v>182517.41</v>
      </c>
      <c r="M920">
        <v>983</v>
      </c>
      <c r="N920">
        <v>-5.8999999999999999E-3</v>
      </c>
      <c r="O920">
        <f t="shared" si="28"/>
        <v>0.1736</v>
      </c>
      <c r="P920">
        <f t="shared" si="29"/>
        <v>0.34960000000000002</v>
      </c>
      <c r="Q920" t="s">
        <v>90</v>
      </c>
      <c r="R920">
        <v>2022</v>
      </c>
      <c r="S920" t="s">
        <v>40</v>
      </c>
    </row>
    <row r="921" spans="1:19" x14ac:dyDescent="0.3">
      <c r="A921" t="s">
        <v>996</v>
      </c>
      <c r="B921">
        <v>45613</v>
      </c>
      <c r="C921" t="s">
        <v>102</v>
      </c>
      <c r="D921" t="s">
        <v>103</v>
      </c>
      <c r="E921" t="s">
        <v>22</v>
      </c>
      <c r="F921" t="s">
        <v>23</v>
      </c>
      <c r="G921">
        <v>30052.01</v>
      </c>
      <c r="H921">
        <v>17724.61</v>
      </c>
      <c r="I921">
        <v>12327.4</v>
      </c>
      <c r="J921">
        <v>26670.84</v>
      </c>
      <c r="K921">
        <v>11823.66</v>
      </c>
      <c r="L921">
        <v>79641.570000000007</v>
      </c>
      <c r="M921">
        <v>2567</v>
      </c>
      <c r="N921">
        <v>-8.9999999999999993E-3</v>
      </c>
      <c r="O921">
        <f t="shared" si="28"/>
        <v>0.41020000000000001</v>
      </c>
      <c r="P921">
        <f t="shared" si="29"/>
        <v>0.14849999999999999</v>
      </c>
      <c r="Q921" t="s">
        <v>52</v>
      </c>
      <c r="R921">
        <v>2024</v>
      </c>
      <c r="S921" t="s">
        <v>25</v>
      </c>
    </row>
    <row r="922" spans="1:19" x14ac:dyDescent="0.3">
      <c r="A922" t="s">
        <v>997</v>
      </c>
      <c r="B922">
        <v>45001</v>
      </c>
      <c r="C922" t="s">
        <v>102</v>
      </c>
      <c r="D922" t="s">
        <v>103</v>
      </c>
      <c r="E922" t="s">
        <v>22</v>
      </c>
      <c r="F922" t="s">
        <v>23</v>
      </c>
      <c r="G922">
        <v>64996.49</v>
      </c>
      <c r="H922">
        <v>42673.58</v>
      </c>
      <c r="I922">
        <v>22322.91</v>
      </c>
      <c r="J922">
        <v>24668.61</v>
      </c>
      <c r="K922">
        <v>16202.43</v>
      </c>
      <c r="L922">
        <v>76515.69</v>
      </c>
      <c r="M922">
        <v>956</v>
      </c>
      <c r="N922">
        <v>2.0899999999999998E-2</v>
      </c>
      <c r="O922">
        <f t="shared" si="28"/>
        <v>0.34339999999999998</v>
      </c>
      <c r="P922">
        <f t="shared" si="29"/>
        <v>0.21179999999999999</v>
      </c>
      <c r="Q922" t="s">
        <v>118</v>
      </c>
      <c r="R922">
        <v>2023</v>
      </c>
      <c r="S922" t="s">
        <v>25</v>
      </c>
    </row>
    <row r="923" spans="1:19" x14ac:dyDescent="0.3">
      <c r="A923" t="s">
        <v>998</v>
      </c>
      <c r="B923">
        <v>44614</v>
      </c>
      <c r="C923" t="s">
        <v>27</v>
      </c>
      <c r="D923" t="s">
        <v>28</v>
      </c>
      <c r="E923" t="s">
        <v>51</v>
      </c>
      <c r="F923" t="s">
        <v>23</v>
      </c>
      <c r="G923">
        <v>67926.69</v>
      </c>
      <c r="H923">
        <v>57354.94</v>
      </c>
      <c r="I923">
        <v>10571.75</v>
      </c>
      <c r="J923">
        <v>31599.72</v>
      </c>
      <c r="K923">
        <v>8491.99</v>
      </c>
      <c r="L923">
        <v>74600.81</v>
      </c>
      <c r="M923">
        <v>1032</v>
      </c>
      <c r="N923">
        <v>-5.5999999999999999E-3</v>
      </c>
      <c r="O923">
        <f t="shared" si="28"/>
        <v>0.15559999999999999</v>
      </c>
      <c r="P923">
        <f t="shared" si="29"/>
        <v>0.1138</v>
      </c>
      <c r="Q923" t="s">
        <v>90</v>
      </c>
      <c r="R923">
        <v>2022</v>
      </c>
      <c r="S923" t="s">
        <v>25</v>
      </c>
    </row>
    <row r="924" spans="1:19" x14ac:dyDescent="0.3">
      <c r="A924" t="s">
        <v>999</v>
      </c>
      <c r="B924">
        <v>45121</v>
      </c>
      <c r="C924" t="s">
        <v>78</v>
      </c>
      <c r="D924" t="s">
        <v>79</v>
      </c>
      <c r="E924" t="s">
        <v>32</v>
      </c>
      <c r="F924" t="s">
        <v>23</v>
      </c>
      <c r="G924">
        <v>59548.530249999996</v>
      </c>
      <c r="H924">
        <v>47611.44</v>
      </c>
      <c r="I924">
        <v>11937.09</v>
      </c>
      <c r="J924">
        <v>38185.43</v>
      </c>
      <c r="K924">
        <v>11592.22</v>
      </c>
      <c r="L924">
        <v>51984.160000000003</v>
      </c>
      <c r="M924">
        <v>854</v>
      </c>
      <c r="N924">
        <v>8.9800000000000005E-2</v>
      </c>
      <c r="O924">
        <f t="shared" si="28"/>
        <v>0.20050000000000001</v>
      </c>
      <c r="P924">
        <f t="shared" si="29"/>
        <v>0.223</v>
      </c>
      <c r="Q924" t="s">
        <v>56</v>
      </c>
      <c r="R924">
        <v>2023</v>
      </c>
      <c r="S924" t="s">
        <v>25</v>
      </c>
    </row>
    <row r="925" spans="1:19" x14ac:dyDescent="0.3">
      <c r="A925" t="s">
        <v>1000</v>
      </c>
      <c r="B925">
        <v>44759</v>
      </c>
      <c r="C925" t="s">
        <v>30</v>
      </c>
      <c r="D925" t="s">
        <v>31</v>
      </c>
      <c r="E925" t="s">
        <v>38</v>
      </c>
      <c r="F925" t="s">
        <v>23</v>
      </c>
      <c r="G925">
        <v>147817.51999999999</v>
      </c>
      <c r="H925">
        <v>110950.48</v>
      </c>
      <c r="I925">
        <v>36867.040000000001</v>
      </c>
      <c r="J925">
        <v>28029.24</v>
      </c>
      <c r="K925">
        <v>20954.38</v>
      </c>
      <c r="L925">
        <v>282833.83</v>
      </c>
      <c r="M925">
        <v>400</v>
      </c>
      <c r="N925">
        <v>-0.14130000000000001</v>
      </c>
      <c r="O925">
        <f t="shared" si="28"/>
        <v>0.24940000000000001</v>
      </c>
      <c r="P925">
        <f t="shared" si="29"/>
        <v>7.4099999999999999E-2</v>
      </c>
      <c r="Q925" t="s">
        <v>76</v>
      </c>
      <c r="R925">
        <v>2022</v>
      </c>
      <c r="S925" t="s">
        <v>25</v>
      </c>
    </row>
    <row r="926" spans="1:19" x14ac:dyDescent="0.3">
      <c r="A926" t="s">
        <v>1001</v>
      </c>
      <c r="B926">
        <v>44696</v>
      </c>
      <c r="C926" t="s">
        <v>20</v>
      </c>
      <c r="D926" t="s">
        <v>21</v>
      </c>
      <c r="E926" t="s">
        <v>32</v>
      </c>
      <c r="F926" t="s">
        <v>23</v>
      </c>
      <c r="G926">
        <v>68182.90655</v>
      </c>
      <c r="H926">
        <v>41222.28</v>
      </c>
      <c r="I926">
        <v>26960.63</v>
      </c>
      <c r="J926">
        <v>63182.5</v>
      </c>
      <c r="K926">
        <v>10983.47</v>
      </c>
      <c r="L926">
        <v>117177.89</v>
      </c>
      <c r="M926">
        <v>904</v>
      </c>
      <c r="N926">
        <v>-2.12E-2</v>
      </c>
      <c r="O926">
        <f t="shared" si="28"/>
        <v>0.39539999999999997</v>
      </c>
      <c r="P926">
        <f t="shared" si="29"/>
        <v>9.3700000000000006E-2</v>
      </c>
      <c r="Q926" t="s">
        <v>58</v>
      </c>
      <c r="R926">
        <v>2022</v>
      </c>
      <c r="S926" t="s">
        <v>25</v>
      </c>
    </row>
    <row r="927" spans="1:19" x14ac:dyDescent="0.3">
      <c r="A927" t="s">
        <v>1002</v>
      </c>
      <c r="B927">
        <v>45377</v>
      </c>
      <c r="C927" t="s">
        <v>1282</v>
      </c>
      <c r="D927" t="s">
        <v>69</v>
      </c>
      <c r="E927" t="s">
        <v>22</v>
      </c>
      <c r="F927" t="s">
        <v>23</v>
      </c>
      <c r="G927">
        <v>215070.61</v>
      </c>
      <c r="H927">
        <v>196735.52</v>
      </c>
      <c r="I927">
        <v>18335.09</v>
      </c>
      <c r="J927">
        <v>27273.14</v>
      </c>
      <c r="K927">
        <v>10501.46</v>
      </c>
      <c r="L927">
        <v>133983.74</v>
      </c>
      <c r="M927">
        <v>1236</v>
      </c>
      <c r="N927">
        <v>0.12790000000000001</v>
      </c>
      <c r="O927">
        <f t="shared" si="28"/>
        <v>8.5300000000000001E-2</v>
      </c>
      <c r="P927">
        <f t="shared" si="29"/>
        <v>7.8399999999999997E-2</v>
      </c>
      <c r="Q927" t="s">
        <v>80</v>
      </c>
      <c r="R927">
        <v>2024</v>
      </c>
      <c r="S927" t="s">
        <v>25</v>
      </c>
    </row>
    <row r="928" spans="1:19" x14ac:dyDescent="0.3">
      <c r="A928" t="s">
        <v>1003</v>
      </c>
      <c r="B928">
        <v>45947</v>
      </c>
      <c r="C928" t="s">
        <v>102</v>
      </c>
      <c r="D928" t="s">
        <v>103</v>
      </c>
      <c r="E928" t="s">
        <v>38</v>
      </c>
      <c r="F928" t="s">
        <v>23</v>
      </c>
      <c r="G928">
        <v>101941.73</v>
      </c>
      <c r="H928">
        <v>83334.649999999994</v>
      </c>
      <c r="I928">
        <v>18607.080000000002</v>
      </c>
      <c r="J928">
        <v>31063.52</v>
      </c>
      <c r="K928">
        <v>77678.89</v>
      </c>
      <c r="L928">
        <v>143406.71</v>
      </c>
      <c r="M928">
        <v>1297</v>
      </c>
      <c r="N928">
        <v>-0.24690000000000001</v>
      </c>
      <c r="O928">
        <f t="shared" si="28"/>
        <v>0.1825</v>
      </c>
      <c r="P928">
        <f t="shared" si="29"/>
        <v>0.54169999999999996</v>
      </c>
      <c r="Q928" t="s">
        <v>66</v>
      </c>
      <c r="R928">
        <v>2025</v>
      </c>
      <c r="S928" t="s">
        <v>40</v>
      </c>
    </row>
    <row r="929" spans="1:19" x14ac:dyDescent="0.3">
      <c r="A929" t="s">
        <v>1004</v>
      </c>
      <c r="B929">
        <v>44633</v>
      </c>
      <c r="C929" t="s">
        <v>48</v>
      </c>
      <c r="D929" t="s">
        <v>49</v>
      </c>
      <c r="E929" t="s">
        <v>38</v>
      </c>
      <c r="F929" t="s">
        <v>23</v>
      </c>
      <c r="G929">
        <v>31995.200000000001</v>
      </c>
      <c r="H929">
        <v>25947.82</v>
      </c>
      <c r="I929">
        <v>6047.38</v>
      </c>
      <c r="J929">
        <v>33062.03</v>
      </c>
      <c r="K929">
        <v>11820.9</v>
      </c>
      <c r="L929">
        <v>61619.6</v>
      </c>
      <c r="M929">
        <v>1119</v>
      </c>
      <c r="N929">
        <v>-1.5599999999999999E-2</v>
      </c>
      <c r="O929">
        <f t="shared" si="28"/>
        <v>0.189</v>
      </c>
      <c r="P929">
        <f t="shared" si="29"/>
        <v>0.1918</v>
      </c>
      <c r="Q929" t="s">
        <v>90</v>
      </c>
      <c r="R929">
        <v>2022</v>
      </c>
      <c r="S929" t="s">
        <v>25</v>
      </c>
    </row>
    <row r="930" spans="1:19" x14ac:dyDescent="0.3">
      <c r="A930" t="s">
        <v>1005</v>
      </c>
      <c r="B930">
        <v>44563</v>
      </c>
      <c r="C930" t="s">
        <v>102</v>
      </c>
      <c r="D930" t="s">
        <v>103</v>
      </c>
      <c r="E930" t="s">
        <v>38</v>
      </c>
      <c r="F930" t="s">
        <v>23</v>
      </c>
      <c r="G930">
        <v>135385.66</v>
      </c>
      <c r="H930">
        <v>84167.02</v>
      </c>
      <c r="I930">
        <v>51218.64</v>
      </c>
      <c r="J930">
        <v>52695.56</v>
      </c>
      <c r="K930">
        <v>28929.95</v>
      </c>
      <c r="L930">
        <v>69202.429999999993</v>
      </c>
      <c r="M930">
        <v>1323</v>
      </c>
      <c r="N930">
        <v>-2.0400000000000001E-2</v>
      </c>
      <c r="O930">
        <f t="shared" si="28"/>
        <v>0.37830000000000003</v>
      </c>
      <c r="P930">
        <f t="shared" si="29"/>
        <v>0.41799999999999998</v>
      </c>
      <c r="Q930" t="s">
        <v>90</v>
      </c>
      <c r="R930">
        <v>2022</v>
      </c>
      <c r="S930" t="s">
        <v>40</v>
      </c>
    </row>
    <row r="931" spans="1:19" x14ac:dyDescent="0.3">
      <c r="A931" t="s">
        <v>1006</v>
      </c>
      <c r="B931">
        <v>45005</v>
      </c>
      <c r="C931" t="s">
        <v>54</v>
      </c>
      <c r="D931" t="s">
        <v>55</v>
      </c>
      <c r="E931" t="s">
        <v>32</v>
      </c>
      <c r="F931" t="s">
        <v>23</v>
      </c>
      <c r="G931">
        <v>213404.65344999998</v>
      </c>
      <c r="H931">
        <v>143640.32000000001</v>
      </c>
      <c r="I931">
        <v>69764.33</v>
      </c>
      <c r="J931">
        <v>50657.03</v>
      </c>
      <c r="K931">
        <v>20176.46</v>
      </c>
      <c r="L931">
        <v>173492.58</v>
      </c>
      <c r="M931">
        <v>465</v>
      </c>
      <c r="N931">
        <v>2.76E-2</v>
      </c>
      <c r="O931">
        <f t="shared" si="28"/>
        <v>0.32690000000000002</v>
      </c>
      <c r="P931">
        <f t="shared" si="29"/>
        <v>0.1163</v>
      </c>
      <c r="Q931" t="s">
        <v>118</v>
      </c>
      <c r="R931">
        <v>2023</v>
      </c>
      <c r="S931" t="s">
        <v>25</v>
      </c>
    </row>
    <row r="932" spans="1:19" x14ac:dyDescent="0.3">
      <c r="A932" t="s">
        <v>1007</v>
      </c>
      <c r="B932">
        <v>45220</v>
      </c>
      <c r="C932" t="s">
        <v>36</v>
      </c>
      <c r="D932" t="s">
        <v>37</v>
      </c>
      <c r="E932" t="s">
        <v>38</v>
      </c>
      <c r="F932" t="s">
        <v>23</v>
      </c>
      <c r="G932">
        <v>97365.78</v>
      </c>
      <c r="H932">
        <v>89006.06</v>
      </c>
      <c r="I932">
        <v>8359.7199999999993</v>
      </c>
      <c r="J932">
        <v>22818.39</v>
      </c>
      <c r="K932">
        <v>45630.73</v>
      </c>
      <c r="L932">
        <v>76427.8</v>
      </c>
      <c r="M932">
        <v>910</v>
      </c>
      <c r="N932">
        <v>-3.0999999999999999E-3</v>
      </c>
      <c r="O932">
        <f t="shared" si="28"/>
        <v>8.5900000000000004E-2</v>
      </c>
      <c r="P932">
        <f t="shared" si="29"/>
        <v>0.59699999999999998</v>
      </c>
      <c r="Q932" t="s">
        <v>44</v>
      </c>
      <c r="R932">
        <v>2023</v>
      </c>
      <c r="S932" t="s">
        <v>40</v>
      </c>
    </row>
    <row r="933" spans="1:19" x14ac:dyDescent="0.3">
      <c r="A933" t="s">
        <v>1008</v>
      </c>
      <c r="B933">
        <v>45320</v>
      </c>
      <c r="C933" t="s">
        <v>85</v>
      </c>
      <c r="D933" t="s">
        <v>86</v>
      </c>
      <c r="E933" t="s">
        <v>38</v>
      </c>
      <c r="F933" t="s">
        <v>23</v>
      </c>
      <c r="G933">
        <v>85969.18</v>
      </c>
      <c r="H933">
        <v>68916.38</v>
      </c>
      <c r="I933">
        <v>17052.8</v>
      </c>
      <c r="J933">
        <v>22044.6</v>
      </c>
      <c r="K933">
        <v>38117.82</v>
      </c>
      <c r="L933">
        <v>89881.66</v>
      </c>
      <c r="M933">
        <v>305</v>
      </c>
      <c r="N933">
        <v>-4.0899999999999999E-2</v>
      </c>
      <c r="O933">
        <f t="shared" si="28"/>
        <v>0.19839999999999999</v>
      </c>
      <c r="P933">
        <f t="shared" si="29"/>
        <v>0.42409999999999998</v>
      </c>
      <c r="Q933" t="s">
        <v>80</v>
      </c>
      <c r="R933">
        <v>2024</v>
      </c>
      <c r="S933" t="s">
        <v>40</v>
      </c>
    </row>
    <row r="934" spans="1:19" x14ac:dyDescent="0.3">
      <c r="A934" t="s">
        <v>1009</v>
      </c>
      <c r="B934">
        <v>45167</v>
      </c>
      <c r="C934" t="s">
        <v>61</v>
      </c>
      <c r="D934" t="s">
        <v>74</v>
      </c>
      <c r="E934" t="s">
        <v>32</v>
      </c>
      <c r="F934" t="s">
        <v>23</v>
      </c>
      <c r="G934">
        <v>39461.646399999998</v>
      </c>
      <c r="H934">
        <v>36001.910000000003</v>
      </c>
      <c r="I934">
        <v>3459.73</v>
      </c>
      <c r="J934">
        <v>9403.32</v>
      </c>
      <c r="K934">
        <v>197603.58</v>
      </c>
      <c r="L934">
        <v>61305.3</v>
      </c>
      <c r="M934">
        <v>733</v>
      </c>
      <c r="N934">
        <v>8.9700000000000002E-2</v>
      </c>
      <c r="O934">
        <f t="shared" si="28"/>
        <v>8.77E-2</v>
      </c>
      <c r="P934">
        <f t="shared" si="29"/>
        <v>3.2233000000000001</v>
      </c>
      <c r="Q934" t="s">
        <v>56</v>
      </c>
      <c r="R934">
        <v>2023</v>
      </c>
      <c r="S934" t="s">
        <v>82</v>
      </c>
    </row>
    <row r="935" spans="1:19" x14ac:dyDescent="0.3">
      <c r="A935" t="s">
        <v>1010</v>
      </c>
      <c r="B935">
        <v>45131</v>
      </c>
      <c r="C935" t="s">
        <v>36</v>
      </c>
      <c r="D935" t="s">
        <v>37</v>
      </c>
      <c r="E935" t="s">
        <v>32</v>
      </c>
      <c r="F935" t="s">
        <v>23</v>
      </c>
      <c r="G935">
        <v>128914.09585</v>
      </c>
      <c r="H935">
        <v>110441.23</v>
      </c>
      <c r="I935">
        <v>18472.87</v>
      </c>
      <c r="J935">
        <v>32813.9</v>
      </c>
      <c r="K935">
        <v>15128.22</v>
      </c>
      <c r="L935">
        <v>93629</v>
      </c>
      <c r="M935">
        <v>568</v>
      </c>
      <c r="N935">
        <v>3.5400000000000001E-2</v>
      </c>
      <c r="O935">
        <f t="shared" si="28"/>
        <v>0.14330000000000001</v>
      </c>
      <c r="P935">
        <f t="shared" si="29"/>
        <v>0.16159999999999999</v>
      </c>
      <c r="Q935" t="s">
        <v>56</v>
      </c>
      <c r="R935">
        <v>2023</v>
      </c>
      <c r="S935" t="s">
        <v>25</v>
      </c>
    </row>
    <row r="936" spans="1:19" x14ac:dyDescent="0.3">
      <c r="A936" t="s">
        <v>1011</v>
      </c>
      <c r="B936">
        <v>45852</v>
      </c>
      <c r="C936" t="s">
        <v>54</v>
      </c>
      <c r="D936" t="s">
        <v>55</v>
      </c>
      <c r="E936" t="s">
        <v>22</v>
      </c>
      <c r="F936" t="s">
        <v>23</v>
      </c>
      <c r="G936">
        <v>153455.03</v>
      </c>
      <c r="H936">
        <v>111883.21</v>
      </c>
      <c r="I936">
        <v>41571.82</v>
      </c>
      <c r="J936">
        <v>14383.51</v>
      </c>
      <c r="K936">
        <v>19149.87</v>
      </c>
      <c r="L936">
        <v>68623.91</v>
      </c>
      <c r="M936">
        <v>819</v>
      </c>
      <c r="N936">
        <v>2.3099999999999999E-2</v>
      </c>
      <c r="O936">
        <f t="shared" si="28"/>
        <v>0.27089999999999997</v>
      </c>
      <c r="P936">
        <f t="shared" si="29"/>
        <v>0.27910000000000001</v>
      </c>
      <c r="Q936" t="s">
        <v>24</v>
      </c>
      <c r="R936">
        <v>2025</v>
      </c>
      <c r="S936" t="s">
        <v>25</v>
      </c>
    </row>
    <row r="937" spans="1:19" x14ac:dyDescent="0.3">
      <c r="A937" t="s">
        <v>1012</v>
      </c>
      <c r="B937">
        <v>44878</v>
      </c>
      <c r="C937" t="s">
        <v>85</v>
      </c>
      <c r="D937" t="s">
        <v>86</v>
      </c>
      <c r="E937" t="s">
        <v>38</v>
      </c>
      <c r="F937" t="s">
        <v>23</v>
      </c>
      <c r="G937">
        <v>99141.04</v>
      </c>
      <c r="H937">
        <v>63173.09</v>
      </c>
      <c r="I937">
        <v>35967.949999999997</v>
      </c>
      <c r="J937">
        <v>39342.730000000003</v>
      </c>
      <c r="K937">
        <v>21624.77</v>
      </c>
      <c r="L937">
        <v>132195.09</v>
      </c>
      <c r="M937">
        <v>1018</v>
      </c>
      <c r="N937">
        <v>0.1474</v>
      </c>
      <c r="O937">
        <f t="shared" si="28"/>
        <v>0.36280000000000001</v>
      </c>
      <c r="P937">
        <f t="shared" si="29"/>
        <v>0.1636</v>
      </c>
      <c r="Q937" t="s">
        <v>46</v>
      </c>
      <c r="R937">
        <v>2022</v>
      </c>
      <c r="S937" t="s">
        <v>25</v>
      </c>
    </row>
    <row r="938" spans="1:19" x14ac:dyDescent="0.3">
      <c r="A938" t="s">
        <v>1013</v>
      </c>
      <c r="B938">
        <v>45830</v>
      </c>
      <c r="C938" t="s">
        <v>1282</v>
      </c>
      <c r="D938" t="s">
        <v>69</v>
      </c>
      <c r="E938" t="s">
        <v>32</v>
      </c>
      <c r="F938" t="s">
        <v>23</v>
      </c>
      <c r="G938">
        <v>46391.804700000001</v>
      </c>
      <c r="H938">
        <v>35005</v>
      </c>
      <c r="I938">
        <v>11386.81</v>
      </c>
      <c r="J938">
        <v>57427.58</v>
      </c>
      <c r="K938">
        <v>20744.64</v>
      </c>
      <c r="L938">
        <v>79987.11</v>
      </c>
      <c r="M938">
        <v>877</v>
      </c>
      <c r="N938">
        <v>-0.1086</v>
      </c>
      <c r="O938">
        <f t="shared" si="28"/>
        <v>0.24540000000000001</v>
      </c>
      <c r="P938">
        <f t="shared" si="29"/>
        <v>0.25929999999999997</v>
      </c>
      <c r="Q938" t="s">
        <v>34</v>
      </c>
      <c r="R938">
        <v>2025</v>
      </c>
      <c r="S938" t="s">
        <v>25</v>
      </c>
    </row>
    <row r="939" spans="1:19" x14ac:dyDescent="0.3">
      <c r="A939" t="s">
        <v>1014</v>
      </c>
      <c r="B939">
        <v>45389</v>
      </c>
      <c r="C939" t="s">
        <v>27</v>
      </c>
      <c r="D939" t="s">
        <v>28</v>
      </c>
      <c r="E939" t="s">
        <v>38</v>
      </c>
      <c r="F939" t="s">
        <v>23</v>
      </c>
      <c r="G939">
        <v>42721.71</v>
      </c>
      <c r="H939">
        <v>34466.9</v>
      </c>
      <c r="I939">
        <v>8254.81</v>
      </c>
      <c r="J939">
        <v>36776.93</v>
      </c>
      <c r="K939">
        <v>39097.03</v>
      </c>
      <c r="L939">
        <v>76583.12</v>
      </c>
      <c r="M939">
        <v>715</v>
      </c>
      <c r="N939">
        <v>-0.104</v>
      </c>
      <c r="O939">
        <f t="shared" si="28"/>
        <v>0.19320000000000001</v>
      </c>
      <c r="P939">
        <f t="shared" si="29"/>
        <v>0.51049999999999995</v>
      </c>
      <c r="Q939" t="s">
        <v>111</v>
      </c>
      <c r="R939">
        <v>2024</v>
      </c>
      <c r="S939" t="s">
        <v>40</v>
      </c>
    </row>
    <row r="940" spans="1:19" x14ac:dyDescent="0.3">
      <c r="A940" t="s">
        <v>1015</v>
      </c>
      <c r="B940">
        <v>45871</v>
      </c>
      <c r="C940" t="s">
        <v>42</v>
      </c>
      <c r="D940" t="s">
        <v>43</v>
      </c>
      <c r="E940" t="s">
        <v>38</v>
      </c>
      <c r="F940" t="s">
        <v>23</v>
      </c>
      <c r="G940">
        <v>82319.55</v>
      </c>
      <c r="H940">
        <v>49602.7</v>
      </c>
      <c r="I940">
        <v>32716.85</v>
      </c>
      <c r="J940">
        <v>15911.97</v>
      </c>
      <c r="K940">
        <v>41943.21</v>
      </c>
      <c r="L940">
        <v>89812.7</v>
      </c>
      <c r="M940">
        <v>714</v>
      </c>
      <c r="N940">
        <v>-0.1996</v>
      </c>
      <c r="O940">
        <f t="shared" si="28"/>
        <v>0.39739999999999998</v>
      </c>
      <c r="P940">
        <f t="shared" si="29"/>
        <v>0.46700000000000003</v>
      </c>
      <c r="Q940" t="s">
        <v>24</v>
      </c>
      <c r="R940">
        <v>2025</v>
      </c>
      <c r="S940" t="s">
        <v>40</v>
      </c>
    </row>
    <row r="941" spans="1:19" x14ac:dyDescent="0.3">
      <c r="A941" t="s">
        <v>1016</v>
      </c>
      <c r="B941">
        <v>44848</v>
      </c>
      <c r="C941" t="s">
        <v>61</v>
      </c>
      <c r="D941" t="s">
        <v>74</v>
      </c>
      <c r="E941" t="s">
        <v>38</v>
      </c>
      <c r="F941" t="s">
        <v>23</v>
      </c>
      <c r="G941">
        <v>417621.49</v>
      </c>
      <c r="H941">
        <v>336191.56</v>
      </c>
      <c r="I941">
        <v>81429.929999999993</v>
      </c>
      <c r="J941">
        <v>24414.28</v>
      </c>
      <c r="K941">
        <v>14726.99</v>
      </c>
      <c r="L941">
        <v>79398.740000000005</v>
      </c>
      <c r="M941">
        <v>703</v>
      </c>
      <c r="N941">
        <v>0.1048</v>
      </c>
      <c r="O941">
        <f t="shared" si="28"/>
        <v>0.19500000000000001</v>
      </c>
      <c r="P941">
        <f t="shared" si="29"/>
        <v>0.1855</v>
      </c>
      <c r="Q941" t="s">
        <v>46</v>
      </c>
      <c r="R941">
        <v>2022</v>
      </c>
      <c r="S941" t="s">
        <v>25</v>
      </c>
    </row>
    <row r="942" spans="1:19" x14ac:dyDescent="0.3">
      <c r="A942" t="s">
        <v>1017</v>
      </c>
      <c r="B942">
        <v>45336</v>
      </c>
      <c r="C942" t="s">
        <v>85</v>
      </c>
      <c r="D942" t="s">
        <v>86</v>
      </c>
      <c r="E942" t="s">
        <v>38</v>
      </c>
      <c r="F942" t="s">
        <v>23</v>
      </c>
      <c r="G942">
        <v>53852.77</v>
      </c>
      <c r="H942">
        <v>41605.199999999997</v>
      </c>
      <c r="I942">
        <v>12247.57</v>
      </c>
      <c r="J942">
        <v>72029.55</v>
      </c>
      <c r="K942">
        <v>7338.98</v>
      </c>
      <c r="L942">
        <v>228290.07</v>
      </c>
      <c r="M942">
        <v>900</v>
      </c>
      <c r="N942">
        <v>7.9100000000000004E-2</v>
      </c>
      <c r="O942">
        <f t="shared" si="28"/>
        <v>0.22739999999999999</v>
      </c>
      <c r="P942">
        <f t="shared" si="29"/>
        <v>3.2099999999999997E-2</v>
      </c>
      <c r="Q942" t="s">
        <v>80</v>
      </c>
      <c r="R942">
        <v>2024</v>
      </c>
      <c r="S942" t="s">
        <v>25</v>
      </c>
    </row>
    <row r="943" spans="1:19" x14ac:dyDescent="0.3">
      <c r="A943" t="s">
        <v>1018</v>
      </c>
      <c r="B943">
        <v>45120</v>
      </c>
      <c r="C943" t="s">
        <v>36</v>
      </c>
      <c r="D943" t="s">
        <v>37</v>
      </c>
      <c r="E943" t="s">
        <v>51</v>
      </c>
      <c r="F943" t="s">
        <v>23</v>
      </c>
      <c r="G943">
        <v>52631.5</v>
      </c>
      <c r="H943">
        <v>33679.46</v>
      </c>
      <c r="I943">
        <v>18952.04</v>
      </c>
      <c r="J943">
        <v>36512.269999999997</v>
      </c>
      <c r="K943">
        <v>37295.96</v>
      </c>
      <c r="L943">
        <v>155586.56</v>
      </c>
      <c r="M943">
        <v>377</v>
      </c>
      <c r="N943">
        <v>-5.1700000000000003E-2</v>
      </c>
      <c r="O943">
        <f t="shared" si="28"/>
        <v>0.36009999999999998</v>
      </c>
      <c r="P943">
        <f t="shared" si="29"/>
        <v>0.2397</v>
      </c>
      <c r="Q943" t="s">
        <v>56</v>
      </c>
      <c r="R943">
        <v>2023</v>
      </c>
      <c r="S943" t="s">
        <v>25</v>
      </c>
    </row>
    <row r="944" spans="1:19" x14ac:dyDescent="0.3">
      <c r="A944" t="s">
        <v>1019</v>
      </c>
      <c r="B944">
        <v>45414</v>
      </c>
      <c r="C944" t="s">
        <v>30</v>
      </c>
      <c r="D944" t="s">
        <v>31</v>
      </c>
      <c r="E944" t="s">
        <v>22</v>
      </c>
      <c r="F944" t="s">
        <v>23</v>
      </c>
      <c r="G944">
        <v>285929.88</v>
      </c>
      <c r="H944">
        <v>214957.58</v>
      </c>
      <c r="I944">
        <v>70972.3</v>
      </c>
      <c r="J944">
        <v>49916.77</v>
      </c>
      <c r="K944">
        <v>157184.44</v>
      </c>
      <c r="L944">
        <v>113476.62</v>
      </c>
      <c r="M944">
        <v>159</v>
      </c>
      <c r="N944">
        <v>0.1028</v>
      </c>
      <c r="O944">
        <f t="shared" si="28"/>
        <v>0.2482</v>
      </c>
      <c r="P944">
        <f t="shared" si="29"/>
        <v>1.3852</v>
      </c>
      <c r="Q944" t="s">
        <v>111</v>
      </c>
      <c r="R944">
        <v>2024</v>
      </c>
      <c r="S944" t="s">
        <v>82</v>
      </c>
    </row>
    <row r="945" spans="1:19" x14ac:dyDescent="0.3">
      <c r="A945" t="s">
        <v>1020</v>
      </c>
      <c r="B945">
        <v>45258</v>
      </c>
      <c r="C945" t="s">
        <v>48</v>
      </c>
      <c r="D945" t="s">
        <v>49</v>
      </c>
      <c r="E945" t="s">
        <v>51</v>
      </c>
      <c r="F945" t="s">
        <v>23</v>
      </c>
      <c r="G945">
        <v>56444.36</v>
      </c>
      <c r="H945">
        <v>51364.46</v>
      </c>
      <c r="I945">
        <v>5079.8999999999996</v>
      </c>
      <c r="J945">
        <v>24037.01</v>
      </c>
      <c r="K945">
        <v>18425.72</v>
      </c>
      <c r="L945">
        <v>59156.79</v>
      </c>
      <c r="M945">
        <v>1955</v>
      </c>
      <c r="N945">
        <v>0.1167</v>
      </c>
      <c r="O945">
        <f t="shared" si="28"/>
        <v>0.09</v>
      </c>
      <c r="P945">
        <f t="shared" si="29"/>
        <v>0.3115</v>
      </c>
      <c r="Q945" t="s">
        <v>44</v>
      </c>
      <c r="R945">
        <v>2023</v>
      </c>
      <c r="S945" t="s">
        <v>40</v>
      </c>
    </row>
    <row r="946" spans="1:19" x14ac:dyDescent="0.3">
      <c r="A946" t="s">
        <v>1021</v>
      </c>
      <c r="B946">
        <v>45182</v>
      </c>
      <c r="C946" t="s">
        <v>78</v>
      </c>
      <c r="D946" t="s">
        <v>79</v>
      </c>
      <c r="E946" t="s">
        <v>22</v>
      </c>
      <c r="F946" t="s">
        <v>23</v>
      </c>
      <c r="G946">
        <v>64243.41</v>
      </c>
      <c r="H946">
        <v>39934.410000000003</v>
      </c>
      <c r="I946">
        <v>24309</v>
      </c>
      <c r="J946">
        <v>24553.29</v>
      </c>
      <c r="K946">
        <v>4952.22</v>
      </c>
      <c r="L946">
        <v>148652.44</v>
      </c>
      <c r="M946">
        <v>1084</v>
      </c>
      <c r="N946">
        <v>-6.5500000000000003E-2</v>
      </c>
      <c r="O946">
        <f t="shared" si="28"/>
        <v>0.37840000000000001</v>
      </c>
      <c r="P946">
        <f t="shared" si="29"/>
        <v>3.3300000000000003E-2</v>
      </c>
      <c r="Q946" t="s">
        <v>56</v>
      </c>
      <c r="R946">
        <v>2023</v>
      </c>
      <c r="S946" t="s">
        <v>25</v>
      </c>
    </row>
    <row r="947" spans="1:19" x14ac:dyDescent="0.3">
      <c r="A947" t="s">
        <v>1022</v>
      </c>
      <c r="B947">
        <v>45111</v>
      </c>
      <c r="C947" t="s">
        <v>85</v>
      </c>
      <c r="D947" t="s">
        <v>86</v>
      </c>
      <c r="E947" t="s">
        <v>38</v>
      </c>
      <c r="F947" t="s">
        <v>23</v>
      </c>
      <c r="G947">
        <v>217373.09</v>
      </c>
      <c r="H947">
        <v>136064.79999999999</v>
      </c>
      <c r="I947">
        <v>81308.289999999994</v>
      </c>
      <c r="J947">
        <v>29834.7</v>
      </c>
      <c r="K947">
        <v>12379.22</v>
      </c>
      <c r="L947">
        <v>52321.66</v>
      </c>
      <c r="M947">
        <v>1204</v>
      </c>
      <c r="N947">
        <v>4.4900000000000002E-2</v>
      </c>
      <c r="O947">
        <f t="shared" si="28"/>
        <v>0.374</v>
      </c>
      <c r="P947">
        <f t="shared" si="29"/>
        <v>0.2366</v>
      </c>
      <c r="Q947" t="s">
        <v>56</v>
      </c>
      <c r="R947">
        <v>2023</v>
      </c>
      <c r="S947" t="s">
        <v>25</v>
      </c>
    </row>
    <row r="948" spans="1:19" x14ac:dyDescent="0.3">
      <c r="A948" t="s">
        <v>1023</v>
      </c>
      <c r="B948">
        <v>44684</v>
      </c>
      <c r="C948" t="s">
        <v>42</v>
      </c>
      <c r="D948" t="s">
        <v>43</v>
      </c>
      <c r="E948" t="s">
        <v>22</v>
      </c>
      <c r="F948" t="s">
        <v>23</v>
      </c>
      <c r="G948">
        <v>84873.02</v>
      </c>
      <c r="H948">
        <v>61500.42</v>
      </c>
      <c r="I948">
        <v>23372.6</v>
      </c>
      <c r="J948">
        <v>20501.16</v>
      </c>
      <c r="K948">
        <v>22086.97</v>
      </c>
      <c r="L948">
        <v>124418.29</v>
      </c>
      <c r="M948">
        <v>900</v>
      </c>
      <c r="N948">
        <v>-0.12859999999999999</v>
      </c>
      <c r="O948">
        <f t="shared" si="28"/>
        <v>0.27539999999999998</v>
      </c>
      <c r="P948">
        <f t="shared" si="29"/>
        <v>0.17749999999999999</v>
      </c>
      <c r="Q948" t="s">
        <v>58</v>
      </c>
      <c r="R948">
        <v>2022</v>
      </c>
      <c r="S948" t="s">
        <v>25</v>
      </c>
    </row>
    <row r="949" spans="1:19" x14ac:dyDescent="0.3">
      <c r="A949" t="s">
        <v>1024</v>
      </c>
      <c r="B949">
        <v>45195</v>
      </c>
      <c r="C949" t="s">
        <v>54</v>
      </c>
      <c r="D949" t="s">
        <v>55</v>
      </c>
      <c r="E949" t="s">
        <v>38</v>
      </c>
      <c r="F949" t="s">
        <v>23</v>
      </c>
      <c r="G949">
        <v>107001.69</v>
      </c>
      <c r="H949">
        <v>97366.93</v>
      </c>
      <c r="I949">
        <v>9634.76</v>
      </c>
      <c r="J949">
        <v>44417.87</v>
      </c>
      <c r="K949">
        <v>55896.76</v>
      </c>
      <c r="L949">
        <v>72976.53</v>
      </c>
      <c r="M949">
        <v>1857</v>
      </c>
      <c r="N949">
        <v>-6.2399999999999997E-2</v>
      </c>
      <c r="O949">
        <f t="shared" si="28"/>
        <v>0.09</v>
      </c>
      <c r="P949">
        <f t="shared" si="29"/>
        <v>0.76600000000000001</v>
      </c>
      <c r="Q949" t="s">
        <v>56</v>
      </c>
      <c r="R949">
        <v>2023</v>
      </c>
      <c r="S949" t="s">
        <v>82</v>
      </c>
    </row>
    <row r="950" spans="1:19" x14ac:dyDescent="0.3">
      <c r="A950" t="s">
        <v>1025</v>
      </c>
      <c r="B950">
        <v>45731</v>
      </c>
      <c r="C950" t="s">
        <v>78</v>
      </c>
      <c r="D950" t="s">
        <v>79</v>
      </c>
      <c r="E950" t="s">
        <v>38</v>
      </c>
      <c r="F950" t="s">
        <v>23</v>
      </c>
      <c r="G950">
        <v>26478.49</v>
      </c>
      <c r="H950">
        <v>23189.93</v>
      </c>
      <c r="I950">
        <v>3288.56</v>
      </c>
      <c r="J950">
        <v>54588.17</v>
      </c>
      <c r="K950">
        <v>10257.459999999999</v>
      </c>
      <c r="L950">
        <v>83078.009999999995</v>
      </c>
      <c r="M950">
        <v>659</v>
      </c>
      <c r="N950">
        <v>-2.3300000000000001E-2</v>
      </c>
      <c r="O950">
        <f t="shared" si="28"/>
        <v>0.1242</v>
      </c>
      <c r="P950">
        <f t="shared" si="29"/>
        <v>0.1235</v>
      </c>
      <c r="Q950" t="s">
        <v>106</v>
      </c>
      <c r="R950">
        <v>2025</v>
      </c>
      <c r="S950" t="s">
        <v>25</v>
      </c>
    </row>
    <row r="951" spans="1:19" x14ac:dyDescent="0.3">
      <c r="A951" t="s">
        <v>1026</v>
      </c>
      <c r="B951">
        <v>45210</v>
      </c>
      <c r="C951" t="s">
        <v>85</v>
      </c>
      <c r="D951" t="s">
        <v>86</v>
      </c>
      <c r="E951" t="s">
        <v>38</v>
      </c>
      <c r="F951" t="s">
        <v>23</v>
      </c>
      <c r="G951">
        <v>32989.040000000001</v>
      </c>
      <c r="H951">
        <v>18394.099999999999</v>
      </c>
      <c r="I951">
        <v>14594.94</v>
      </c>
      <c r="J951">
        <v>6275.54</v>
      </c>
      <c r="K951">
        <v>27233.59</v>
      </c>
      <c r="L951">
        <v>51819.78</v>
      </c>
      <c r="M951">
        <v>1043</v>
      </c>
      <c r="N951">
        <v>2.1100000000000001E-2</v>
      </c>
      <c r="O951">
        <f t="shared" si="28"/>
        <v>0.44240000000000002</v>
      </c>
      <c r="P951">
        <f t="shared" si="29"/>
        <v>0.52549999999999997</v>
      </c>
      <c r="Q951" t="s">
        <v>44</v>
      </c>
      <c r="R951">
        <v>2023</v>
      </c>
      <c r="S951" t="s">
        <v>40</v>
      </c>
    </row>
    <row r="952" spans="1:19" x14ac:dyDescent="0.3">
      <c r="A952" t="s">
        <v>1027</v>
      </c>
      <c r="B952">
        <v>45400</v>
      </c>
      <c r="C952" t="s">
        <v>102</v>
      </c>
      <c r="D952" t="s">
        <v>103</v>
      </c>
      <c r="E952" t="s">
        <v>32</v>
      </c>
      <c r="F952" t="s">
        <v>23</v>
      </c>
      <c r="G952">
        <v>79008.938800000004</v>
      </c>
      <c r="H952">
        <v>61671.58</v>
      </c>
      <c r="I952">
        <v>17337.36</v>
      </c>
      <c r="J952">
        <v>24277.599999999999</v>
      </c>
      <c r="K952">
        <v>45217.54</v>
      </c>
      <c r="L952">
        <v>158380.29</v>
      </c>
      <c r="M952">
        <v>824</v>
      </c>
      <c r="N952">
        <v>-9.8299999999999998E-2</v>
      </c>
      <c r="O952">
        <f t="shared" si="28"/>
        <v>0.21940000000000001</v>
      </c>
      <c r="P952">
        <f t="shared" si="29"/>
        <v>0.28549999999999998</v>
      </c>
      <c r="Q952" t="s">
        <v>111</v>
      </c>
      <c r="R952">
        <v>2024</v>
      </c>
      <c r="S952" t="s">
        <v>25</v>
      </c>
    </row>
    <row r="953" spans="1:19" x14ac:dyDescent="0.3">
      <c r="A953" t="s">
        <v>1028</v>
      </c>
      <c r="B953">
        <v>44717</v>
      </c>
      <c r="C953" t="s">
        <v>61</v>
      </c>
      <c r="D953" t="s">
        <v>74</v>
      </c>
      <c r="E953" t="s">
        <v>38</v>
      </c>
      <c r="F953" t="s">
        <v>23</v>
      </c>
      <c r="G953">
        <v>107188.4</v>
      </c>
      <c r="H953">
        <v>88091.92</v>
      </c>
      <c r="I953">
        <v>19096.48</v>
      </c>
      <c r="J953">
        <v>32822.19</v>
      </c>
      <c r="K953">
        <v>13701.32</v>
      </c>
      <c r="L953">
        <v>145554.44</v>
      </c>
      <c r="M953">
        <v>631</v>
      </c>
      <c r="N953">
        <v>-2E-3</v>
      </c>
      <c r="O953">
        <f t="shared" si="28"/>
        <v>0.1782</v>
      </c>
      <c r="P953">
        <f t="shared" si="29"/>
        <v>9.4100000000000003E-2</v>
      </c>
      <c r="Q953" t="s">
        <v>58</v>
      </c>
      <c r="R953">
        <v>2022</v>
      </c>
      <c r="S953" t="s">
        <v>25</v>
      </c>
    </row>
    <row r="954" spans="1:19" x14ac:dyDescent="0.3">
      <c r="A954" t="s">
        <v>1029</v>
      </c>
      <c r="B954" s="4">
        <v>44747</v>
      </c>
      <c r="C954" t="s">
        <v>48</v>
      </c>
      <c r="D954" t="s">
        <v>49</v>
      </c>
      <c r="E954" t="s">
        <v>22</v>
      </c>
      <c r="F954" t="s">
        <v>23</v>
      </c>
      <c r="G954">
        <v>94460.09</v>
      </c>
      <c r="H954">
        <v>70602.67</v>
      </c>
      <c r="I954">
        <v>23857.42</v>
      </c>
      <c r="J954">
        <v>44105.17</v>
      </c>
      <c r="K954">
        <v>38177.19</v>
      </c>
      <c r="L954">
        <v>202396.39</v>
      </c>
      <c r="M954">
        <v>569</v>
      </c>
      <c r="N954">
        <v>9.1600000000000001E-2</v>
      </c>
      <c r="O954">
        <f t="shared" si="28"/>
        <v>0.25259999999999999</v>
      </c>
      <c r="P954">
        <f t="shared" si="29"/>
        <v>0.18859999999999999</v>
      </c>
      <c r="Q954" t="s">
        <v>76</v>
      </c>
      <c r="R954">
        <v>2022</v>
      </c>
      <c r="S954" t="s">
        <v>25</v>
      </c>
    </row>
    <row r="955" spans="1:19" x14ac:dyDescent="0.3">
      <c r="A955" t="s">
        <v>1030</v>
      </c>
      <c r="B955">
        <v>45735</v>
      </c>
      <c r="C955" t="s">
        <v>61</v>
      </c>
      <c r="D955" t="s">
        <v>74</v>
      </c>
      <c r="E955" t="s">
        <v>32</v>
      </c>
      <c r="F955" t="s">
        <v>23</v>
      </c>
      <c r="G955">
        <v>47744.507700000002</v>
      </c>
      <c r="H955">
        <v>40326.49</v>
      </c>
      <c r="I955">
        <v>7418.02</v>
      </c>
      <c r="J955">
        <v>83311.259999999995</v>
      </c>
      <c r="K955">
        <v>9127.39</v>
      </c>
      <c r="L955">
        <v>96395.01</v>
      </c>
      <c r="M955">
        <v>2056</v>
      </c>
      <c r="N955">
        <v>1.84E-2</v>
      </c>
      <c r="O955">
        <f t="shared" si="28"/>
        <v>0.15540000000000001</v>
      </c>
      <c r="P955">
        <f t="shared" si="29"/>
        <v>9.4700000000000006E-2</v>
      </c>
      <c r="Q955" t="s">
        <v>106</v>
      </c>
      <c r="R955">
        <v>2025</v>
      </c>
      <c r="S955" t="s">
        <v>25</v>
      </c>
    </row>
    <row r="956" spans="1:19" x14ac:dyDescent="0.3">
      <c r="A956" t="s">
        <v>1031</v>
      </c>
      <c r="B956">
        <v>44738</v>
      </c>
      <c r="C956" t="s">
        <v>102</v>
      </c>
      <c r="D956" t="s">
        <v>103</v>
      </c>
      <c r="E956" t="s">
        <v>38</v>
      </c>
      <c r="F956" t="s">
        <v>23</v>
      </c>
      <c r="G956">
        <v>48444.15</v>
      </c>
      <c r="H956">
        <v>38240.370000000003</v>
      </c>
      <c r="I956">
        <v>10203.780000000001</v>
      </c>
      <c r="J956">
        <v>8652.77</v>
      </c>
      <c r="K956">
        <v>181092.93</v>
      </c>
      <c r="L956">
        <v>63521.36</v>
      </c>
      <c r="M956">
        <v>1900</v>
      </c>
      <c r="N956">
        <v>3.3000000000000002E-2</v>
      </c>
      <c r="O956">
        <f t="shared" si="28"/>
        <v>0.21060000000000001</v>
      </c>
      <c r="P956">
        <f t="shared" si="29"/>
        <v>2.8509000000000002</v>
      </c>
      <c r="Q956" t="s">
        <v>58</v>
      </c>
      <c r="R956">
        <v>2022</v>
      </c>
      <c r="S956" t="s">
        <v>82</v>
      </c>
    </row>
    <row r="957" spans="1:19" x14ac:dyDescent="0.3">
      <c r="A957" t="s">
        <v>1032</v>
      </c>
      <c r="B957">
        <v>44588</v>
      </c>
      <c r="C957" t="s">
        <v>61</v>
      </c>
      <c r="D957" t="s">
        <v>74</v>
      </c>
      <c r="E957" t="s">
        <v>51</v>
      </c>
      <c r="F957" t="s">
        <v>23</v>
      </c>
      <c r="G957">
        <v>64750.86</v>
      </c>
      <c r="H957">
        <v>45501.87</v>
      </c>
      <c r="I957">
        <v>19248.990000000002</v>
      </c>
      <c r="J957">
        <v>67701.27</v>
      </c>
      <c r="K957">
        <v>38825.94</v>
      </c>
      <c r="L957">
        <v>247723.84</v>
      </c>
      <c r="M957">
        <v>951</v>
      </c>
      <c r="N957">
        <v>-3.4299999999999997E-2</v>
      </c>
      <c r="O957">
        <f t="shared" si="28"/>
        <v>0.29730000000000001</v>
      </c>
      <c r="P957">
        <f t="shared" si="29"/>
        <v>0.15670000000000001</v>
      </c>
      <c r="Q957" t="s">
        <v>90</v>
      </c>
      <c r="R957">
        <v>2022</v>
      </c>
      <c r="S957" t="s">
        <v>25</v>
      </c>
    </row>
    <row r="958" spans="1:19" x14ac:dyDescent="0.3">
      <c r="A958" t="s">
        <v>1033</v>
      </c>
      <c r="B958">
        <v>45731</v>
      </c>
      <c r="C958" t="s">
        <v>36</v>
      </c>
      <c r="D958" t="s">
        <v>37</v>
      </c>
      <c r="E958" t="s">
        <v>38</v>
      </c>
      <c r="F958" t="s">
        <v>23</v>
      </c>
      <c r="G958">
        <v>40671.17</v>
      </c>
      <c r="H958">
        <v>23942.51</v>
      </c>
      <c r="I958">
        <v>16728.66</v>
      </c>
      <c r="J958">
        <v>217255.67999999999</v>
      </c>
      <c r="K958">
        <v>85710.39</v>
      </c>
      <c r="L958">
        <v>317317.11</v>
      </c>
      <c r="M958">
        <v>1021</v>
      </c>
      <c r="N958">
        <v>2.41E-2</v>
      </c>
      <c r="O958">
        <f t="shared" si="28"/>
        <v>0.4113</v>
      </c>
      <c r="P958">
        <f t="shared" si="29"/>
        <v>0.27010000000000001</v>
      </c>
      <c r="Q958" t="s">
        <v>106</v>
      </c>
      <c r="R958">
        <v>2025</v>
      </c>
      <c r="S958" t="s">
        <v>25</v>
      </c>
    </row>
    <row r="959" spans="1:19" x14ac:dyDescent="0.3">
      <c r="A959" t="s">
        <v>1034</v>
      </c>
      <c r="B959">
        <v>45478</v>
      </c>
      <c r="C959" t="s">
        <v>30</v>
      </c>
      <c r="D959" t="s">
        <v>31</v>
      </c>
      <c r="E959" t="s">
        <v>22</v>
      </c>
      <c r="F959" t="s">
        <v>23</v>
      </c>
      <c r="G959">
        <v>55982.64</v>
      </c>
      <c r="H959">
        <v>34089.769999999997</v>
      </c>
      <c r="I959">
        <v>21892.87</v>
      </c>
      <c r="J959">
        <v>55090.68</v>
      </c>
      <c r="K959">
        <v>5387.45</v>
      </c>
      <c r="L959">
        <v>77272.679999999993</v>
      </c>
      <c r="M959">
        <v>2025</v>
      </c>
      <c r="N959">
        <v>0.1331</v>
      </c>
      <c r="O959">
        <f t="shared" si="28"/>
        <v>0.3911</v>
      </c>
      <c r="P959">
        <f t="shared" si="29"/>
        <v>6.9699999999999998E-2</v>
      </c>
      <c r="Q959" t="s">
        <v>72</v>
      </c>
      <c r="R959">
        <v>2024</v>
      </c>
      <c r="S959" t="s">
        <v>25</v>
      </c>
    </row>
    <row r="960" spans="1:19" x14ac:dyDescent="0.3">
      <c r="A960" t="s">
        <v>1035</v>
      </c>
      <c r="B960">
        <v>44588</v>
      </c>
      <c r="C960" t="s">
        <v>20</v>
      </c>
      <c r="D960" t="s">
        <v>21</v>
      </c>
      <c r="E960" t="s">
        <v>38</v>
      </c>
      <c r="F960" t="s">
        <v>23</v>
      </c>
      <c r="G960">
        <v>21778.720000000001</v>
      </c>
      <c r="H960">
        <v>12049.46</v>
      </c>
      <c r="I960">
        <v>9729.26</v>
      </c>
      <c r="J960">
        <v>57049.93</v>
      </c>
      <c r="K960">
        <v>30004.19</v>
      </c>
      <c r="L960">
        <v>117185.1</v>
      </c>
      <c r="M960">
        <v>2941</v>
      </c>
      <c r="N960">
        <v>0.1217</v>
      </c>
      <c r="O960">
        <f t="shared" si="28"/>
        <v>0.44669999999999999</v>
      </c>
      <c r="P960">
        <f t="shared" si="29"/>
        <v>0.25600000000000001</v>
      </c>
      <c r="Q960" t="s">
        <v>90</v>
      </c>
      <c r="R960">
        <v>2022</v>
      </c>
      <c r="S960" t="s">
        <v>25</v>
      </c>
    </row>
    <row r="961" spans="1:19" x14ac:dyDescent="0.3">
      <c r="A961" t="s">
        <v>1036</v>
      </c>
      <c r="B961">
        <v>45035</v>
      </c>
      <c r="C961" t="s">
        <v>85</v>
      </c>
      <c r="D961" t="s">
        <v>86</v>
      </c>
      <c r="E961" t="s">
        <v>32</v>
      </c>
      <c r="F961" t="s">
        <v>23</v>
      </c>
      <c r="G961">
        <v>61411.410900000003</v>
      </c>
      <c r="H961">
        <v>41825.980000000003</v>
      </c>
      <c r="I961">
        <v>19585.43</v>
      </c>
      <c r="J961">
        <v>66370.5</v>
      </c>
      <c r="K961">
        <v>34697.71</v>
      </c>
      <c r="L961">
        <v>126662.96</v>
      </c>
      <c r="M961">
        <v>933</v>
      </c>
      <c r="N961">
        <v>8.8000000000000005E-3</v>
      </c>
      <c r="O961">
        <f t="shared" si="28"/>
        <v>0.31890000000000002</v>
      </c>
      <c r="P961">
        <f t="shared" si="29"/>
        <v>0.27389999999999998</v>
      </c>
      <c r="Q961" t="s">
        <v>39</v>
      </c>
      <c r="R961">
        <v>2023</v>
      </c>
      <c r="S961" t="s">
        <v>25</v>
      </c>
    </row>
    <row r="962" spans="1:19" x14ac:dyDescent="0.3">
      <c r="A962" t="s">
        <v>1037</v>
      </c>
      <c r="B962">
        <v>45637</v>
      </c>
      <c r="C962" t="s">
        <v>78</v>
      </c>
      <c r="D962" t="s">
        <v>79</v>
      </c>
      <c r="E962" t="s">
        <v>38</v>
      </c>
      <c r="F962" t="s">
        <v>23</v>
      </c>
      <c r="G962">
        <v>20061.04</v>
      </c>
      <c r="H962">
        <v>11590.43</v>
      </c>
      <c r="I962">
        <v>8470.61</v>
      </c>
      <c r="J962">
        <v>41467.440000000002</v>
      </c>
      <c r="K962">
        <v>28544.03</v>
      </c>
      <c r="L962">
        <v>105847.05</v>
      </c>
      <c r="M962">
        <v>1063</v>
      </c>
      <c r="N962">
        <v>-2.6800000000000001E-2</v>
      </c>
      <c r="O962">
        <f t="shared" si="28"/>
        <v>0.42220000000000002</v>
      </c>
      <c r="P962">
        <f t="shared" si="29"/>
        <v>0.2697</v>
      </c>
      <c r="Q962" t="s">
        <v>52</v>
      </c>
      <c r="R962">
        <v>2024</v>
      </c>
      <c r="S962" t="s">
        <v>25</v>
      </c>
    </row>
    <row r="963" spans="1:19" x14ac:dyDescent="0.3">
      <c r="A963" t="s">
        <v>1038</v>
      </c>
      <c r="B963">
        <v>45259</v>
      </c>
      <c r="C963" t="s">
        <v>30</v>
      </c>
      <c r="D963" t="s">
        <v>31</v>
      </c>
      <c r="E963" t="s">
        <v>32</v>
      </c>
      <c r="F963" t="s">
        <v>23</v>
      </c>
      <c r="G963">
        <v>124649.15405</v>
      </c>
      <c r="H963">
        <v>100849.85</v>
      </c>
      <c r="I963">
        <v>23799.31</v>
      </c>
      <c r="J963">
        <v>28069.24</v>
      </c>
      <c r="K963">
        <v>178111.37</v>
      </c>
      <c r="L963">
        <v>168459.67</v>
      </c>
      <c r="M963">
        <v>875</v>
      </c>
      <c r="N963">
        <v>-5.6800000000000003E-2</v>
      </c>
      <c r="O963">
        <f t="shared" ref="O963:O1026" si="30">(ROUND(I963/G963,4))</f>
        <v>0.19089999999999999</v>
      </c>
      <c r="P963">
        <f t="shared" ref="P963:P1026" si="31">ROUND(K963/L963,4)</f>
        <v>1.0572999999999999</v>
      </c>
      <c r="Q963" t="s">
        <v>44</v>
      </c>
      <c r="R963">
        <v>2023</v>
      </c>
      <c r="S963" t="s">
        <v>82</v>
      </c>
    </row>
    <row r="964" spans="1:19" x14ac:dyDescent="0.3">
      <c r="A964" t="s">
        <v>1039</v>
      </c>
      <c r="B964">
        <v>45266</v>
      </c>
      <c r="C964" t="s">
        <v>61</v>
      </c>
      <c r="D964" t="s">
        <v>74</v>
      </c>
      <c r="E964" t="s">
        <v>38</v>
      </c>
      <c r="F964" t="s">
        <v>23</v>
      </c>
      <c r="G964">
        <v>64751.95</v>
      </c>
      <c r="H964">
        <v>40590.879999999997</v>
      </c>
      <c r="I964">
        <v>24161.07</v>
      </c>
      <c r="J964">
        <v>57523.519999999997</v>
      </c>
      <c r="K964">
        <v>54286.89</v>
      </c>
      <c r="L964">
        <v>135467.57999999999</v>
      </c>
      <c r="M964">
        <v>1159</v>
      </c>
      <c r="N964">
        <v>3.8699999999999998E-2</v>
      </c>
      <c r="O964">
        <f t="shared" si="30"/>
        <v>0.37309999999999999</v>
      </c>
      <c r="P964">
        <f t="shared" si="31"/>
        <v>0.4007</v>
      </c>
      <c r="Q964" t="s">
        <v>44</v>
      </c>
      <c r="R964">
        <v>2023</v>
      </c>
      <c r="S964" t="s">
        <v>40</v>
      </c>
    </row>
    <row r="965" spans="1:19" x14ac:dyDescent="0.3">
      <c r="A965" t="s">
        <v>1040</v>
      </c>
      <c r="B965">
        <v>44598</v>
      </c>
      <c r="C965" t="s">
        <v>30</v>
      </c>
      <c r="D965" t="s">
        <v>31</v>
      </c>
      <c r="E965" t="s">
        <v>38</v>
      </c>
      <c r="F965" t="s">
        <v>23</v>
      </c>
      <c r="G965">
        <v>86012.35</v>
      </c>
      <c r="H965">
        <v>76874.25</v>
      </c>
      <c r="I965">
        <v>9138.1</v>
      </c>
      <c r="J965">
        <v>5952.15</v>
      </c>
      <c r="K965">
        <v>18569.32</v>
      </c>
      <c r="L965">
        <v>32885.83</v>
      </c>
      <c r="M965">
        <v>1302</v>
      </c>
      <c r="N965">
        <v>-0.1031</v>
      </c>
      <c r="O965">
        <f t="shared" si="30"/>
        <v>0.1062</v>
      </c>
      <c r="P965">
        <f t="shared" si="31"/>
        <v>0.56469999999999998</v>
      </c>
      <c r="Q965" t="s">
        <v>90</v>
      </c>
      <c r="R965">
        <v>2022</v>
      </c>
      <c r="S965" t="s">
        <v>40</v>
      </c>
    </row>
    <row r="966" spans="1:19" x14ac:dyDescent="0.3">
      <c r="A966" t="s">
        <v>1041</v>
      </c>
      <c r="B966">
        <v>45073</v>
      </c>
      <c r="C966" t="s">
        <v>42</v>
      </c>
      <c r="D966" t="s">
        <v>43</v>
      </c>
      <c r="E966" t="s">
        <v>51</v>
      </c>
      <c r="F966" t="s">
        <v>23</v>
      </c>
      <c r="G966">
        <v>63904.73</v>
      </c>
      <c r="H966">
        <v>46703.53</v>
      </c>
      <c r="I966">
        <v>17201.2</v>
      </c>
      <c r="J966">
        <v>35243.74</v>
      </c>
      <c r="K966">
        <v>119419.37</v>
      </c>
      <c r="L966">
        <v>188897.98</v>
      </c>
      <c r="M966">
        <v>428</v>
      </c>
      <c r="N966">
        <v>-4.9700000000000001E-2</v>
      </c>
      <c r="O966">
        <f t="shared" si="30"/>
        <v>0.26919999999999999</v>
      </c>
      <c r="P966">
        <f t="shared" si="31"/>
        <v>0.63219999999999998</v>
      </c>
      <c r="Q966" t="s">
        <v>39</v>
      </c>
      <c r="R966">
        <v>2023</v>
      </c>
      <c r="S966" t="s">
        <v>82</v>
      </c>
    </row>
    <row r="967" spans="1:19" x14ac:dyDescent="0.3">
      <c r="A967" t="s">
        <v>1042</v>
      </c>
      <c r="B967">
        <v>45933</v>
      </c>
      <c r="C967" t="s">
        <v>1282</v>
      </c>
      <c r="D967" t="s">
        <v>69</v>
      </c>
      <c r="E967" t="s">
        <v>32</v>
      </c>
      <c r="F967" t="s">
        <v>23</v>
      </c>
      <c r="G967">
        <v>110443.6085</v>
      </c>
      <c r="H967">
        <v>90054.33</v>
      </c>
      <c r="I967">
        <v>20389.28</v>
      </c>
      <c r="J967">
        <v>43001.99</v>
      </c>
      <c r="K967">
        <v>18575.52</v>
      </c>
      <c r="L967">
        <v>143034.10999999999</v>
      </c>
      <c r="M967">
        <v>719</v>
      </c>
      <c r="N967">
        <v>-0.18840000000000001</v>
      </c>
      <c r="O967">
        <f t="shared" si="30"/>
        <v>0.18459999999999999</v>
      </c>
      <c r="P967">
        <f t="shared" si="31"/>
        <v>0.12989999999999999</v>
      </c>
      <c r="Q967" t="s">
        <v>66</v>
      </c>
      <c r="R967">
        <v>2025</v>
      </c>
      <c r="S967" t="s">
        <v>25</v>
      </c>
    </row>
    <row r="968" spans="1:19" x14ac:dyDescent="0.3">
      <c r="A968" t="s">
        <v>1043</v>
      </c>
      <c r="B968">
        <v>45613</v>
      </c>
      <c r="C968" t="s">
        <v>78</v>
      </c>
      <c r="D968" t="s">
        <v>79</v>
      </c>
      <c r="E968" t="s">
        <v>51</v>
      </c>
      <c r="F968" t="s">
        <v>23</v>
      </c>
      <c r="G968">
        <v>141318.46</v>
      </c>
      <c r="H968">
        <v>102315.52</v>
      </c>
      <c r="I968">
        <v>39002.94</v>
      </c>
      <c r="J968">
        <v>14889.71</v>
      </c>
      <c r="K968">
        <v>35401.29</v>
      </c>
      <c r="L968">
        <v>73465.759999999995</v>
      </c>
      <c r="M968">
        <v>433</v>
      </c>
      <c r="N968">
        <v>-8.4699999999999998E-2</v>
      </c>
      <c r="O968">
        <f t="shared" si="30"/>
        <v>0.27600000000000002</v>
      </c>
      <c r="P968">
        <f t="shared" si="31"/>
        <v>0.4819</v>
      </c>
      <c r="Q968" t="s">
        <v>52</v>
      </c>
      <c r="R968">
        <v>2024</v>
      </c>
      <c r="S968" t="s">
        <v>40</v>
      </c>
    </row>
    <row r="969" spans="1:19" x14ac:dyDescent="0.3">
      <c r="A969" t="s">
        <v>1044</v>
      </c>
      <c r="B969">
        <v>45336</v>
      </c>
      <c r="C969" t="s">
        <v>61</v>
      </c>
      <c r="D969" t="s">
        <v>74</v>
      </c>
      <c r="E969" t="s">
        <v>22</v>
      </c>
      <c r="F969" t="s">
        <v>23</v>
      </c>
      <c r="G969">
        <v>380025.73</v>
      </c>
      <c r="H969">
        <v>234438.95</v>
      </c>
      <c r="I969">
        <v>145586.78</v>
      </c>
      <c r="J969">
        <v>31003.77</v>
      </c>
      <c r="K969">
        <v>6694.54</v>
      </c>
      <c r="L969">
        <v>106884.39</v>
      </c>
      <c r="M969">
        <v>1261</v>
      </c>
      <c r="N969">
        <v>4.9299999999999997E-2</v>
      </c>
      <c r="O969">
        <f t="shared" si="30"/>
        <v>0.3831</v>
      </c>
      <c r="P969">
        <f t="shared" si="31"/>
        <v>6.2600000000000003E-2</v>
      </c>
      <c r="Q969" t="s">
        <v>80</v>
      </c>
      <c r="R969">
        <v>2024</v>
      </c>
      <c r="S969" t="s">
        <v>25</v>
      </c>
    </row>
    <row r="970" spans="1:19" x14ac:dyDescent="0.3">
      <c r="A970" t="s">
        <v>1045</v>
      </c>
      <c r="B970">
        <v>44806</v>
      </c>
      <c r="C970" t="s">
        <v>61</v>
      </c>
      <c r="D970" t="s">
        <v>74</v>
      </c>
      <c r="E970" t="s">
        <v>38</v>
      </c>
      <c r="F970" t="s">
        <v>23</v>
      </c>
      <c r="G970">
        <v>242924.43</v>
      </c>
      <c r="H970">
        <v>171600.4</v>
      </c>
      <c r="I970">
        <v>71324.03</v>
      </c>
      <c r="J970">
        <v>35455.47</v>
      </c>
      <c r="K970">
        <v>9732.67</v>
      </c>
      <c r="L970">
        <v>144473.81</v>
      </c>
      <c r="M970">
        <v>842</v>
      </c>
      <c r="N970">
        <v>-4.3099999999999999E-2</v>
      </c>
      <c r="O970">
        <f t="shared" si="30"/>
        <v>0.29360000000000003</v>
      </c>
      <c r="P970">
        <f t="shared" si="31"/>
        <v>6.7400000000000002E-2</v>
      </c>
      <c r="Q970" t="s">
        <v>76</v>
      </c>
      <c r="R970">
        <v>2022</v>
      </c>
      <c r="S970" t="s">
        <v>25</v>
      </c>
    </row>
    <row r="971" spans="1:19" x14ac:dyDescent="0.3">
      <c r="A971" t="s">
        <v>1046</v>
      </c>
      <c r="B971">
        <v>44588</v>
      </c>
      <c r="C971" t="s">
        <v>20</v>
      </c>
      <c r="D971" t="s">
        <v>21</v>
      </c>
      <c r="E971" t="s">
        <v>51</v>
      </c>
      <c r="F971" t="s">
        <v>23</v>
      </c>
      <c r="G971">
        <v>59249.95</v>
      </c>
      <c r="H971">
        <v>37470.67</v>
      </c>
      <c r="I971">
        <v>21779.279999999999</v>
      </c>
      <c r="J971">
        <v>37087.47</v>
      </c>
      <c r="K971">
        <v>19522.77</v>
      </c>
      <c r="L971">
        <v>233591.64</v>
      </c>
      <c r="M971">
        <v>1161</v>
      </c>
      <c r="N971">
        <v>0.14050000000000001</v>
      </c>
      <c r="O971">
        <f t="shared" si="30"/>
        <v>0.36759999999999998</v>
      </c>
      <c r="P971">
        <f t="shared" si="31"/>
        <v>8.3599999999999994E-2</v>
      </c>
      <c r="Q971" t="s">
        <v>90</v>
      </c>
      <c r="R971">
        <v>2022</v>
      </c>
      <c r="S971" t="s">
        <v>25</v>
      </c>
    </row>
    <row r="972" spans="1:19" x14ac:dyDescent="0.3">
      <c r="A972" t="s">
        <v>1047</v>
      </c>
      <c r="B972">
        <v>45866</v>
      </c>
      <c r="C972" t="s">
        <v>102</v>
      </c>
      <c r="D972" t="s">
        <v>103</v>
      </c>
      <c r="E972" t="s">
        <v>38</v>
      </c>
      <c r="F972" t="s">
        <v>23</v>
      </c>
      <c r="G972">
        <v>62540.12</v>
      </c>
      <c r="H972">
        <v>39628.959999999999</v>
      </c>
      <c r="I972">
        <v>22911.16</v>
      </c>
      <c r="J972">
        <v>18140.689999999999</v>
      </c>
      <c r="K972">
        <v>18521.11</v>
      </c>
      <c r="L972">
        <v>131002.11</v>
      </c>
      <c r="M972">
        <v>773</v>
      </c>
      <c r="N972">
        <v>-2.3599999999999999E-2</v>
      </c>
      <c r="O972">
        <f t="shared" si="30"/>
        <v>0.36630000000000001</v>
      </c>
      <c r="P972">
        <f t="shared" si="31"/>
        <v>0.1414</v>
      </c>
      <c r="Q972" t="s">
        <v>24</v>
      </c>
      <c r="R972">
        <v>2025</v>
      </c>
      <c r="S972" t="s">
        <v>25</v>
      </c>
    </row>
    <row r="973" spans="1:19" x14ac:dyDescent="0.3">
      <c r="A973" t="s">
        <v>1048</v>
      </c>
      <c r="B973">
        <v>45385</v>
      </c>
      <c r="C973" t="s">
        <v>20</v>
      </c>
      <c r="D973" t="s">
        <v>21</v>
      </c>
      <c r="E973" t="s">
        <v>22</v>
      </c>
      <c r="F973" t="s">
        <v>23</v>
      </c>
      <c r="G973">
        <v>71992.42</v>
      </c>
      <c r="H973">
        <v>58971.65</v>
      </c>
      <c r="I973">
        <v>13020.77</v>
      </c>
      <c r="J973">
        <v>46977.33</v>
      </c>
      <c r="K973">
        <v>10767.94</v>
      </c>
      <c r="L973">
        <v>89100.97</v>
      </c>
      <c r="M973">
        <v>516</v>
      </c>
      <c r="N973">
        <v>-5.7000000000000002E-3</v>
      </c>
      <c r="O973">
        <f t="shared" si="30"/>
        <v>0.18090000000000001</v>
      </c>
      <c r="P973">
        <f t="shared" si="31"/>
        <v>0.12089999999999999</v>
      </c>
      <c r="Q973" t="s">
        <v>111</v>
      </c>
      <c r="R973">
        <v>2024</v>
      </c>
      <c r="S973" t="s">
        <v>25</v>
      </c>
    </row>
    <row r="974" spans="1:19" x14ac:dyDescent="0.3">
      <c r="A974" t="s">
        <v>1049</v>
      </c>
      <c r="B974">
        <v>45647</v>
      </c>
      <c r="C974" t="s">
        <v>20</v>
      </c>
      <c r="D974" t="s">
        <v>21</v>
      </c>
      <c r="E974" t="s">
        <v>38</v>
      </c>
      <c r="F974" t="s">
        <v>23</v>
      </c>
      <c r="G974">
        <v>231044.12</v>
      </c>
      <c r="H974">
        <v>173072.71</v>
      </c>
      <c r="I974">
        <v>57971.41</v>
      </c>
      <c r="J974">
        <v>78741.66</v>
      </c>
      <c r="K974">
        <v>14339.06</v>
      </c>
      <c r="L974">
        <v>155566.19</v>
      </c>
      <c r="M974">
        <v>407</v>
      </c>
      <c r="N974">
        <v>4.3999999999999997E-2</v>
      </c>
      <c r="O974">
        <f t="shared" si="30"/>
        <v>0.25090000000000001</v>
      </c>
      <c r="P974">
        <f t="shared" si="31"/>
        <v>9.2200000000000004E-2</v>
      </c>
      <c r="Q974" t="s">
        <v>52</v>
      </c>
      <c r="R974">
        <v>2024</v>
      </c>
      <c r="S974" t="s">
        <v>25</v>
      </c>
    </row>
    <row r="975" spans="1:19" x14ac:dyDescent="0.3">
      <c r="A975" t="s">
        <v>1050</v>
      </c>
      <c r="B975">
        <v>45995</v>
      </c>
      <c r="C975" t="s">
        <v>85</v>
      </c>
      <c r="D975" t="s">
        <v>86</v>
      </c>
      <c r="E975" t="s">
        <v>38</v>
      </c>
      <c r="F975" t="s">
        <v>23</v>
      </c>
      <c r="G975">
        <v>45895.56</v>
      </c>
      <c r="H975">
        <v>41377.919999999998</v>
      </c>
      <c r="I975">
        <v>4517.6400000000003</v>
      </c>
      <c r="J975">
        <v>13637.63</v>
      </c>
      <c r="K975">
        <v>6046.46</v>
      </c>
      <c r="L975">
        <v>149345.70000000001</v>
      </c>
      <c r="M975">
        <v>843</v>
      </c>
      <c r="N975">
        <v>3.7600000000000001E-2</v>
      </c>
      <c r="O975">
        <f t="shared" si="30"/>
        <v>9.8400000000000001E-2</v>
      </c>
      <c r="P975">
        <f t="shared" si="31"/>
        <v>4.0500000000000001E-2</v>
      </c>
      <c r="Q975" t="s">
        <v>66</v>
      </c>
      <c r="R975">
        <v>2025</v>
      </c>
      <c r="S975" t="s">
        <v>25</v>
      </c>
    </row>
    <row r="976" spans="1:19" x14ac:dyDescent="0.3">
      <c r="A976" t="s">
        <v>1051</v>
      </c>
      <c r="B976">
        <v>45659</v>
      </c>
      <c r="C976" t="s">
        <v>61</v>
      </c>
      <c r="D976" t="s">
        <v>74</v>
      </c>
      <c r="E976" t="s">
        <v>32</v>
      </c>
      <c r="F976" t="s">
        <v>23</v>
      </c>
      <c r="G976">
        <v>131271.34170000002</v>
      </c>
      <c r="H976">
        <v>80239.62</v>
      </c>
      <c r="I976">
        <v>51031.72</v>
      </c>
      <c r="J976">
        <v>27320.23</v>
      </c>
      <c r="K976">
        <v>35685.050000000003</v>
      </c>
      <c r="L976">
        <v>280079.78999999998</v>
      </c>
      <c r="M976">
        <v>914</v>
      </c>
      <c r="N976">
        <v>3.7100000000000001E-2</v>
      </c>
      <c r="O976">
        <f t="shared" si="30"/>
        <v>0.38869999999999999</v>
      </c>
      <c r="P976">
        <f t="shared" si="31"/>
        <v>0.12740000000000001</v>
      </c>
      <c r="Q976" t="s">
        <v>106</v>
      </c>
      <c r="R976">
        <v>2025</v>
      </c>
      <c r="S976" t="s">
        <v>25</v>
      </c>
    </row>
    <row r="977" spans="1:19" x14ac:dyDescent="0.3">
      <c r="A977" t="s">
        <v>1052</v>
      </c>
      <c r="B977">
        <v>45992</v>
      </c>
      <c r="C977" t="s">
        <v>27</v>
      </c>
      <c r="D977" t="s">
        <v>28</v>
      </c>
      <c r="E977" t="s">
        <v>22</v>
      </c>
      <c r="F977" t="s">
        <v>23</v>
      </c>
      <c r="G977">
        <v>26032.959999999999</v>
      </c>
      <c r="H977">
        <v>16340.24</v>
      </c>
      <c r="I977">
        <v>9692.7199999999993</v>
      </c>
      <c r="J977">
        <v>81245.009999999995</v>
      </c>
      <c r="K977">
        <v>25322.87</v>
      </c>
      <c r="L977">
        <v>270938.23999999999</v>
      </c>
      <c r="M977">
        <v>667</v>
      </c>
      <c r="N977">
        <v>-3.4599999999999999E-2</v>
      </c>
      <c r="O977">
        <f t="shared" si="30"/>
        <v>0.37230000000000002</v>
      </c>
      <c r="P977">
        <f t="shared" si="31"/>
        <v>9.35E-2</v>
      </c>
      <c r="Q977" t="s">
        <v>66</v>
      </c>
      <c r="R977">
        <v>2025</v>
      </c>
      <c r="S977" t="s">
        <v>25</v>
      </c>
    </row>
    <row r="978" spans="1:19" x14ac:dyDescent="0.3">
      <c r="A978" t="s">
        <v>1053</v>
      </c>
      <c r="B978">
        <v>44873</v>
      </c>
      <c r="C978" t="s">
        <v>54</v>
      </c>
      <c r="D978" t="s">
        <v>55</v>
      </c>
      <c r="E978" t="s">
        <v>22</v>
      </c>
      <c r="F978" t="s">
        <v>23</v>
      </c>
      <c r="G978">
        <v>308449.82</v>
      </c>
      <c r="H978">
        <v>269753.96000000002</v>
      </c>
      <c r="I978">
        <v>38695.86</v>
      </c>
      <c r="J978">
        <v>12792.36</v>
      </c>
      <c r="K978">
        <v>23974.15</v>
      </c>
      <c r="L978">
        <v>147692.22</v>
      </c>
      <c r="M978">
        <v>880</v>
      </c>
      <c r="N978">
        <v>-1.09E-2</v>
      </c>
      <c r="O978">
        <f t="shared" si="30"/>
        <v>0.1255</v>
      </c>
      <c r="P978">
        <f t="shared" si="31"/>
        <v>0.1623</v>
      </c>
      <c r="Q978" t="s">
        <v>46</v>
      </c>
      <c r="R978">
        <v>2022</v>
      </c>
      <c r="S978" t="s">
        <v>25</v>
      </c>
    </row>
    <row r="979" spans="1:19" x14ac:dyDescent="0.3">
      <c r="A979" t="s">
        <v>1054</v>
      </c>
      <c r="B979">
        <v>45025</v>
      </c>
      <c r="C979" t="s">
        <v>61</v>
      </c>
      <c r="D979" t="s">
        <v>74</v>
      </c>
      <c r="E979" t="s">
        <v>32</v>
      </c>
      <c r="F979" t="s">
        <v>23</v>
      </c>
      <c r="G979">
        <v>109811.0647</v>
      </c>
      <c r="H979">
        <v>67817.240000000005</v>
      </c>
      <c r="I979">
        <v>41993.83</v>
      </c>
      <c r="J979">
        <v>18885.71</v>
      </c>
      <c r="K979">
        <v>16528.8</v>
      </c>
      <c r="L979">
        <v>188972.79</v>
      </c>
      <c r="M979">
        <v>858</v>
      </c>
      <c r="N979">
        <v>1.35E-2</v>
      </c>
      <c r="O979">
        <f t="shared" si="30"/>
        <v>0.38240000000000002</v>
      </c>
      <c r="P979">
        <f t="shared" si="31"/>
        <v>8.7499999999999994E-2</v>
      </c>
      <c r="Q979" t="s">
        <v>39</v>
      </c>
      <c r="R979">
        <v>2023</v>
      </c>
      <c r="S979" t="s">
        <v>25</v>
      </c>
    </row>
    <row r="980" spans="1:19" x14ac:dyDescent="0.3">
      <c r="A980" t="s">
        <v>1055</v>
      </c>
      <c r="B980">
        <v>44753</v>
      </c>
      <c r="C980" t="s">
        <v>27</v>
      </c>
      <c r="D980" t="s">
        <v>28</v>
      </c>
      <c r="E980" t="s">
        <v>51</v>
      </c>
      <c r="F980" t="s">
        <v>23</v>
      </c>
      <c r="G980">
        <v>114136.16</v>
      </c>
      <c r="H980">
        <v>89412.96</v>
      </c>
      <c r="I980">
        <v>24723.200000000001</v>
      </c>
      <c r="J980">
        <v>21090.6</v>
      </c>
      <c r="K980">
        <v>6477.56</v>
      </c>
      <c r="L980">
        <v>154093.74</v>
      </c>
      <c r="M980">
        <v>2772</v>
      </c>
      <c r="N980">
        <v>-2.3900000000000001E-2</v>
      </c>
      <c r="O980">
        <f t="shared" si="30"/>
        <v>0.21659999999999999</v>
      </c>
      <c r="P980">
        <f t="shared" si="31"/>
        <v>4.2000000000000003E-2</v>
      </c>
      <c r="Q980" t="s">
        <v>76</v>
      </c>
      <c r="R980">
        <v>2022</v>
      </c>
      <c r="S980" t="s">
        <v>25</v>
      </c>
    </row>
    <row r="981" spans="1:19" x14ac:dyDescent="0.3">
      <c r="A981" t="s">
        <v>1056</v>
      </c>
      <c r="B981">
        <v>45366</v>
      </c>
      <c r="C981" t="s">
        <v>78</v>
      </c>
      <c r="D981" t="s">
        <v>79</v>
      </c>
      <c r="E981" t="s">
        <v>32</v>
      </c>
      <c r="F981" t="s">
        <v>23</v>
      </c>
      <c r="G981">
        <v>148829.14955</v>
      </c>
      <c r="H981">
        <v>126259.42</v>
      </c>
      <c r="I981">
        <v>22569.72</v>
      </c>
      <c r="J981">
        <v>16108.72</v>
      </c>
      <c r="K981">
        <v>26061.84</v>
      </c>
      <c r="L981">
        <v>43550.33</v>
      </c>
      <c r="M981">
        <v>368</v>
      </c>
      <c r="N981">
        <v>5.1000000000000004E-3</v>
      </c>
      <c r="O981">
        <f t="shared" si="30"/>
        <v>0.15160000000000001</v>
      </c>
      <c r="P981">
        <f t="shared" si="31"/>
        <v>0.59840000000000004</v>
      </c>
      <c r="Q981" t="s">
        <v>80</v>
      </c>
      <c r="R981">
        <v>2024</v>
      </c>
      <c r="S981" t="s">
        <v>40</v>
      </c>
    </row>
    <row r="982" spans="1:19" x14ac:dyDescent="0.3">
      <c r="A982" t="s">
        <v>1057</v>
      </c>
      <c r="B982">
        <v>45994</v>
      </c>
      <c r="C982" t="s">
        <v>30</v>
      </c>
      <c r="D982" t="s">
        <v>69</v>
      </c>
      <c r="E982" t="s">
        <v>38</v>
      </c>
      <c r="F982" t="s">
        <v>23</v>
      </c>
      <c r="G982">
        <v>152689.4</v>
      </c>
      <c r="H982">
        <v>97101.04</v>
      </c>
      <c r="I982">
        <v>55588.36</v>
      </c>
      <c r="J982">
        <v>90440.6</v>
      </c>
      <c r="K982">
        <v>2850.95</v>
      </c>
      <c r="L982">
        <v>170167.01</v>
      </c>
      <c r="M982">
        <v>1738</v>
      </c>
      <c r="N982">
        <v>-5.5399999999999998E-2</v>
      </c>
      <c r="O982">
        <f t="shared" si="30"/>
        <v>0.36409999999999998</v>
      </c>
      <c r="P982">
        <f t="shared" si="31"/>
        <v>1.6799999999999999E-2</v>
      </c>
      <c r="Q982" t="s">
        <v>66</v>
      </c>
      <c r="R982">
        <v>2025</v>
      </c>
      <c r="S982" t="s">
        <v>25</v>
      </c>
    </row>
    <row r="983" spans="1:19" x14ac:dyDescent="0.3">
      <c r="A983" t="s">
        <v>1058</v>
      </c>
      <c r="B983">
        <v>45707</v>
      </c>
      <c r="C983" t="s">
        <v>48</v>
      </c>
      <c r="D983" t="s">
        <v>49</v>
      </c>
      <c r="E983" t="s">
        <v>38</v>
      </c>
      <c r="F983" t="s">
        <v>23</v>
      </c>
      <c r="G983">
        <v>23527.040000000001</v>
      </c>
      <c r="H983">
        <v>19587.419999999998</v>
      </c>
      <c r="I983">
        <v>3939.62</v>
      </c>
      <c r="J983">
        <v>15697.76</v>
      </c>
      <c r="K983">
        <v>21681.360000000001</v>
      </c>
      <c r="L983">
        <v>50309.99</v>
      </c>
      <c r="M983">
        <v>799</v>
      </c>
      <c r="N983">
        <v>-2.7900000000000001E-2</v>
      </c>
      <c r="O983">
        <f t="shared" si="30"/>
        <v>0.16750000000000001</v>
      </c>
      <c r="P983">
        <f t="shared" si="31"/>
        <v>0.43099999999999999</v>
      </c>
      <c r="Q983" t="s">
        <v>106</v>
      </c>
      <c r="R983">
        <v>2025</v>
      </c>
      <c r="S983" t="s">
        <v>40</v>
      </c>
    </row>
    <row r="984" spans="1:19" x14ac:dyDescent="0.3">
      <c r="A984" t="s">
        <v>1059</v>
      </c>
      <c r="B984">
        <v>45396</v>
      </c>
      <c r="C984" t="s">
        <v>36</v>
      </c>
      <c r="D984" t="s">
        <v>37</v>
      </c>
      <c r="E984" t="s">
        <v>38</v>
      </c>
      <c r="F984" t="s">
        <v>23</v>
      </c>
      <c r="G984" t="s">
        <v>1281</v>
      </c>
      <c r="H984">
        <v>185065.72</v>
      </c>
      <c r="I984" t="s">
        <v>1281</v>
      </c>
      <c r="J984">
        <v>72947.11</v>
      </c>
      <c r="K984">
        <v>44839.05</v>
      </c>
      <c r="L984">
        <v>286837.26</v>
      </c>
      <c r="M984">
        <v>1042</v>
      </c>
      <c r="N984">
        <v>5.8500000000000003E-2</v>
      </c>
      <c r="O984" t="s">
        <v>1281</v>
      </c>
      <c r="P984">
        <f t="shared" si="31"/>
        <v>0.15629999999999999</v>
      </c>
      <c r="Q984" t="s">
        <v>111</v>
      </c>
      <c r="R984">
        <v>2024</v>
      </c>
      <c r="S984" t="s">
        <v>25</v>
      </c>
    </row>
    <row r="985" spans="1:19" x14ac:dyDescent="0.3">
      <c r="A985" t="s">
        <v>1060</v>
      </c>
      <c r="B985">
        <v>45179</v>
      </c>
      <c r="C985" t="s">
        <v>102</v>
      </c>
      <c r="D985" t="s">
        <v>103</v>
      </c>
      <c r="E985" t="s">
        <v>22</v>
      </c>
      <c r="F985" t="s">
        <v>23</v>
      </c>
      <c r="G985">
        <v>46887.12</v>
      </c>
      <c r="H985">
        <v>42349.19</v>
      </c>
      <c r="I985">
        <v>4537.93</v>
      </c>
      <c r="J985">
        <v>32649.63</v>
      </c>
      <c r="K985">
        <v>36762.1</v>
      </c>
      <c r="L985">
        <v>67173.88</v>
      </c>
      <c r="M985">
        <v>730</v>
      </c>
      <c r="N985">
        <v>1.0500000000000001E-2</v>
      </c>
      <c r="O985">
        <f t="shared" si="30"/>
        <v>9.6799999999999997E-2</v>
      </c>
      <c r="P985">
        <f t="shared" si="31"/>
        <v>0.54730000000000001</v>
      </c>
      <c r="Q985" t="s">
        <v>56</v>
      </c>
      <c r="R985">
        <v>2023</v>
      </c>
      <c r="S985" t="s">
        <v>40</v>
      </c>
    </row>
    <row r="986" spans="1:19" x14ac:dyDescent="0.3">
      <c r="A986" t="s">
        <v>1061</v>
      </c>
      <c r="B986">
        <v>45702</v>
      </c>
      <c r="C986" t="s">
        <v>54</v>
      </c>
      <c r="D986" t="s">
        <v>55</v>
      </c>
      <c r="E986" t="s">
        <v>38</v>
      </c>
      <c r="F986" t="s">
        <v>23</v>
      </c>
      <c r="G986">
        <v>182542.93</v>
      </c>
      <c r="H986">
        <v>103354.59</v>
      </c>
      <c r="I986">
        <v>79188.34</v>
      </c>
      <c r="J986">
        <v>38659.72</v>
      </c>
      <c r="K986">
        <v>5494.68</v>
      </c>
      <c r="L986">
        <v>198098.58</v>
      </c>
      <c r="M986">
        <v>1606</v>
      </c>
      <c r="N986">
        <v>-2.1899999999999999E-2</v>
      </c>
      <c r="O986">
        <f t="shared" si="30"/>
        <v>0.43380000000000002</v>
      </c>
      <c r="P986">
        <f t="shared" si="31"/>
        <v>2.7699999999999999E-2</v>
      </c>
      <c r="Q986" t="s">
        <v>106</v>
      </c>
      <c r="R986">
        <v>2025</v>
      </c>
      <c r="S986" t="s">
        <v>25</v>
      </c>
    </row>
    <row r="987" spans="1:19" x14ac:dyDescent="0.3">
      <c r="A987" t="s">
        <v>1062</v>
      </c>
      <c r="B987">
        <v>45807</v>
      </c>
      <c r="C987" t="s">
        <v>48</v>
      </c>
      <c r="D987" t="s">
        <v>49</v>
      </c>
      <c r="E987" t="s">
        <v>38</v>
      </c>
      <c r="F987" t="s">
        <v>23</v>
      </c>
      <c r="G987">
        <v>156904.47</v>
      </c>
      <c r="H987">
        <v>143138.97</v>
      </c>
      <c r="I987">
        <v>13765.5</v>
      </c>
      <c r="J987">
        <v>75454.66</v>
      </c>
      <c r="K987">
        <v>25662.53</v>
      </c>
      <c r="L987">
        <v>315481.28000000003</v>
      </c>
      <c r="M987">
        <v>405</v>
      </c>
      <c r="N987">
        <v>-2.1600000000000001E-2</v>
      </c>
      <c r="O987">
        <f t="shared" si="30"/>
        <v>8.77E-2</v>
      </c>
      <c r="P987">
        <f t="shared" si="31"/>
        <v>8.1299999999999997E-2</v>
      </c>
      <c r="Q987" t="s">
        <v>34</v>
      </c>
      <c r="R987">
        <v>2025</v>
      </c>
      <c r="S987" t="s">
        <v>25</v>
      </c>
    </row>
    <row r="988" spans="1:19" x14ac:dyDescent="0.3">
      <c r="A988" t="s">
        <v>1063</v>
      </c>
      <c r="B988">
        <v>45425</v>
      </c>
      <c r="C988" t="s">
        <v>27</v>
      </c>
      <c r="D988" t="s">
        <v>28</v>
      </c>
      <c r="E988" t="s">
        <v>22</v>
      </c>
      <c r="F988" t="s">
        <v>23</v>
      </c>
      <c r="G988">
        <v>477376.54</v>
      </c>
      <c r="H988">
        <v>335196.82</v>
      </c>
      <c r="I988">
        <v>142179.72</v>
      </c>
      <c r="J988">
        <v>48246.74</v>
      </c>
      <c r="K988">
        <v>11974.08</v>
      </c>
      <c r="L988">
        <v>103606.6</v>
      </c>
      <c r="M988">
        <v>648</v>
      </c>
      <c r="N988">
        <v>0.14910000000000001</v>
      </c>
      <c r="O988">
        <f t="shared" si="30"/>
        <v>0.29780000000000001</v>
      </c>
      <c r="P988">
        <f t="shared" si="31"/>
        <v>0.11559999999999999</v>
      </c>
      <c r="Q988" t="s">
        <v>111</v>
      </c>
      <c r="R988">
        <v>2024</v>
      </c>
      <c r="S988" t="s">
        <v>25</v>
      </c>
    </row>
    <row r="989" spans="1:19" x14ac:dyDescent="0.3">
      <c r="A989" t="s">
        <v>1064</v>
      </c>
      <c r="B989">
        <v>45987</v>
      </c>
      <c r="C989" t="s">
        <v>78</v>
      </c>
      <c r="D989" t="s">
        <v>79</v>
      </c>
      <c r="E989" t="s">
        <v>38</v>
      </c>
      <c r="F989" t="s">
        <v>23</v>
      </c>
      <c r="G989">
        <v>81242.649999999994</v>
      </c>
      <c r="H989">
        <v>55764.11</v>
      </c>
      <c r="I989">
        <v>25478.54</v>
      </c>
      <c r="J989">
        <v>103163.28</v>
      </c>
      <c r="K989">
        <v>30919.98</v>
      </c>
      <c r="L989">
        <v>140823.84</v>
      </c>
      <c r="M989">
        <v>433</v>
      </c>
      <c r="N989">
        <v>5.7200000000000001E-2</v>
      </c>
      <c r="O989">
        <f t="shared" si="30"/>
        <v>0.31359999999999999</v>
      </c>
      <c r="P989">
        <f t="shared" si="31"/>
        <v>0.21959999999999999</v>
      </c>
      <c r="Q989" t="s">
        <v>66</v>
      </c>
      <c r="R989">
        <v>2025</v>
      </c>
      <c r="S989" t="s">
        <v>25</v>
      </c>
    </row>
    <row r="990" spans="1:19" x14ac:dyDescent="0.3">
      <c r="A990" t="s">
        <v>1065</v>
      </c>
      <c r="B990">
        <v>45460</v>
      </c>
      <c r="C990" t="s">
        <v>61</v>
      </c>
      <c r="D990" t="s">
        <v>74</v>
      </c>
      <c r="E990" t="s">
        <v>22</v>
      </c>
      <c r="F990" t="s">
        <v>23</v>
      </c>
      <c r="G990">
        <v>245642.26</v>
      </c>
      <c r="H990">
        <v>144213.07999999999</v>
      </c>
      <c r="I990">
        <v>101429.18</v>
      </c>
      <c r="J990">
        <v>7339.3</v>
      </c>
      <c r="K990">
        <v>23276.77</v>
      </c>
      <c r="L990">
        <v>102903.73</v>
      </c>
      <c r="M990">
        <v>822</v>
      </c>
      <c r="N990">
        <v>-4.4499999999999998E-2</v>
      </c>
      <c r="O990">
        <f t="shared" si="30"/>
        <v>0.41289999999999999</v>
      </c>
      <c r="P990">
        <f t="shared" si="31"/>
        <v>0.22620000000000001</v>
      </c>
      <c r="Q990" t="s">
        <v>111</v>
      </c>
      <c r="R990">
        <v>2024</v>
      </c>
      <c r="S990" t="s">
        <v>25</v>
      </c>
    </row>
    <row r="991" spans="1:19" x14ac:dyDescent="0.3">
      <c r="A991" t="s">
        <v>1066</v>
      </c>
      <c r="B991">
        <v>44733</v>
      </c>
      <c r="C991" t="s">
        <v>42</v>
      </c>
      <c r="D991" t="s">
        <v>43</v>
      </c>
      <c r="E991" t="s">
        <v>32</v>
      </c>
      <c r="F991" t="s">
        <v>23</v>
      </c>
      <c r="G991">
        <v>133507.96179999999</v>
      </c>
      <c r="H991">
        <v>85010.67</v>
      </c>
      <c r="I991">
        <v>48497.29</v>
      </c>
      <c r="J991">
        <v>91409.03</v>
      </c>
      <c r="K991">
        <v>14830.14</v>
      </c>
      <c r="L991">
        <v>223111.88</v>
      </c>
      <c r="M991">
        <v>1144</v>
      </c>
      <c r="N991">
        <v>-5.8900000000000001E-2</v>
      </c>
      <c r="O991">
        <f t="shared" si="30"/>
        <v>0.36330000000000001</v>
      </c>
      <c r="P991">
        <f t="shared" si="31"/>
        <v>6.6500000000000004E-2</v>
      </c>
      <c r="Q991" t="s">
        <v>58</v>
      </c>
      <c r="R991">
        <v>2022</v>
      </c>
      <c r="S991" t="s">
        <v>25</v>
      </c>
    </row>
    <row r="992" spans="1:19" x14ac:dyDescent="0.3">
      <c r="A992" t="s">
        <v>1067</v>
      </c>
      <c r="B992">
        <v>45505</v>
      </c>
      <c r="C992" t="s">
        <v>30</v>
      </c>
      <c r="D992" t="s">
        <v>31</v>
      </c>
      <c r="E992" t="s">
        <v>32</v>
      </c>
      <c r="F992" t="s">
        <v>23</v>
      </c>
      <c r="G992">
        <v>24479.229800000001</v>
      </c>
      <c r="H992">
        <v>17943.490000000002</v>
      </c>
      <c r="I992">
        <v>6535.74</v>
      </c>
      <c r="J992">
        <v>46452.28</v>
      </c>
      <c r="K992">
        <v>49648.47</v>
      </c>
      <c r="L992">
        <v>199052.31</v>
      </c>
      <c r="M992">
        <v>1718</v>
      </c>
      <c r="N992">
        <v>2.41E-2</v>
      </c>
      <c r="O992">
        <f t="shared" si="30"/>
        <v>0.26700000000000002</v>
      </c>
      <c r="P992">
        <f t="shared" si="31"/>
        <v>0.24940000000000001</v>
      </c>
      <c r="Q992" t="s">
        <v>72</v>
      </c>
      <c r="R992">
        <v>2024</v>
      </c>
      <c r="S992" t="s">
        <v>25</v>
      </c>
    </row>
    <row r="993" spans="1:19" x14ac:dyDescent="0.3">
      <c r="A993" t="s">
        <v>1068</v>
      </c>
      <c r="B993">
        <v>45590</v>
      </c>
      <c r="C993" t="s">
        <v>42</v>
      </c>
      <c r="D993" t="s">
        <v>43</v>
      </c>
      <c r="E993" t="s">
        <v>22</v>
      </c>
      <c r="F993" t="s">
        <v>23</v>
      </c>
      <c r="G993">
        <v>97140.479999999996</v>
      </c>
      <c r="H993">
        <v>86832.66</v>
      </c>
      <c r="I993">
        <v>10307.82</v>
      </c>
      <c r="J993">
        <v>16258.93</v>
      </c>
      <c r="K993">
        <v>20687.09</v>
      </c>
      <c r="L993">
        <v>62119.65</v>
      </c>
      <c r="M993">
        <v>1635</v>
      </c>
      <c r="N993">
        <v>-1.1599999999999999E-2</v>
      </c>
      <c r="O993">
        <f t="shared" si="30"/>
        <v>0.1061</v>
      </c>
      <c r="P993">
        <f t="shared" si="31"/>
        <v>0.33300000000000002</v>
      </c>
      <c r="Q993" t="s">
        <v>52</v>
      </c>
      <c r="R993">
        <v>2024</v>
      </c>
      <c r="S993" t="s">
        <v>40</v>
      </c>
    </row>
    <row r="994" spans="1:19" x14ac:dyDescent="0.3">
      <c r="A994" t="s">
        <v>1069</v>
      </c>
      <c r="B994">
        <v>45700</v>
      </c>
      <c r="C994" t="s">
        <v>78</v>
      </c>
      <c r="D994" t="s">
        <v>79</v>
      </c>
      <c r="E994" t="s">
        <v>22</v>
      </c>
      <c r="F994" t="s">
        <v>23</v>
      </c>
      <c r="G994">
        <v>362692.99</v>
      </c>
      <c r="H994">
        <v>236372.86</v>
      </c>
      <c r="I994">
        <v>126320.13</v>
      </c>
      <c r="J994">
        <v>30447.69</v>
      </c>
      <c r="K994">
        <v>46862.12</v>
      </c>
      <c r="L994">
        <v>226938.47</v>
      </c>
      <c r="M994">
        <v>629</v>
      </c>
      <c r="N994">
        <v>6.2E-2</v>
      </c>
      <c r="O994">
        <f t="shared" si="30"/>
        <v>0.3483</v>
      </c>
      <c r="P994">
        <f t="shared" si="31"/>
        <v>0.20649999999999999</v>
      </c>
      <c r="Q994" t="s">
        <v>106</v>
      </c>
      <c r="R994">
        <v>2025</v>
      </c>
      <c r="S994" t="s">
        <v>25</v>
      </c>
    </row>
    <row r="995" spans="1:19" x14ac:dyDescent="0.3">
      <c r="A995" t="s">
        <v>1070</v>
      </c>
      <c r="B995">
        <v>44658</v>
      </c>
      <c r="C995" t="s">
        <v>30</v>
      </c>
      <c r="D995" t="s">
        <v>31</v>
      </c>
      <c r="E995" t="s">
        <v>51</v>
      </c>
      <c r="F995" t="s">
        <v>23</v>
      </c>
      <c r="G995">
        <v>142098.51</v>
      </c>
      <c r="H995">
        <v>123560.41</v>
      </c>
      <c r="I995">
        <v>18538.099999999999</v>
      </c>
      <c r="J995">
        <v>38095.31</v>
      </c>
      <c r="K995">
        <v>10056.51</v>
      </c>
      <c r="L995">
        <v>77944.179999999993</v>
      </c>
      <c r="M995">
        <v>764</v>
      </c>
      <c r="N995">
        <v>0.11990000000000001</v>
      </c>
      <c r="O995">
        <f t="shared" si="30"/>
        <v>0.1305</v>
      </c>
      <c r="P995">
        <f t="shared" si="31"/>
        <v>0.129</v>
      </c>
      <c r="Q995" t="s">
        <v>58</v>
      </c>
      <c r="R995">
        <v>2022</v>
      </c>
      <c r="S995" t="s">
        <v>25</v>
      </c>
    </row>
    <row r="996" spans="1:19" x14ac:dyDescent="0.3">
      <c r="A996" t="s">
        <v>1071</v>
      </c>
      <c r="B996">
        <v>45805</v>
      </c>
      <c r="C996" t="s">
        <v>20</v>
      </c>
      <c r="D996" t="s">
        <v>21</v>
      </c>
      <c r="E996" t="s">
        <v>38</v>
      </c>
      <c r="F996" t="s">
        <v>23</v>
      </c>
      <c r="G996">
        <v>70249.649999999994</v>
      </c>
      <c r="H996">
        <v>38714.31</v>
      </c>
      <c r="I996">
        <v>31535.34</v>
      </c>
      <c r="J996">
        <v>73513.83</v>
      </c>
      <c r="K996">
        <v>14450.33</v>
      </c>
      <c r="L996">
        <v>99094.98</v>
      </c>
      <c r="M996">
        <v>1239</v>
      </c>
      <c r="N996">
        <v>-9.7000000000000003E-3</v>
      </c>
      <c r="O996">
        <f t="shared" si="30"/>
        <v>0.44890000000000002</v>
      </c>
      <c r="P996">
        <f t="shared" si="31"/>
        <v>0.14580000000000001</v>
      </c>
      <c r="Q996" t="s">
        <v>34</v>
      </c>
      <c r="R996">
        <v>2025</v>
      </c>
      <c r="S996" t="s">
        <v>25</v>
      </c>
    </row>
    <row r="997" spans="1:19" x14ac:dyDescent="0.3">
      <c r="A997" t="s">
        <v>1072</v>
      </c>
      <c r="B997">
        <v>44909</v>
      </c>
      <c r="C997" t="s">
        <v>54</v>
      </c>
      <c r="D997" t="s">
        <v>55</v>
      </c>
      <c r="E997" t="s">
        <v>32</v>
      </c>
      <c r="F997" t="s">
        <v>23</v>
      </c>
      <c r="G997">
        <v>90375.47</v>
      </c>
      <c r="H997">
        <v>55964.68</v>
      </c>
      <c r="I997">
        <v>34410.79</v>
      </c>
      <c r="J997">
        <v>10262.92</v>
      </c>
      <c r="K997">
        <v>69133.73</v>
      </c>
      <c r="L997">
        <v>57051.92</v>
      </c>
      <c r="M997">
        <v>554</v>
      </c>
      <c r="N997">
        <v>0.13270000000000001</v>
      </c>
      <c r="O997">
        <f t="shared" si="30"/>
        <v>0.38080000000000003</v>
      </c>
      <c r="P997">
        <f t="shared" si="31"/>
        <v>1.2118</v>
      </c>
      <c r="Q997" t="s">
        <v>46</v>
      </c>
      <c r="R997">
        <v>2022</v>
      </c>
      <c r="S997" t="s">
        <v>82</v>
      </c>
    </row>
    <row r="998" spans="1:19" x14ac:dyDescent="0.3">
      <c r="A998" t="s">
        <v>1073</v>
      </c>
      <c r="B998">
        <v>45200</v>
      </c>
      <c r="C998" t="s">
        <v>27</v>
      </c>
      <c r="D998" t="s">
        <v>28</v>
      </c>
      <c r="E998" t="s">
        <v>32</v>
      </c>
      <c r="F998" t="s">
        <v>23</v>
      </c>
      <c r="G998">
        <v>73997.0677</v>
      </c>
      <c r="H998">
        <v>45450.29</v>
      </c>
      <c r="I998">
        <v>28546.77</v>
      </c>
      <c r="J998">
        <v>60096.959999999999</v>
      </c>
      <c r="K998">
        <v>17605.28</v>
      </c>
      <c r="L998">
        <v>154831.09</v>
      </c>
      <c r="M998">
        <v>477</v>
      </c>
      <c r="N998">
        <v>-0.1216</v>
      </c>
      <c r="O998">
        <f t="shared" si="30"/>
        <v>0.38579999999999998</v>
      </c>
      <c r="P998">
        <f t="shared" si="31"/>
        <v>0.1137</v>
      </c>
      <c r="Q998" t="s">
        <v>44</v>
      </c>
      <c r="R998">
        <v>2023</v>
      </c>
      <c r="S998" t="s">
        <v>25</v>
      </c>
    </row>
    <row r="999" spans="1:19" x14ac:dyDescent="0.3">
      <c r="A999" t="s">
        <v>1074</v>
      </c>
      <c r="B999" s="4">
        <v>45707</v>
      </c>
      <c r="C999" t="s">
        <v>48</v>
      </c>
      <c r="D999" t="s">
        <v>49</v>
      </c>
      <c r="E999" t="s">
        <v>22</v>
      </c>
      <c r="F999" t="s">
        <v>23</v>
      </c>
      <c r="G999">
        <v>115744.56</v>
      </c>
      <c r="H999">
        <v>95207.19</v>
      </c>
      <c r="I999">
        <v>20537.37</v>
      </c>
      <c r="J999">
        <v>30988.73</v>
      </c>
      <c r="K999">
        <v>170204.73</v>
      </c>
      <c r="L999">
        <v>51951.29</v>
      </c>
      <c r="M999">
        <v>1284</v>
      </c>
      <c r="N999">
        <v>0.1348</v>
      </c>
      <c r="O999">
        <f t="shared" si="30"/>
        <v>0.1774</v>
      </c>
      <c r="P999">
        <f t="shared" si="31"/>
        <v>3.2761999999999998</v>
      </c>
      <c r="Q999" t="s">
        <v>106</v>
      </c>
      <c r="R999">
        <v>2025</v>
      </c>
      <c r="S999" t="s">
        <v>82</v>
      </c>
    </row>
    <row r="1000" spans="1:19" x14ac:dyDescent="0.3">
      <c r="A1000" t="s">
        <v>1076</v>
      </c>
      <c r="B1000">
        <v>45680</v>
      </c>
      <c r="C1000" t="s">
        <v>36</v>
      </c>
      <c r="D1000" t="s">
        <v>37</v>
      </c>
      <c r="E1000" t="s">
        <v>32</v>
      </c>
      <c r="F1000" t="s">
        <v>23</v>
      </c>
      <c r="G1000">
        <v>176384.731</v>
      </c>
      <c r="H1000">
        <v>137124.64000000001</v>
      </c>
      <c r="I1000">
        <v>39260.089999999997</v>
      </c>
      <c r="J1000">
        <v>91766.12</v>
      </c>
      <c r="K1000">
        <v>29186.080000000002</v>
      </c>
      <c r="L1000">
        <v>259580.44</v>
      </c>
      <c r="M1000">
        <v>769</v>
      </c>
      <c r="N1000">
        <v>7.7700000000000005E-2</v>
      </c>
      <c r="O1000">
        <f t="shared" si="30"/>
        <v>0.22259999999999999</v>
      </c>
      <c r="P1000">
        <f t="shared" si="31"/>
        <v>0.1124</v>
      </c>
      <c r="Q1000" t="s">
        <v>106</v>
      </c>
      <c r="R1000">
        <v>2025</v>
      </c>
      <c r="S1000" t="s">
        <v>25</v>
      </c>
    </row>
    <row r="1001" spans="1:19" x14ac:dyDescent="0.3">
      <c r="A1001" t="s">
        <v>1077</v>
      </c>
      <c r="B1001">
        <v>45668</v>
      </c>
      <c r="C1001" t="s">
        <v>30</v>
      </c>
      <c r="D1001" t="s">
        <v>31</v>
      </c>
      <c r="E1001" t="s">
        <v>22</v>
      </c>
      <c r="F1001" t="s">
        <v>23</v>
      </c>
      <c r="G1001">
        <v>83671.539999999994</v>
      </c>
      <c r="H1001">
        <v>74424.3</v>
      </c>
      <c r="I1001">
        <v>9247.24</v>
      </c>
      <c r="J1001">
        <v>62512.86</v>
      </c>
      <c r="K1001">
        <v>36792.75</v>
      </c>
      <c r="L1001">
        <v>653047.44999999995</v>
      </c>
      <c r="M1001">
        <v>1000</v>
      </c>
      <c r="N1001">
        <v>-0.1023</v>
      </c>
      <c r="O1001">
        <f t="shared" si="30"/>
        <v>0.1105</v>
      </c>
      <c r="P1001">
        <f t="shared" si="31"/>
        <v>5.6300000000000003E-2</v>
      </c>
      <c r="Q1001" t="s">
        <v>106</v>
      </c>
      <c r="R1001">
        <v>2025</v>
      </c>
      <c r="S1001" t="s">
        <v>25</v>
      </c>
    </row>
    <row r="1002" spans="1:19" x14ac:dyDescent="0.3">
      <c r="A1002" t="s">
        <v>1078</v>
      </c>
      <c r="B1002">
        <v>45140</v>
      </c>
      <c r="C1002" t="s">
        <v>61</v>
      </c>
      <c r="D1002" t="s">
        <v>74</v>
      </c>
      <c r="E1002" t="s">
        <v>22</v>
      </c>
      <c r="F1002" t="s">
        <v>23</v>
      </c>
      <c r="G1002">
        <v>64323.32</v>
      </c>
      <c r="H1002">
        <v>56253.88</v>
      </c>
      <c r="I1002">
        <v>8069.44</v>
      </c>
      <c r="J1002">
        <v>26439.97</v>
      </c>
      <c r="K1002">
        <v>14722.37</v>
      </c>
      <c r="L1002">
        <v>36773.06</v>
      </c>
      <c r="M1002">
        <v>926</v>
      </c>
      <c r="N1002">
        <v>9.5299999999999996E-2</v>
      </c>
      <c r="O1002">
        <f t="shared" si="30"/>
        <v>0.1255</v>
      </c>
      <c r="P1002">
        <f t="shared" si="31"/>
        <v>0.40039999999999998</v>
      </c>
      <c r="Q1002" t="s">
        <v>56</v>
      </c>
      <c r="R1002">
        <v>2023</v>
      </c>
      <c r="S1002" t="s">
        <v>40</v>
      </c>
    </row>
    <row r="1003" spans="1:19" x14ac:dyDescent="0.3">
      <c r="A1003" t="s">
        <v>1079</v>
      </c>
      <c r="B1003">
        <v>44712</v>
      </c>
      <c r="C1003" t="s">
        <v>61</v>
      </c>
      <c r="D1003" t="s">
        <v>74</v>
      </c>
      <c r="E1003" t="s">
        <v>38</v>
      </c>
      <c r="F1003" t="s">
        <v>23</v>
      </c>
      <c r="G1003">
        <v>71505.759999999995</v>
      </c>
      <c r="H1003">
        <v>51507.1</v>
      </c>
      <c r="I1003">
        <v>19998.66</v>
      </c>
      <c r="J1003">
        <v>61945.01</v>
      </c>
      <c r="K1003">
        <v>10797.47</v>
      </c>
      <c r="L1003">
        <v>132366.18</v>
      </c>
      <c r="M1003">
        <v>1591</v>
      </c>
      <c r="N1003">
        <v>1.1000000000000001E-3</v>
      </c>
      <c r="O1003">
        <f t="shared" si="30"/>
        <v>0.2797</v>
      </c>
      <c r="P1003">
        <f t="shared" si="31"/>
        <v>8.1600000000000006E-2</v>
      </c>
      <c r="Q1003" t="s">
        <v>58</v>
      </c>
      <c r="R1003">
        <v>2022</v>
      </c>
      <c r="S1003" t="s">
        <v>25</v>
      </c>
    </row>
    <row r="1004" spans="1:19" x14ac:dyDescent="0.3">
      <c r="A1004" t="s">
        <v>1080</v>
      </c>
      <c r="B1004">
        <v>45880</v>
      </c>
      <c r="C1004" t="s">
        <v>30</v>
      </c>
      <c r="D1004" t="s">
        <v>31</v>
      </c>
      <c r="E1004" t="s">
        <v>32</v>
      </c>
      <c r="F1004" t="s">
        <v>23</v>
      </c>
      <c r="G1004">
        <v>81350.349300000002</v>
      </c>
      <c r="H1004">
        <v>47320.1</v>
      </c>
      <c r="I1004">
        <v>34030.25</v>
      </c>
      <c r="J1004">
        <v>31309.67</v>
      </c>
      <c r="K1004">
        <v>25086.18</v>
      </c>
      <c r="L1004">
        <v>80312.94</v>
      </c>
      <c r="M1004">
        <v>1131</v>
      </c>
      <c r="N1004">
        <v>0.17780000000000001</v>
      </c>
      <c r="O1004">
        <f t="shared" si="30"/>
        <v>0.41830000000000001</v>
      </c>
      <c r="P1004">
        <f t="shared" si="31"/>
        <v>0.31240000000000001</v>
      </c>
      <c r="Q1004" t="s">
        <v>24</v>
      </c>
      <c r="R1004">
        <v>2025</v>
      </c>
      <c r="S1004" t="s">
        <v>40</v>
      </c>
    </row>
    <row r="1005" spans="1:19" x14ac:dyDescent="0.3">
      <c r="A1005" t="s">
        <v>1081</v>
      </c>
      <c r="B1005">
        <v>45755</v>
      </c>
      <c r="C1005" t="s">
        <v>36</v>
      </c>
      <c r="D1005" t="s">
        <v>37</v>
      </c>
      <c r="E1005" t="s">
        <v>22</v>
      </c>
      <c r="F1005" t="s">
        <v>23</v>
      </c>
      <c r="G1005">
        <v>99437.72</v>
      </c>
      <c r="H1005">
        <v>80901.119999999995</v>
      </c>
      <c r="I1005">
        <v>18536.599999999999</v>
      </c>
      <c r="J1005">
        <v>38276.06</v>
      </c>
      <c r="K1005">
        <v>83439.12</v>
      </c>
      <c r="L1005">
        <v>69357.009999999995</v>
      </c>
      <c r="M1005">
        <v>853</v>
      </c>
      <c r="N1005">
        <v>-2.4E-2</v>
      </c>
      <c r="O1005">
        <f t="shared" si="30"/>
        <v>0.18640000000000001</v>
      </c>
      <c r="P1005">
        <f t="shared" si="31"/>
        <v>1.2030000000000001</v>
      </c>
      <c r="Q1005" t="s">
        <v>34</v>
      </c>
      <c r="R1005">
        <v>2025</v>
      </c>
      <c r="S1005" t="s">
        <v>82</v>
      </c>
    </row>
    <row r="1006" spans="1:19" x14ac:dyDescent="0.3">
      <c r="A1006" t="s">
        <v>1082</v>
      </c>
      <c r="B1006">
        <v>44913</v>
      </c>
      <c r="C1006" t="s">
        <v>102</v>
      </c>
      <c r="D1006" t="s">
        <v>103</v>
      </c>
      <c r="E1006" t="s">
        <v>22</v>
      </c>
      <c r="F1006" t="s">
        <v>23</v>
      </c>
      <c r="G1006">
        <v>150244.42000000001</v>
      </c>
      <c r="H1006">
        <v>137569.09</v>
      </c>
      <c r="I1006">
        <v>12675.33</v>
      </c>
      <c r="J1006">
        <v>48855.46</v>
      </c>
      <c r="K1006">
        <v>64297.7</v>
      </c>
      <c r="L1006">
        <v>65791.87</v>
      </c>
      <c r="M1006">
        <v>1384</v>
      </c>
      <c r="N1006">
        <v>7.1599999999999997E-2</v>
      </c>
      <c r="O1006">
        <f t="shared" si="30"/>
        <v>8.4400000000000003E-2</v>
      </c>
      <c r="P1006">
        <f t="shared" si="31"/>
        <v>0.97729999999999995</v>
      </c>
      <c r="Q1006" t="s">
        <v>46</v>
      </c>
      <c r="R1006">
        <v>2022</v>
      </c>
      <c r="S1006" t="s">
        <v>82</v>
      </c>
    </row>
    <row r="1007" spans="1:19" x14ac:dyDescent="0.3">
      <c r="A1007" t="s">
        <v>1083</v>
      </c>
      <c r="B1007">
        <v>44686</v>
      </c>
      <c r="C1007" t="s">
        <v>48</v>
      </c>
      <c r="D1007" t="s">
        <v>49</v>
      </c>
      <c r="E1007" t="s">
        <v>38</v>
      </c>
      <c r="F1007" t="s">
        <v>23</v>
      </c>
      <c r="G1007">
        <v>78961.08</v>
      </c>
      <c r="H1007">
        <v>58981.45</v>
      </c>
      <c r="I1007">
        <v>19979.63</v>
      </c>
      <c r="J1007">
        <v>7557.53</v>
      </c>
      <c r="K1007">
        <v>37440.86</v>
      </c>
      <c r="L1007">
        <v>57824.01</v>
      </c>
      <c r="M1007">
        <v>732</v>
      </c>
      <c r="N1007">
        <v>2.0000000000000001E-4</v>
      </c>
      <c r="O1007">
        <f t="shared" si="30"/>
        <v>0.253</v>
      </c>
      <c r="P1007">
        <f t="shared" si="31"/>
        <v>0.64749999999999996</v>
      </c>
      <c r="Q1007" t="s">
        <v>58</v>
      </c>
      <c r="R1007">
        <v>2022</v>
      </c>
      <c r="S1007" t="s">
        <v>82</v>
      </c>
    </row>
    <row r="1008" spans="1:19" x14ac:dyDescent="0.3">
      <c r="A1008" t="s">
        <v>1084</v>
      </c>
      <c r="B1008">
        <v>44900</v>
      </c>
      <c r="C1008" t="s">
        <v>42</v>
      </c>
      <c r="D1008" t="s">
        <v>43</v>
      </c>
      <c r="E1008" t="s">
        <v>38</v>
      </c>
      <c r="F1008" t="s">
        <v>23</v>
      </c>
      <c r="G1008">
        <v>47956.76</v>
      </c>
      <c r="H1008">
        <v>40911.47</v>
      </c>
      <c r="I1008">
        <v>7045.29</v>
      </c>
      <c r="J1008">
        <v>24865.98</v>
      </c>
      <c r="K1008">
        <v>87771.93</v>
      </c>
      <c r="L1008">
        <v>44562.6</v>
      </c>
      <c r="M1008">
        <v>640</v>
      </c>
      <c r="N1008">
        <v>0.124</v>
      </c>
      <c r="O1008">
        <f t="shared" si="30"/>
        <v>0.1469</v>
      </c>
      <c r="P1008">
        <f t="shared" si="31"/>
        <v>1.9696</v>
      </c>
      <c r="Q1008" t="s">
        <v>46</v>
      </c>
      <c r="R1008">
        <v>2022</v>
      </c>
      <c r="S1008" t="s">
        <v>82</v>
      </c>
    </row>
    <row r="1009" spans="1:19" x14ac:dyDescent="0.3">
      <c r="A1009" t="s">
        <v>1085</v>
      </c>
      <c r="B1009">
        <v>45092</v>
      </c>
      <c r="C1009" t="s">
        <v>102</v>
      </c>
      <c r="D1009" t="s">
        <v>103</v>
      </c>
      <c r="E1009" t="s">
        <v>22</v>
      </c>
      <c r="F1009" t="s">
        <v>23</v>
      </c>
      <c r="G1009">
        <v>277426.28000000003</v>
      </c>
      <c r="H1009">
        <v>250387.6</v>
      </c>
      <c r="I1009">
        <v>27038.68</v>
      </c>
      <c r="J1009">
        <v>20218.169999999998</v>
      </c>
      <c r="K1009">
        <v>20184.97</v>
      </c>
      <c r="L1009">
        <v>33138.83</v>
      </c>
      <c r="M1009">
        <v>1500</v>
      </c>
      <c r="N1009">
        <v>-6.93E-2</v>
      </c>
      <c r="O1009">
        <f t="shared" si="30"/>
        <v>9.7500000000000003E-2</v>
      </c>
      <c r="P1009">
        <f t="shared" si="31"/>
        <v>0.60909999999999997</v>
      </c>
      <c r="Q1009" t="s">
        <v>39</v>
      </c>
      <c r="R1009">
        <v>2023</v>
      </c>
      <c r="S1009" t="s">
        <v>82</v>
      </c>
    </row>
    <row r="1010" spans="1:19" x14ac:dyDescent="0.3">
      <c r="A1010" t="s">
        <v>1086</v>
      </c>
      <c r="B1010">
        <v>45136</v>
      </c>
      <c r="C1010" t="s">
        <v>102</v>
      </c>
      <c r="D1010" t="s">
        <v>103</v>
      </c>
      <c r="E1010" t="s">
        <v>38</v>
      </c>
      <c r="F1010" t="s">
        <v>23</v>
      </c>
      <c r="G1010">
        <v>67064.08</v>
      </c>
      <c r="H1010">
        <v>60937.599999999999</v>
      </c>
      <c r="I1010">
        <v>6126.48</v>
      </c>
      <c r="J1010">
        <v>24635.95</v>
      </c>
      <c r="K1010">
        <v>13670.24</v>
      </c>
      <c r="L1010">
        <v>41331.24</v>
      </c>
      <c r="M1010">
        <v>819</v>
      </c>
      <c r="N1010">
        <v>1.43E-2</v>
      </c>
      <c r="O1010">
        <f t="shared" si="30"/>
        <v>9.1399999999999995E-2</v>
      </c>
      <c r="P1010">
        <f t="shared" si="31"/>
        <v>0.33069999999999999</v>
      </c>
      <c r="Q1010" t="s">
        <v>56</v>
      </c>
      <c r="R1010">
        <v>2023</v>
      </c>
      <c r="S1010" t="s">
        <v>40</v>
      </c>
    </row>
    <row r="1011" spans="1:19" x14ac:dyDescent="0.3">
      <c r="A1011" t="s">
        <v>1087</v>
      </c>
      <c r="B1011">
        <v>45921</v>
      </c>
      <c r="C1011" t="s">
        <v>1282</v>
      </c>
      <c r="D1011" t="s">
        <v>69</v>
      </c>
      <c r="E1011" t="s">
        <v>22</v>
      </c>
      <c r="F1011" t="s">
        <v>23</v>
      </c>
      <c r="G1011">
        <v>152496.07</v>
      </c>
      <c r="H1011">
        <v>137648.79999999999</v>
      </c>
      <c r="I1011">
        <v>14847.27</v>
      </c>
      <c r="J1011">
        <v>30551.96</v>
      </c>
      <c r="K1011">
        <v>10088.61</v>
      </c>
      <c r="L1011">
        <v>78844.7</v>
      </c>
      <c r="M1011">
        <v>757</v>
      </c>
      <c r="N1011">
        <v>0.1024</v>
      </c>
      <c r="O1011">
        <f t="shared" si="30"/>
        <v>9.74E-2</v>
      </c>
      <c r="P1011">
        <f t="shared" si="31"/>
        <v>0.128</v>
      </c>
      <c r="Q1011" t="s">
        <v>24</v>
      </c>
      <c r="R1011">
        <v>2025</v>
      </c>
      <c r="S1011" t="s">
        <v>25</v>
      </c>
    </row>
    <row r="1012" spans="1:19" x14ac:dyDescent="0.3">
      <c r="A1012" t="s">
        <v>1088</v>
      </c>
      <c r="B1012">
        <v>44710</v>
      </c>
      <c r="C1012" t="s">
        <v>27</v>
      </c>
      <c r="D1012" t="s">
        <v>28</v>
      </c>
      <c r="E1012" t="s">
        <v>38</v>
      </c>
      <c r="F1012" t="s">
        <v>23</v>
      </c>
      <c r="G1012">
        <v>51791.42</v>
      </c>
      <c r="H1012">
        <v>40638.879999999997</v>
      </c>
      <c r="I1012">
        <v>11152.54</v>
      </c>
      <c r="J1012">
        <v>14035</v>
      </c>
      <c r="K1012">
        <v>20441.689999999999</v>
      </c>
      <c r="L1012">
        <v>155054.79</v>
      </c>
      <c r="M1012">
        <v>1511</v>
      </c>
      <c r="N1012">
        <v>-2.8999999999999998E-3</v>
      </c>
      <c r="O1012">
        <f t="shared" si="30"/>
        <v>0.21529999999999999</v>
      </c>
      <c r="P1012">
        <f t="shared" si="31"/>
        <v>0.1318</v>
      </c>
      <c r="Q1012" t="s">
        <v>58</v>
      </c>
      <c r="R1012">
        <v>2022</v>
      </c>
      <c r="S1012" t="s">
        <v>25</v>
      </c>
    </row>
    <row r="1013" spans="1:19" x14ac:dyDescent="0.3">
      <c r="A1013" t="s">
        <v>1089</v>
      </c>
      <c r="B1013">
        <v>45916</v>
      </c>
      <c r="C1013" t="s">
        <v>85</v>
      </c>
      <c r="D1013" t="s">
        <v>86</v>
      </c>
      <c r="E1013" t="s">
        <v>22</v>
      </c>
      <c r="F1013" t="s">
        <v>23</v>
      </c>
      <c r="G1013">
        <v>157835.23000000001</v>
      </c>
      <c r="H1013">
        <v>119699.6</v>
      </c>
      <c r="I1013">
        <v>38135.629999999997</v>
      </c>
      <c r="J1013">
        <v>14541.12</v>
      </c>
      <c r="K1013">
        <v>18106.169999999998</v>
      </c>
      <c r="L1013">
        <v>45495.53</v>
      </c>
      <c r="M1013">
        <v>1027</v>
      </c>
      <c r="N1013">
        <v>5.7599999999999998E-2</v>
      </c>
      <c r="O1013">
        <f t="shared" si="30"/>
        <v>0.24160000000000001</v>
      </c>
      <c r="P1013">
        <f t="shared" si="31"/>
        <v>0.39800000000000002</v>
      </c>
      <c r="Q1013" t="s">
        <v>24</v>
      </c>
      <c r="R1013">
        <v>2025</v>
      </c>
      <c r="S1013" t="s">
        <v>40</v>
      </c>
    </row>
    <row r="1014" spans="1:19" x14ac:dyDescent="0.3">
      <c r="A1014" t="s">
        <v>1090</v>
      </c>
      <c r="B1014">
        <v>45399</v>
      </c>
      <c r="C1014" t="s">
        <v>61</v>
      </c>
      <c r="D1014" t="s">
        <v>74</v>
      </c>
      <c r="E1014" t="s">
        <v>22</v>
      </c>
      <c r="F1014" t="s">
        <v>23</v>
      </c>
      <c r="G1014">
        <v>57711.48</v>
      </c>
      <c r="H1014">
        <v>39145.769999999997</v>
      </c>
      <c r="I1014">
        <v>18565.71</v>
      </c>
      <c r="J1014">
        <v>135613.44</v>
      </c>
      <c r="K1014">
        <v>28299.11</v>
      </c>
      <c r="L1014">
        <v>184298.14</v>
      </c>
      <c r="M1014">
        <v>533</v>
      </c>
      <c r="N1014">
        <v>-0.12620000000000001</v>
      </c>
      <c r="O1014">
        <f t="shared" si="30"/>
        <v>0.32169999999999999</v>
      </c>
      <c r="P1014">
        <f t="shared" si="31"/>
        <v>0.15359999999999999</v>
      </c>
      <c r="Q1014" t="s">
        <v>111</v>
      </c>
      <c r="R1014">
        <v>2024</v>
      </c>
      <c r="S1014" t="s">
        <v>25</v>
      </c>
    </row>
    <row r="1015" spans="1:19" x14ac:dyDescent="0.3">
      <c r="A1015" t="s">
        <v>1091</v>
      </c>
      <c r="B1015">
        <v>45486</v>
      </c>
      <c r="C1015" t="s">
        <v>27</v>
      </c>
      <c r="D1015" t="s">
        <v>28</v>
      </c>
      <c r="E1015" t="s">
        <v>51</v>
      </c>
      <c r="F1015" t="s">
        <v>23</v>
      </c>
      <c r="G1015">
        <v>79873.440000000002</v>
      </c>
      <c r="H1015">
        <v>70593.09</v>
      </c>
      <c r="I1015">
        <v>9280.35</v>
      </c>
      <c r="J1015">
        <v>19695.849999999999</v>
      </c>
      <c r="K1015">
        <v>26882.86</v>
      </c>
      <c r="L1015">
        <v>67133.69</v>
      </c>
      <c r="M1015">
        <v>1395</v>
      </c>
      <c r="N1015">
        <v>-0.1273</v>
      </c>
      <c r="O1015">
        <f t="shared" si="30"/>
        <v>0.1162</v>
      </c>
      <c r="P1015">
        <f t="shared" si="31"/>
        <v>0.40039999999999998</v>
      </c>
      <c r="Q1015" t="s">
        <v>72</v>
      </c>
      <c r="R1015">
        <v>2024</v>
      </c>
      <c r="S1015" t="s">
        <v>40</v>
      </c>
    </row>
    <row r="1016" spans="1:19" x14ac:dyDescent="0.3">
      <c r="A1016" t="s">
        <v>1092</v>
      </c>
      <c r="B1016">
        <v>45697</v>
      </c>
      <c r="C1016" t="s">
        <v>48</v>
      </c>
      <c r="D1016" t="s">
        <v>49</v>
      </c>
      <c r="E1016" t="s">
        <v>38</v>
      </c>
      <c r="F1016" t="s">
        <v>23</v>
      </c>
      <c r="G1016">
        <v>33389.67</v>
      </c>
      <c r="H1016">
        <v>26054.61</v>
      </c>
      <c r="I1016">
        <v>7335.06</v>
      </c>
      <c r="J1016">
        <v>118032.27</v>
      </c>
      <c r="K1016">
        <v>16326.26</v>
      </c>
      <c r="L1016">
        <v>143867.16</v>
      </c>
      <c r="M1016">
        <v>2249</v>
      </c>
      <c r="N1016">
        <v>0.1114</v>
      </c>
      <c r="O1016">
        <f t="shared" si="30"/>
        <v>0.21970000000000001</v>
      </c>
      <c r="P1016">
        <f t="shared" si="31"/>
        <v>0.1135</v>
      </c>
      <c r="Q1016" t="s">
        <v>106</v>
      </c>
      <c r="R1016">
        <v>2025</v>
      </c>
      <c r="S1016" t="s">
        <v>25</v>
      </c>
    </row>
    <row r="1017" spans="1:19" x14ac:dyDescent="0.3">
      <c r="A1017" t="s">
        <v>1093</v>
      </c>
      <c r="B1017">
        <v>45454</v>
      </c>
      <c r="C1017" t="s">
        <v>54</v>
      </c>
      <c r="D1017" t="s">
        <v>55</v>
      </c>
      <c r="E1017" t="s">
        <v>51</v>
      </c>
      <c r="F1017" t="s">
        <v>23</v>
      </c>
      <c r="G1017">
        <v>52126.59</v>
      </c>
      <c r="H1017">
        <v>32516.2</v>
      </c>
      <c r="I1017">
        <v>19610.39</v>
      </c>
      <c r="J1017">
        <v>16658.28</v>
      </c>
      <c r="K1017">
        <v>60107.98</v>
      </c>
      <c r="L1017">
        <v>274521.42</v>
      </c>
      <c r="M1017">
        <v>448</v>
      </c>
      <c r="N1017">
        <v>-6.8099999999999994E-2</v>
      </c>
      <c r="O1017">
        <f t="shared" si="30"/>
        <v>0.37619999999999998</v>
      </c>
      <c r="P1017">
        <f t="shared" si="31"/>
        <v>0.219</v>
      </c>
      <c r="Q1017" t="s">
        <v>111</v>
      </c>
      <c r="R1017">
        <v>2024</v>
      </c>
      <c r="S1017" t="s">
        <v>25</v>
      </c>
    </row>
    <row r="1018" spans="1:19" x14ac:dyDescent="0.3">
      <c r="A1018" t="s">
        <v>1094</v>
      </c>
      <c r="B1018">
        <v>44647</v>
      </c>
      <c r="C1018" t="s">
        <v>30</v>
      </c>
      <c r="D1018" t="s">
        <v>31</v>
      </c>
      <c r="E1018" t="s">
        <v>38</v>
      </c>
      <c r="F1018" t="s">
        <v>23</v>
      </c>
      <c r="G1018">
        <v>150696.29999999999</v>
      </c>
      <c r="H1018">
        <v>129405.9</v>
      </c>
      <c r="I1018">
        <v>21290.400000000001</v>
      </c>
      <c r="J1018">
        <v>59373.27</v>
      </c>
      <c r="K1018">
        <v>17532.32</v>
      </c>
      <c r="L1018">
        <v>111620.8</v>
      </c>
      <c r="M1018">
        <v>528</v>
      </c>
      <c r="N1018">
        <v>4.48E-2</v>
      </c>
      <c r="O1018">
        <f t="shared" si="30"/>
        <v>0.14130000000000001</v>
      </c>
      <c r="P1018">
        <f t="shared" si="31"/>
        <v>0.15709999999999999</v>
      </c>
      <c r="Q1018" t="s">
        <v>90</v>
      </c>
      <c r="R1018">
        <v>2022</v>
      </c>
      <c r="S1018" t="s">
        <v>25</v>
      </c>
    </row>
    <row r="1019" spans="1:19" x14ac:dyDescent="0.3">
      <c r="A1019" t="s">
        <v>1095</v>
      </c>
      <c r="B1019">
        <v>45846</v>
      </c>
      <c r="C1019" t="s">
        <v>42</v>
      </c>
      <c r="D1019" t="s">
        <v>43</v>
      </c>
      <c r="E1019" t="s">
        <v>22</v>
      </c>
      <c r="F1019" t="s">
        <v>23</v>
      </c>
      <c r="G1019">
        <v>115754.7</v>
      </c>
      <c r="H1019">
        <v>73393.710000000006</v>
      </c>
      <c r="I1019">
        <v>42360.99</v>
      </c>
      <c r="J1019">
        <v>32422.71</v>
      </c>
      <c r="K1019">
        <v>89999.49</v>
      </c>
      <c r="L1019">
        <v>50936.44</v>
      </c>
      <c r="M1019">
        <v>1062</v>
      </c>
      <c r="N1019">
        <v>2.7900000000000001E-2</v>
      </c>
      <c r="O1019">
        <f t="shared" si="30"/>
        <v>0.36599999999999999</v>
      </c>
      <c r="P1019">
        <f t="shared" si="31"/>
        <v>1.7668999999999999</v>
      </c>
      <c r="Q1019" t="s">
        <v>24</v>
      </c>
      <c r="R1019">
        <v>2025</v>
      </c>
      <c r="S1019" t="s">
        <v>82</v>
      </c>
    </row>
    <row r="1020" spans="1:19" x14ac:dyDescent="0.3">
      <c r="A1020" t="s">
        <v>1096</v>
      </c>
      <c r="B1020">
        <v>45546</v>
      </c>
      <c r="C1020" t="s">
        <v>85</v>
      </c>
      <c r="D1020" t="s">
        <v>86</v>
      </c>
      <c r="E1020" t="s">
        <v>22</v>
      </c>
      <c r="F1020" t="s">
        <v>23</v>
      </c>
      <c r="G1020">
        <v>52364.639999999999</v>
      </c>
      <c r="H1020">
        <v>29903.01</v>
      </c>
      <c r="I1020">
        <v>22461.63</v>
      </c>
      <c r="J1020">
        <v>58947.75</v>
      </c>
      <c r="K1020">
        <v>24830.85</v>
      </c>
      <c r="L1020">
        <v>96618.559999999998</v>
      </c>
      <c r="M1020">
        <v>831</v>
      </c>
      <c r="N1020">
        <v>3.5700000000000003E-2</v>
      </c>
      <c r="O1020">
        <f t="shared" si="30"/>
        <v>0.4289</v>
      </c>
      <c r="P1020">
        <f t="shared" si="31"/>
        <v>0.25700000000000001</v>
      </c>
      <c r="Q1020" t="s">
        <v>72</v>
      </c>
      <c r="R1020">
        <v>2024</v>
      </c>
      <c r="S1020" t="s">
        <v>25</v>
      </c>
    </row>
    <row r="1021" spans="1:19" x14ac:dyDescent="0.3">
      <c r="A1021" t="s">
        <v>1097</v>
      </c>
      <c r="B1021">
        <v>44904</v>
      </c>
      <c r="C1021" t="s">
        <v>1282</v>
      </c>
      <c r="D1021" t="s">
        <v>69</v>
      </c>
      <c r="E1021" t="s">
        <v>38</v>
      </c>
      <c r="F1021" t="s">
        <v>23</v>
      </c>
      <c r="G1021">
        <v>65670.3</v>
      </c>
      <c r="H1021">
        <v>46410.96</v>
      </c>
      <c r="I1021">
        <v>19259.34</v>
      </c>
      <c r="J1021">
        <v>57305.32</v>
      </c>
      <c r="K1021">
        <v>34089.56</v>
      </c>
      <c r="L1021">
        <v>123580.56</v>
      </c>
      <c r="M1021">
        <v>741</v>
      </c>
      <c r="N1021">
        <v>-0.1143</v>
      </c>
      <c r="O1021">
        <f t="shared" si="30"/>
        <v>0.29330000000000001</v>
      </c>
      <c r="P1021">
        <f t="shared" si="31"/>
        <v>0.27579999999999999</v>
      </c>
      <c r="Q1021" t="s">
        <v>46</v>
      </c>
      <c r="R1021">
        <v>2022</v>
      </c>
      <c r="S1021" t="s">
        <v>25</v>
      </c>
    </row>
    <row r="1022" spans="1:19" x14ac:dyDescent="0.3">
      <c r="A1022" t="s">
        <v>1098</v>
      </c>
      <c r="B1022">
        <v>45010</v>
      </c>
      <c r="C1022" t="s">
        <v>61</v>
      </c>
      <c r="D1022" t="s">
        <v>74</v>
      </c>
      <c r="E1022" t="s">
        <v>38</v>
      </c>
      <c r="F1022" t="s">
        <v>23</v>
      </c>
      <c r="G1022">
        <v>87613.34</v>
      </c>
      <c r="H1022">
        <v>54241.08</v>
      </c>
      <c r="I1022">
        <v>33372.26</v>
      </c>
      <c r="J1022">
        <v>18156.22</v>
      </c>
      <c r="K1022">
        <v>334274.71000000002</v>
      </c>
      <c r="L1022">
        <v>155356.99</v>
      </c>
      <c r="M1022">
        <v>856</v>
      </c>
      <c r="N1022">
        <v>8.8900000000000007E-2</v>
      </c>
      <c r="O1022">
        <f t="shared" si="30"/>
        <v>0.38090000000000002</v>
      </c>
      <c r="P1022">
        <f t="shared" si="31"/>
        <v>2.1516999999999999</v>
      </c>
      <c r="Q1022" t="s">
        <v>118</v>
      </c>
      <c r="R1022">
        <v>2023</v>
      </c>
      <c r="S1022" t="s">
        <v>82</v>
      </c>
    </row>
    <row r="1023" spans="1:19" x14ac:dyDescent="0.3">
      <c r="A1023" t="s">
        <v>1099</v>
      </c>
      <c r="B1023">
        <v>44694</v>
      </c>
      <c r="C1023" t="s">
        <v>30</v>
      </c>
      <c r="D1023" t="s">
        <v>31</v>
      </c>
      <c r="E1023" t="s">
        <v>38</v>
      </c>
      <c r="F1023" t="s">
        <v>23</v>
      </c>
      <c r="G1023">
        <v>23267.39</v>
      </c>
      <c r="H1023">
        <v>18550.97</v>
      </c>
      <c r="I1023">
        <v>4716.42</v>
      </c>
      <c r="J1023">
        <v>65857.59</v>
      </c>
      <c r="K1023">
        <v>15056.01</v>
      </c>
      <c r="L1023">
        <v>92493.94</v>
      </c>
      <c r="M1023">
        <v>857</v>
      </c>
      <c r="N1023">
        <v>3.3099999999999997E-2</v>
      </c>
      <c r="O1023">
        <f t="shared" si="30"/>
        <v>0.20269999999999999</v>
      </c>
      <c r="P1023">
        <f t="shared" si="31"/>
        <v>0.1628</v>
      </c>
      <c r="Q1023" t="s">
        <v>58</v>
      </c>
      <c r="R1023">
        <v>2022</v>
      </c>
      <c r="S1023" t="s">
        <v>25</v>
      </c>
    </row>
    <row r="1024" spans="1:19" x14ac:dyDescent="0.3">
      <c r="A1024" t="s">
        <v>1100</v>
      </c>
      <c r="B1024">
        <v>44794</v>
      </c>
      <c r="C1024" t="s">
        <v>85</v>
      </c>
      <c r="D1024" t="s">
        <v>86</v>
      </c>
      <c r="E1024" t="s">
        <v>32</v>
      </c>
      <c r="F1024" t="s">
        <v>23</v>
      </c>
      <c r="G1024">
        <v>104359.54795000001</v>
      </c>
      <c r="H1024">
        <v>58358.29</v>
      </c>
      <c r="I1024">
        <v>46001.26</v>
      </c>
      <c r="J1024">
        <v>1.1499999999999999</v>
      </c>
      <c r="K1024">
        <v>59689.78</v>
      </c>
      <c r="L1024">
        <v>90914.21</v>
      </c>
      <c r="M1024">
        <v>585</v>
      </c>
      <c r="N1024">
        <v>-6.0699999999999997E-2</v>
      </c>
      <c r="O1024">
        <f t="shared" si="30"/>
        <v>0.44080000000000003</v>
      </c>
      <c r="P1024">
        <f t="shared" si="31"/>
        <v>0.65659999999999996</v>
      </c>
      <c r="Q1024" t="s">
        <v>76</v>
      </c>
      <c r="R1024">
        <v>2022</v>
      </c>
      <c r="S1024" t="s">
        <v>82</v>
      </c>
    </row>
    <row r="1025" spans="1:19" x14ac:dyDescent="0.3">
      <c r="A1025" t="s">
        <v>1101</v>
      </c>
      <c r="B1025">
        <v>45388</v>
      </c>
      <c r="C1025" t="s">
        <v>48</v>
      </c>
      <c r="D1025" t="s">
        <v>49</v>
      </c>
      <c r="E1025" t="s">
        <v>32</v>
      </c>
      <c r="F1025" t="s">
        <v>23</v>
      </c>
      <c r="G1025">
        <v>249070.95690000002</v>
      </c>
      <c r="H1025">
        <v>219460.64</v>
      </c>
      <c r="I1025">
        <v>29610.32</v>
      </c>
      <c r="J1025">
        <v>27340.29</v>
      </c>
      <c r="K1025">
        <v>13218.77</v>
      </c>
      <c r="L1025">
        <v>136756.18</v>
      </c>
      <c r="M1025">
        <v>851</v>
      </c>
      <c r="N1025">
        <v>2.6100000000000002E-2</v>
      </c>
      <c r="O1025">
        <f t="shared" si="30"/>
        <v>0.11890000000000001</v>
      </c>
      <c r="P1025">
        <f t="shared" si="31"/>
        <v>9.6699999999999994E-2</v>
      </c>
      <c r="Q1025" t="s">
        <v>111</v>
      </c>
      <c r="R1025">
        <v>2024</v>
      </c>
      <c r="S1025" t="s">
        <v>25</v>
      </c>
    </row>
    <row r="1026" spans="1:19" x14ac:dyDescent="0.3">
      <c r="A1026" t="s">
        <v>1102</v>
      </c>
      <c r="B1026">
        <v>45016</v>
      </c>
      <c r="C1026" t="s">
        <v>61</v>
      </c>
      <c r="D1026" t="s">
        <v>74</v>
      </c>
      <c r="E1026" t="s">
        <v>22</v>
      </c>
      <c r="F1026" t="s">
        <v>23</v>
      </c>
      <c r="G1026">
        <v>36535.25</v>
      </c>
      <c r="H1026">
        <v>28262.52</v>
      </c>
      <c r="I1026">
        <v>8272.73</v>
      </c>
      <c r="J1026">
        <v>16573.37</v>
      </c>
      <c r="K1026">
        <v>42269.5</v>
      </c>
      <c r="L1026">
        <v>116617.29</v>
      </c>
      <c r="M1026">
        <v>604</v>
      </c>
      <c r="N1026">
        <v>-5.1499999999999997E-2</v>
      </c>
      <c r="O1026">
        <f t="shared" si="30"/>
        <v>0.22639999999999999</v>
      </c>
      <c r="P1026">
        <f t="shared" si="31"/>
        <v>0.36249999999999999</v>
      </c>
      <c r="Q1026" t="s">
        <v>118</v>
      </c>
      <c r="R1026">
        <v>2023</v>
      </c>
      <c r="S1026" t="s">
        <v>40</v>
      </c>
    </row>
    <row r="1027" spans="1:19" x14ac:dyDescent="0.3">
      <c r="A1027" t="s">
        <v>1103</v>
      </c>
      <c r="B1027">
        <v>45262</v>
      </c>
      <c r="C1027" t="s">
        <v>42</v>
      </c>
      <c r="D1027" t="s">
        <v>43</v>
      </c>
      <c r="E1027" t="s">
        <v>38</v>
      </c>
      <c r="F1027" t="s">
        <v>23</v>
      </c>
      <c r="G1027">
        <v>63261.57</v>
      </c>
      <c r="H1027">
        <v>56966.74</v>
      </c>
      <c r="I1027">
        <v>6294.83</v>
      </c>
      <c r="J1027">
        <v>40031.64</v>
      </c>
      <c r="K1027">
        <v>14910.13</v>
      </c>
      <c r="L1027">
        <v>53897.58</v>
      </c>
      <c r="M1027">
        <v>1228</v>
      </c>
      <c r="N1027">
        <v>0.13350000000000001</v>
      </c>
      <c r="O1027">
        <f t="shared" ref="O1027:O1090" si="32">(ROUND(I1027/G1027,4))</f>
        <v>9.9500000000000005E-2</v>
      </c>
      <c r="P1027">
        <f t="shared" ref="P1027:P1090" si="33">ROUND(K1027/L1027,4)</f>
        <v>0.27660000000000001</v>
      </c>
      <c r="Q1027" t="s">
        <v>44</v>
      </c>
      <c r="R1027">
        <v>2023</v>
      </c>
      <c r="S1027" t="s">
        <v>25</v>
      </c>
    </row>
    <row r="1028" spans="1:19" x14ac:dyDescent="0.3">
      <c r="A1028" t="s">
        <v>1104</v>
      </c>
      <c r="B1028">
        <v>45372</v>
      </c>
      <c r="C1028" t="s">
        <v>27</v>
      </c>
      <c r="D1028" t="s">
        <v>28</v>
      </c>
      <c r="E1028" t="s">
        <v>32</v>
      </c>
      <c r="F1028" t="s">
        <v>23</v>
      </c>
      <c r="G1028">
        <v>62796.849450000002</v>
      </c>
      <c r="H1028">
        <v>41662.04</v>
      </c>
      <c r="I1028">
        <v>21134.81</v>
      </c>
      <c r="J1028">
        <v>58707.05</v>
      </c>
      <c r="K1028">
        <v>20526.400000000001</v>
      </c>
      <c r="L1028">
        <v>192056.33</v>
      </c>
      <c r="M1028">
        <v>407</v>
      </c>
      <c r="N1028">
        <v>-6.7699999999999996E-2</v>
      </c>
      <c r="O1028">
        <f t="shared" si="32"/>
        <v>0.33660000000000001</v>
      </c>
      <c r="P1028">
        <f t="shared" si="33"/>
        <v>0.1069</v>
      </c>
      <c r="Q1028" t="s">
        <v>80</v>
      </c>
      <c r="R1028">
        <v>2024</v>
      </c>
      <c r="S1028" t="s">
        <v>25</v>
      </c>
    </row>
    <row r="1029" spans="1:19" x14ac:dyDescent="0.3">
      <c r="A1029" t="s">
        <v>1105</v>
      </c>
      <c r="B1029">
        <v>45828</v>
      </c>
      <c r="C1029" t="s">
        <v>42</v>
      </c>
      <c r="D1029" t="s">
        <v>43</v>
      </c>
      <c r="E1029" t="s">
        <v>32</v>
      </c>
      <c r="F1029" t="s">
        <v>23</v>
      </c>
      <c r="G1029">
        <v>65991.582649999997</v>
      </c>
      <c r="H1029">
        <v>38936.31</v>
      </c>
      <c r="I1029">
        <v>27055.27</v>
      </c>
      <c r="J1029">
        <v>42579.92</v>
      </c>
      <c r="K1029">
        <v>2495.5700000000002</v>
      </c>
      <c r="L1029">
        <v>166913.49</v>
      </c>
      <c r="M1029" t="s">
        <v>1281</v>
      </c>
      <c r="N1029">
        <v>0.1115</v>
      </c>
      <c r="O1029">
        <f t="shared" si="32"/>
        <v>0.41</v>
      </c>
      <c r="P1029">
        <f t="shared" si="33"/>
        <v>1.4999999999999999E-2</v>
      </c>
      <c r="Q1029" t="s">
        <v>34</v>
      </c>
      <c r="R1029">
        <v>2025</v>
      </c>
      <c r="S1029" t="s">
        <v>25</v>
      </c>
    </row>
    <row r="1030" spans="1:19" x14ac:dyDescent="0.3">
      <c r="A1030" t="s">
        <v>1106</v>
      </c>
      <c r="B1030">
        <v>45395</v>
      </c>
      <c r="C1030" t="s">
        <v>27</v>
      </c>
      <c r="D1030" t="s">
        <v>28</v>
      </c>
      <c r="E1030" t="s">
        <v>22</v>
      </c>
      <c r="F1030" t="s">
        <v>23</v>
      </c>
      <c r="G1030">
        <v>132974.87</v>
      </c>
      <c r="H1030">
        <v>80435</v>
      </c>
      <c r="I1030">
        <v>52539.87</v>
      </c>
      <c r="J1030">
        <v>87745.84</v>
      </c>
      <c r="K1030">
        <v>17407.349999999999</v>
      </c>
      <c r="L1030">
        <v>192520.83</v>
      </c>
      <c r="M1030">
        <v>1124</v>
      </c>
      <c r="N1030">
        <v>2.6700000000000002E-2</v>
      </c>
      <c r="O1030">
        <f t="shared" si="32"/>
        <v>0.39510000000000001</v>
      </c>
      <c r="P1030">
        <f t="shared" si="33"/>
        <v>9.0399999999999994E-2</v>
      </c>
      <c r="Q1030" t="s">
        <v>111</v>
      </c>
      <c r="R1030">
        <v>2024</v>
      </c>
      <c r="S1030" t="s">
        <v>25</v>
      </c>
    </row>
    <row r="1031" spans="1:19" x14ac:dyDescent="0.3">
      <c r="A1031" t="s">
        <v>1107</v>
      </c>
      <c r="B1031">
        <v>45251</v>
      </c>
      <c r="C1031" t="s">
        <v>48</v>
      </c>
      <c r="D1031" t="s">
        <v>49</v>
      </c>
      <c r="E1031" t="s">
        <v>38</v>
      </c>
      <c r="F1031" t="s">
        <v>23</v>
      </c>
      <c r="G1031">
        <v>33213.81</v>
      </c>
      <c r="H1031">
        <v>25522.01</v>
      </c>
      <c r="I1031">
        <v>7691.8</v>
      </c>
      <c r="J1031">
        <v>29984.6</v>
      </c>
      <c r="K1031">
        <v>34915.58</v>
      </c>
      <c r="L1031">
        <v>99025.98</v>
      </c>
      <c r="M1031">
        <v>911</v>
      </c>
      <c r="N1031">
        <v>9.9199999999999997E-2</v>
      </c>
      <c r="O1031">
        <f t="shared" si="32"/>
        <v>0.2316</v>
      </c>
      <c r="P1031">
        <f t="shared" si="33"/>
        <v>0.35260000000000002</v>
      </c>
      <c r="Q1031" t="s">
        <v>44</v>
      </c>
      <c r="R1031">
        <v>2023</v>
      </c>
      <c r="S1031" t="s">
        <v>40</v>
      </c>
    </row>
    <row r="1032" spans="1:19" x14ac:dyDescent="0.3">
      <c r="A1032" t="s">
        <v>1108</v>
      </c>
      <c r="B1032">
        <v>45202</v>
      </c>
      <c r="C1032" t="s">
        <v>36</v>
      </c>
      <c r="D1032" t="s">
        <v>37</v>
      </c>
      <c r="E1032" t="s">
        <v>22</v>
      </c>
      <c r="F1032" t="s">
        <v>23</v>
      </c>
      <c r="G1032">
        <v>65940.67</v>
      </c>
      <c r="H1032">
        <v>56822.19</v>
      </c>
      <c r="I1032">
        <v>9118.48</v>
      </c>
      <c r="J1032">
        <v>16472.89</v>
      </c>
      <c r="K1032">
        <v>93284.53</v>
      </c>
      <c r="L1032">
        <v>115375.91</v>
      </c>
      <c r="M1032">
        <v>1937</v>
      </c>
      <c r="N1032">
        <v>-7.0000000000000007E-2</v>
      </c>
      <c r="O1032">
        <f t="shared" si="32"/>
        <v>0.13830000000000001</v>
      </c>
      <c r="P1032">
        <f t="shared" si="33"/>
        <v>0.8085</v>
      </c>
      <c r="Q1032" t="s">
        <v>44</v>
      </c>
      <c r="R1032">
        <v>2023</v>
      </c>
      <c r="S1032" t="s">
        <v>82</v>
      </c>
    </row>
    <row r="1033" spans="1:19" x14ac:dyDescent="0.3">
      <c r="A1033" t="s">
        <v>1109</v>
      </c>
      <c r="B1033">
        <v>44640</v>
      </c>
      <c r="C1033" t="s">
        <v>36</v>
      </c>
      <c r="D1033" t="s">
        <v>37</v>
      </c>
      <c r="E1033" t="s">
        <v>38</v>
      </c>
      <c r="F1033" t="s">
        <v>23</v>
      </c>
      <c r="G1033">
        <v>66136.27</v>
      </c>
      <c r="H1033">
        <v>45205.51</v>
      </c>
      <c r="I1033">
        <v>20930.759999999998</v>
      </c>
      <c r="J1033">
        <v>31505.21</v>
      </c>
      <c r="K1033">
        <v>29584.28</v>
      </c>
      <c r="L1033">
        <v>63248.2</v>
      </c>
      <c r="M1033">
        <v>683</v>
      </c>
      <c r="N1033">
        <v>-2.1000000000000001E-2</v>
      </c>
      <c r="O1033">
        <f t="shared" si="32"/>
        <v>0.3165</v>
      </c>
      <c r="P1033">
        <f t="shared" si="33"/>
        <v>0.4677</v>
      </c>
      <c r="Q1033" t="s">
        <v>90</v>
      </c>
      <c r="R1033">
        <v>2022</v>
      </c>
      <c r="S1033" t="s">
        <v>40</v>
      </c>
    </row>
    <row r="1034" spans="1:19" x14ac:dyDescent="0.3">
      <c r="A1034" t="s">
        <v>1110</v>
      </c>
      <c r="B1034">
        <v>45367</v>
      </c>
      <c r="C1034" t="s">
        <v>102</v>
      </c>
      <c r="D1034" t="s">
        <v>103</v>
      </c>
      <c r="E1034" t="s">
        <v>51</v>
      </c>
      <c r="F1034" t="s">
        <v>23</v>
      </c>
      <c r="G1034">
        <v>68211.31</v>
      </c>
      <c r="H1034">
        <v>40929.129999999997</v>
      </c>
      <c r="I1034">
        <v>27282.18</v>
      </c>
      <c r="J1034">
        <v>20015.330000000002</v>
      </c>
      <c r="K1034">
        <v>13863.71</v>
      </c>
      <c r="L1034">
        <v>57930.89</v>
      </c>
      <c r="M1034">
        <v>1052</v>
      </c>
      <c r="N1034">
        <v>5.8900000000000001E-2</v>
      </c>
      <c r="O1034">
        <f t="shared" si="32"/>
        <v>0.4</v>
      </c>
      <c r="P1034">
        <f t="shared" si="33"/>
        <v>0.23930000000000001</v>
      </c>
      <c r="Q1034" t="s">
        <v>80</v>
      </c>
      <c r="R1034">
        <v>2024</v>
      </c>
      <c r="S1034" t="s">
        <v>25</v>
      </c>
    </row>
    <row r="1035" spans="1:19" x14ac:dyDescent="0.3">
      <c r="A1035" t="s">
        <v>1111</v>
      </c>
      <c r="B1035">
        <v>45516</v>
      </c>
      <c r="C1035" t="s">
        <v>1282</v>
      </c>
      <c r="D1035" t="s">
        <v>69</v>
      </c>
      <c r="E1035" t="s">
        <v>38</v>
      </c>
      <c r="F1035" t="s">
        <v>23</v>
      </c>
      <c r="G1035">
        <v>107027.67</v>
      </c>
      <c r="H1035">
        <v>86135.1</v>
      </c>
      <c r="I1035">
        <v>20892.57</v>
      </c>
      <c r="J1035">
        <v>89081.16</v>
      </c>
      <c r="K1035">
        <v>23772.39</v>
      </c>
      <c r="L1035">
        <v>104448.97</v>
      </c>
      <c r="M1035">
        <v>890</v>
      </c>
      <c r="N1035">
        <v>1.7600000000000001E-2</v>
      </c>
      <c r="O1035">
        <f t="shared" si="32"/>
        <v>0.19520000000000001</v>
      </c>
      <c r="P1035">
        <f t="shared" si="33"/>
        <v>0.2276</v>
      </c>
      <c r="Q1035" t="s">
        <v>72</v>
      </c>
      <c r="R1035">
        <v>2024</v>
      </c>
      <c r="S1035" t="s">
        <v>25</v>
      </c>
    </row>
    <row r="1036" spans="1:19" x14ac:dyDescent="0.3">
      <c r="A1036" t="s">
        <v>1112</v>
      </c>
      <c r="B1036">
        <v>44656</v>
      </c>
      <c r="C1036" t="s">
        <v>30</v>
      </c>
      <c r="D1036" t="s">
        <v>31</v>
      </c>
      <c r="E1036" t="s">
        <v>22</v>
      </c>
      <c r="F1036" t="s">
        <v>23</v>
      </c>
      <c r="G1036">
        <v>71945.649999999994</v>
      </c>
      <c r="H1036">
        <v>56450.55</v>
      </c>
      <c r="I1036">
        <v>15495.1</v>
      </c>
      <c r="J1036">
        <v>38454.089999999997</v>
      </c>
      <c r="K1036">
        <v>36418.11</v>
      </c>
      <c r="L1036">
        <v>76449.94</v>
      </c>
      <c r="M1036" t="s">
        <v>1281</v>
      </c>
      <c r="N1036">
        <v>-0.1167</v>
      </c>
      <c r="O1036">
        <f t="shared" si="32"/>
        <v>0.21540000000000001</v>
      </c>
      <c r="P1036">
        <f t="shared" si="33"/>
        <v>0.47639999999999999</v>
      </c>
      <c r="Q1036" t="s">
        <v>58</v>
      </c>
      <c r="R1036">
        <v>2022</v>
      </c>
      <c r="S1036" t="s">
        <v>40</v>
      </c>
    </row>
    <row r="1037" spans="1:19" x14ac:dyDescent="0.3">
      <c r="A1037" t="s">
        <v>1113</v>
      </c>
      <c r="B1037">
        <v>45705</v>
      </c>
      <c r="C1037" t="s">
        <v>102</v>
      </c>
      <c r="D1037" t="s">
        <v>103</v>
      </c>
      <c r="E1037" t="s">
        <v>38</v>
      </c>
      <c r="F1037" t="s">
        <v>23</v>
      </c>
      <c r="G1037">
        <v>159209.53</v>
      </c>
      <c r="H1037">
        <v>90707.9</v>
      </c>
      <c r="I1037">
        <v>68501.63</v>
      </c>
      <c r="J1037">
        <v>27207.47</v>
      </c>
      <c r="K1037">
        <v>36508.03</v>
      </c>
      <c r="L1037">
        <v>156277.42000000001</v>
      </c>
      <c r="M1037">
        <v>1405</v>
      </c>
      <c r="N1037">
        <v>7.7999999999999996E-3</v>
      </c>
      <c r="O1037">
        <f t="shared" si="32"/>
        <v>0.43030000000000002</v>
      </c>
      <c r="P1037">
        <f t="shared" si="33"/>
        <v>0.2336</v>
      </c>
      <c r="Q1037" t="s">
        <v>106</v>
      </c>
      <c r="R1037">
        <v>2025</v>
      </c>
      <c r="S1037" t="s">
        <v>25</v>
      </c>
    </row>
    <row r="1038" spans="1:19" x14ac:dyDescent="0.3">
      <c r="A1038" t="s">
        <v>1114</v>
      </c>
      <c r="B1038">
        <v>45007</v>
      </c>
      <c r="C1038" t="s">
        <v>78</v>
      </c>
      <c r="D1038" t="s">
        <v>79</v>
      </c>
      <c r="E1038" t="s">
        <v>32</v>
      </c>
      <c r="F1038" t="s">
        <v>23</v>
      </c>
      <c r="G1038">
        <v>75645.924950000001</v>
      </c>
      <c r="H1038">
        <v>64633.59</v>
      </c>
      <c r="I1038">
        <v>11012.34</v>
      </c>
      <c r="J1038">
        <v>40742.43</v>
      </c>
      <c r="K1038">
        <v>18905.349999999999</v>
      </c>
      <c r="L1038">
        <v>124046.74</v>
      </c>
      <c r="M1038">
        <v>1270</v>
      </c>
      <c r="N1038">
        <v>0.1414</v>
      </c>
      <c r="O1038">
        <f t="shared" si="32"/>
        <v>0.14560000000000001</v>
      </c>
      <c r="P1038">
        <f t="shared" si="33"/>
        <v>0.15240000000000001</v>
      </c>
      <c r="Q1038" t="s">
        <v>118</v>
      </c>
      <c r="R1038">
        <v>2023</v>
      </c>
      <c r="S1038" t="s">
        <v>25</v>
      </c>
    </row>
    <row r="1039" spans="1:19" x14ac:dyDescent="0.3">
      <c r="A1039" t="s">
        <v>1115</v>
      </c>
      <c r="B1039">
        <v>45926</v>
      </c>
      <c r="C1039" t="s">
        <v>30</v>
      </c>
      <c r="D1039" t="s">
        <v>31</v>
      </c>
      <c r="E1039" t="s">
        <v>22</v>
      </c>
      <c r="F1039" t="s">
        <v>23</v>
      </c>
      <c r="G1039">
        <v>130220.58</v>
      </c>
      <c r="H1039">
        <v>83995.01</v>
      </c>
      <c r="I1039">
        <v>46225.57</v>
      </c>
      <c r="J1039">
        <v>18908.09</v>
      </c>
      <c r="K1039">
        <v>116787.88</v>
      </c>
      <c r="L1039">
        <v>59865.79</v>
      </c>
      <c r="M1039">
        <v>968</v>
      </c>
      <c r="N1039">
        <v>-4.6399999999999997E-2</v>
      </c>
      <c r="O1039">
        <f t="shared" si="32"/>
        <v>0.35499999999999998</v>
      </c>
      <c r="P1039">
        <f t="shared" si="33"/>
        <v>1.9508000000000001</v>
      </c>
      <c r="Q1039" t="s">
        <v>24</v>
      </c>
      <c r="R1039">
        <v>2025</v>
      </c>
      <c r="S1039" t="s">
        <v>82</v>
      </c>
    </row>
    <row r="1040" spans="1:19" x14ac:dyDescent="0.3">
      <c r="A1040" t="s">
        <v>1116</v>
      </c>
      <c r="B1040">
        <v>45486</v>
      </c>
      <c r="C1040" t="s">
        <v>42</v>
      </c>
      <c r="D1040" t="s">
        <v>43</v>
      </c>
      <c r="E1040" t="s">
        <v>22</v>
      </c>
      <c r="F1040" t="s">
        <v>23</v>
      </c>
      <c r="G1040">
        <v>29691.040000000001</v>
      </c>
      <c r="H1040">
        <v>23222.22</v>
      </c>
      <c r="I1040">
        <v>6468.82</v>
      </c>
      <c r="J1040">
        <v>30391.75</v>
      </c>
      <c r="K1040">
        <v>26278.82</v>
      </c>
      <c r="L1040">
        <v>110929.43</v>
      </c>
      <c r="M1040">
        <v>911</v>
      </c>
      <c r="N1040">
        <v>0.111</v>
      </c>
      <c r="O1040">
        <f t="shared" si="32"/>
        <v>0.21790000000000001</v>
      </c>
      <c r="P1040">
        <f t="shared" si="33"/>
        <v>0.2369</v>
      </c>
      <c r="Q1040" t="s">
        <v>72</v>
      </c>
      <c r="R1040">
        <v>2024</v>
      </c>
      <c r="S1040" t="s">
        <v>25</v>
      </c>
    </row>
    <row r="1041" spans="1:19" x14ac:dyDescent="0.3">
      <c r="A1041" t="s">
        <v>1117</v>
      </c>
      <c r="B1041">
        <v>44598</v>
      </c>
      <c r="C1041" t="s">
        <v>1282</v>
      </c>
      <c r="D1041" t="s">
        <v>69</v>
      </c>
      <c r="E1041" t="s">
        <v>38</v>
      </c>
      <c r="F1041" t="s">
        <v>23</v>
      </c>
      <c r="G1041">
        <v>126444.14</v>
      </c>
      <c r="H1041">
        <v>102543.9</v>
      </c>
      <c r="I1041">
        <v>23900.240000000002</v>
      </c>
      <c r="J1041">
        <v>139791.14000000001</v>
      </c>
      <c r="K1041">
        <v>88688.09</v>
      </c>
      <c r="L1041">
        <v>181663.76</v>
      </c>
      <c r="M1041">
        <v>1516</v>
      </c>
      <c r="N1041">
        <v>-1.8599999999999998E-2</v>
      </c>
      <c r="O1041">
        <f t="shared" si="32"/>
        <v>0.189</v>
      </c>
      <c r="P1041">
        <f t="shared" si="33"/>
        <v>0.48820000000000002</v>
      </c>
      <c r="Q1041" t="s">
        <v>90</v>
      </c>
      <c r="R1041">
        <v>2022</v>
      </c>
      <c r="S1041" t="s">
        <v>40</v>
      </c>
    </row>
    <row r="1042" spans="1:19" x14ac:dyDescent="0.3">
      <c r="A1042" t="s">
        <v>1118</v>
      </c>
      <c r="B1042">
        <v>44954</v>
      </c>
      <c r="C1042" t="s">
        <v>61</v>
      </c>
      <c r="D1042" t="s">
        <v>74</v>
      </c>
      <c r="E1042" t="s">
        <v>22</v>
      </c>
      <c r="F1042" t="s">
        <v>23</v>
      </c>
      <c r="G1042">
        <v>81680.679999999993</v>
      </c>
      <c r="H1042">
        <v>47967.519999999997</v>
      </c>
      <c r="I1042">
        <v>33713.160000000003</v>
      </c>
      <c r="J1042">
        <v>32060.35</v>
      </c>
      <c r="K1042">
        <v>6663.32</v>
      </c>
      <c r="L1042">
        <v>67738.47</v>
      </c>
      <c r="M1042">
        <v>826</v>
      </c>
      <c r="N1042">
        <v>1.4E-3</v>
      </c>
      <c r="O1042">
        <f t="shared" si="32"/>
        <v>0.41270000000000001</v>
      </c>
      <c r="P1042">
        <f t="shared" si="33"/>
        <v>9.8400000000000001E-2</v>
      </c>
      <c r="Q1042" t="s">
        <v>118</v>
      </c>
      <c r="R1042">
        <v>2023</v>
      </c>
      <c r="S1042" t="s">
        <v>25</v>
      </c>
    </row>
    <row r="1043" spans="1:19" x14ac:dyDescent="0.3">
      <c r="A1043" t="s">
        <v>1119</v>
      </c>
      <c r="B1043">
        <v>45741</v>
      </c>
      <c r="C1043" t="s">
        <v>78</v>
      </c>
      <c r="D1043" t="s">
        <v>79</v>
      </c>
      <c r="E1043" t="s">
        <v>32</v>
      </c>
      <c r="F1043" t="s">
        <v>23</v>
      </c>
      <c r="G1043">
        <v>78357.548299999995</v>
      </c>
      <c r="H1043">
        <v>46964.2</v>
      </c>
      <c r="I1043">
        <v>31393.35</v>
      </c>
      <c r="J1043">
        <v>38626.43</v>
      </c>
      <c r="K1043">
        <v>13497.03</v>
      </c>
      <c r="L1043">
        <v>151799.10999999999</v>
      </c>
      <c r="M1043">
        <v>1974</v>
      </c>
      <c r="N1043">
        <v>-3.3300000000000003E-2</v>
      </c>
      <c r="O1043">
        <f t="shared" si="32"/>
        <v>0.40060000000000001</v>
      </c>
      <c r="P1043">
        <f t="shared" si="33"/>
        <v>8.8900000000000007E-2</v>
      </c>
      <c r="Q1043" t="s">
        <v>106</v>
      </c>
      <c r="R1043">
        <v>2025</v>
      </c>
      <c r="S1043" t="s">
        <v>25</v>
      </c>
    </row>
    <row r="1044" spans="1:19" x14ac:dyDescent="0.3">
      <c r="A1044" t="s">
        <v>1120</v>
      </c>
      <c r="B1044">
        <v>45538</v>
      </c>
      <c r="C1044" t="s">
        <v>42</v>
      </c>
      <c r="D1044" t="s">
        <v>43</v>
      </c>
      <c r="E1044" t="s">
        <v>32</v>
      </c>
      <c r="F1044" t="s">
        <v>23</v>
      </c>
      <c r="G1044">
        <v>45778.245000000003</v>
      </c>
      <c r="H1044">
        <v>39217.85</v>
      </c>
      <c r="I1044">
        <v>6560.39</v>
      </c>
      <c r="J1044">
        <v>83111.92</v>
      </c>
      <c r="K1044">
        <v>8581.0300000000007</v>
      </c>
      <c r="L1044">
        <v>292722.71999999997</v>
      </c>
      <c r="M1044">
        <v>2263</v>
      </c>
      <c r="N1044">
        <v>0.12570000000000001</v>
      </c>
      <c r="O1044">
        <f t="shared" si="32"/>
        <v>0.14330000000000001</v>
      </c>
      <c r="P1044">
        <f t="shared" si="33"/>
        <v>2.93E-2</v>
      </c>
      <c r="Q1044" t="s">
        <v>72</v>
      </c>
      <c r="R1044">
        <v>2024</v>
      </c>
      <c r="S1044" t="s">
        <v>25</v>
      </c>
    </row>
    <row r="1045" spans="1:19" x14ac:dyDescent="0.3">
      <c r="A1045" t="s">
        <v>1121</v>
      </c>
      <c r="B1045">
        <v>44869</v>
      </c>
      <c r="C1045" t="s">
        <v>42</v>
      </c>
      <c r="D1045" t="s">
        <v>43</v>
      </c>
      <c r="E1045" t="s">
        <v>32</v>
      </c>
      <c r="F1045" t="s">
        <v>23</v>
      </c>
      <c r="G1045">
        <v>112543.5156</v>
      </c>
      <c r="H1045">
        <v>101176.24</v>
      </c>
      <c r="I1045">
        <v>11367.27</v>
      </c>
      <c r="J1045">
        <v>12735.54</v>
      </c>
      <c r="K1045">
        <v>65775.44</v>
      </c>
      <c r="L1045">
        <v>171013.79</v>
      </c>
      <c r="M1045">
        <v>757</v>
      </c>
      <c r="N1045">
        <v>-5.7500000000000002E-2</v>
      </c>
      <c r="O1045">
        <f t="shared" si="32"/>
        <v>0.10100000000000001</v>
      </c>
      <c r="P1045">
        <f t="shared" si="33"/>
        <v>0.3846</v>
      </c>
      <c r="Q1045" t="s">
        <v>46</v>
      </c>
      <c r="R1045">
        <v>2022</v>
      </c>
      <c r="S1045" t="s">
        <v>40</v>
      </c>
    </row>
    <row r="1046" spans="1:19" x14ac:dyDescent="0.3">
      <c r="A1046" t="s">
        <v>1122</v>
      </c>
      <c r="B1046">
        <v>44839</v>
      </c>
      <c r="C1046" t="s">
        <v>30</v>
      </c>
      <c r="D1046" t="s">
        <v>31</v>
      </c>
      <c r="E1046" t="s">
        <v>32</v>
      </c>
      <c r="F1046" t="s">
        <v>23</v>
      </c>
      <c r="G1046">
        <v>104503.69200000001</v>
      </c>
      <c r="H1046">
        <v>70659.03</v>
      </c>
      <c r="I1046">
        <v>33844.67</v>
      </c>
      <c r="J1046">
        <v>63323.11</v>
      </c>
      <c r="K1046">
        <v>81516.649999999994</v>
      </c>
      <c r="L1046">
        <v>140359.91</v>
      </c>
      <c r="M1046">
        <v>508</v>
      </c>
      <c r="N1046">
        <v>-8.2199999999999995E-2</v>
      </c>
      <c r="O1046">
        <f t="shared" si="32"/>
        <v>0.32390000000000002</v>
      </c>
      <c r="P1046">
        <f t="shared" si="33"/>
        <v>0.58079999999999998</v>
      </c>
      <c r="Q1046" t="s">
        <v>46</v>
      </c>
      <c r="R1046">
        <v>2022</v>
      </c>
      <c r="S1046" t="s">
        <v>40</v>
      </c>
    </row>
    <row r="1047" spans="1:19" x14ac:dyDescent="0.3">
      <c r="A1047" t="s">
        <v>1123</v>
      </c>
      <c r="B1047">
        <v>45779</v>
      </c>
      <c r="C1047" t="s">
        <v>54</v>
      </c>
      <c r="D1047" t="s">
        <v>55</v>
      </c>
      <c r="E1047" t="s">
        <v>38</v>
      </c>
      <c r="F1047" t="s">
        <v>23</v>
      </c>
      <c r="G1047">
        <v>58588.26</v>
      </c>
      <c r="H1047">
        <v>48265.79</v>
      </c>
      <c r="I1047">
        <v>10322.469999999999</v>
      </c>
      <c r="J1047">
        <v>67196.350000000006</v>
      </c>
      <c r="K1047">
        <v>8658.86</v>
      </c>
      <c r="L1047">
        <v>245533.65</v>
      </c>
      <c r="M1047">
        <v>1091</v>
      </c>
      <c r="N1047">
        <v>-4.5699999999999998E-2</v>
      </c>
      <c r="O1047">
        <f t="shared" si="32"/>
        <v>0.1762</v>
      </c>
      <c r="P1047">
        <f t="shared" si="33"/>
        <v>3.5299999999999998E-2</v>
      </c>
      <c r="Q1047" t="s">
        <v>34</v>
      </c>
      <c r="R1047">
        <v>2025</v>
      </c>
      <c r="S1047" t="s">
        <v>25</v>
      </c>
    </row>
    <row r="1048" spans="1:19" x14ac:dyDescent="0.3">
      <c r="A1048" t="s">
        <v>1124</v>
      </c>
      <c r="B1048">
        <v>45089</v>
      </c>
      <c r="C1048" t="s">
        <v>48</v>
      </c>
      <c r="D1048" t="s">
        <v>49</v>
      </c>
      <c r="E1048" t="s">
        <v>32</v>
      </c>
      <c r="F1048" t="s">
        <v>23</v>
      </c>
      <c r="G1048">
        <v>226715.6563</v>
      </c>
      <c r="H1048">
        <v>133969.51999999999</v>
      </c>
      <c r="I1048">
        <v>92746.13</v>
      </c>
      <c r="J1048">
        <v>50502.61</v>
      </c>
      <c r="K1048">
        <v>36116.86</v>
      </c>
      <c r="L1048">
        <v>220680.52</v>
      </c>
      <c r="M1048">
        <v>793</v>
      </c>
      <c r="N1048">
        <v>-6.2300000000000001E-2</v>
      </c>
      <c r="O1048">
        <f t="shared" si="32"/>
        <v>0.40910000000000002</v>
      </c>
      <c r="P1048">
        <f t="shared" si="33"/>
        <v>0.16370000000000001</v>
      </c>
      <c r="Q1048" t="s">
        <v>39</v>
      </c>
      <c r="R1048">
        <v>2023</v>
      </c>
      <c r="S1048" t="s">
        <v>25</v>
      </c>
    </row>
    <row r="1049" spans="1:19" x14ac:dyDescent="0.3">
      <c r="A1049" t="s">
        <v>1125</v>
      </c>
      <c r="B1049">
        <v>45315</v>
      </c>
      <c r="C1049" t="s">
        <v>85</v>
      </c>
      <c r="D1049" t="s">
        <v>86</v>
      </c>
      <c r="E1049" t="s">
        <v>32</v>
      </c>
      <c r="F1049" t="s">
        <v>23</v>
      </c>
      <c r="G1049">
        <v>243849.97445000001</v>
      </c>
      <c r="H1049">
        <v>164710.28</v>
      </c>
      <c r="I1049">
        <v>79139.7</v>
      </c>
      <c r="J1049">
        <v>46934.39</v>
      </c>
      <c r="K1049">
        <v>14601.28</v>
      </c>
      <c r="L1049">
        <v>109944.71</v>
      </c>
      <c r="M1049">
        <v>870</v>
      </c>
      <c r="N1049">
        <v>-4.8599999999999997E-2</v>
      </c>
      <c r="O1049">
        <f t="shared" si="32"/>
        <v>0.32450000000000001</v>
      </c>
      <c r="P1049">
        <f t="shared" si="33"/>
        <v>0.1328</v>
      </c>
      <c r="Q1049" t="s">
        <v>80</v>
      </c>
      <c r="R1049">
        <v>2024</v>
      </c>
      <c r="S1049" t="s">
        <v>25</v>
      </c>
    </row>
    <row r="1050" spans="1:19" x14ac:dyDescent="0.3">
      <c r="A1050" t="s">
        <v>1126</v>
      </c>
      <c r="B1050">
        <v>44769</v>
      </c>
      <c r="C1050" t="s">
        <v>42</v>
      </c>
      <c r="D1050" t="s">
        <v>43</v>
      </c>
      <c r="E1050" t="s">
        <v>32</v>
      </c>
      <c r="F1050" t="s">
        <v>23</v>
      </c>
      <c r="G1050">
        <v>95052.587200000009</v>
      </c>
      <c r="H1050">
        <v>77321.5</v>
      </c>
      <c r="I1050">
        <v>17731.09</v>
      </c>
      <c r="J1050">
        <v>79803.27</v>
      </c>
      <c r="K1050">
        <v>27790.62</v>
      </c>
      <c r="L1050">
        <v>250567.3</v>
      </c>
      <c r="M1050">
        <v>960</v>
      </c>
      <c r="N1050">
        <v>0.13</v>
      </c>
      <c r="O1050">
        <f t="shared" si="32"/>
        <v>0.1865</v>
      </c>
      <c r="P1050">
        <f t="shared" si="33"/>
        <v>0.1109</v>
      </c>
      <c r="Q1050" t="s">
        <v>76</v>
      </c>
      <c r="R1050">
        <v>2022</v>
      </c>
      <c r="S1050" t="s">
        <v>25</v>
      </c>
    </row>
    <row r="1051" spans="1:19" x14ac:dyDescent="0.3">
      <c r="A1051" t="s">
        <v>1127</v>
      </c>
      <c r="B1051">
        <v>45413</v>
      </c>
      <c r="C1051" t="s">
        <v>27</v>
      </c>
      <c r="D1051" t="s">
        <v>28</v>
      </c>
      <c r="E1051" t="s">
        <v>22</v>
      </c>
      <c r="F1051" t="s">
        <v>23</v>
      </c>
      <c r="G1051">
        <v>27171.88</v>
      </c>
      <c r="H1051">
        <v>23688.84</v>
      </c>
      <c r="I1051">
        <v>3483.04</v>
      </c>
      <c r="J1051">
        <v>22652.19</v>
      </c>
      <c r="K1051">
        <v>77595.929999999993</v>
      </c>
      <c r="L1051">
        <v>70754.759999999995</v>
      </c>
      <c r="M1051">
        <v>586</v>
      </c>
      <c r="N1051">
        <v>9.1999999999999998E-3</v>
      </c>
      <c r="O1051">
        <f t="shared" si="32"/>
        <v>0.12820000000000001</v>
      </c>
      <c r="P1051">
        <f t="shared" si="33"/>
        <v>1.0967</v>
      </c>
      <c r="Q1051" t="s">
        <v>111</v>
      </c>
      <c r="R1051">
        <v>2024</v>
      </c>
      <c r="S1051" t="s">
        <v>82</v>
      </c>
    </row>
    <row r="1052" spans="1:19" x14ac:dyDescent="0.3">
      <c r="A1052" t="s">
        <v>1128</v>
      </c>
      <c r="B1052">
        <v>45552</v>
      </c>
      <c r="C1052" t="s">
        <v>27</v>
      </c>
      <c r="D1052" t="s">
        <v>28</v>
      </c>
      <c r="E1052" t="s">
        <v>22</v>
      </c>
      <c r="F1052" t="s">
        <v>23</v>
      </c>
      <c r="G1052">
        <v>42212.39</v>
      </c>
      <c r="H1052">
        <v>27694.03</v>
      </c>
      <c r="I1052">
        <v>14518.36</v>
      </c>
      <c r="J1052">
        <v>30310.25</v>
      </c>
      <c r="K1052">
        <v>17804.650000000001</v>
      </c>
      <c r="L1052">
        <v>112161.17</v>
      </c>
      <c r="M1052">
        <v>1207</v>
      </c>
      <c r="N1052">
        <v>2.7400000000000001E-2</v>
      </c>
      <c r="O1052">
        <f t="shared" si="32"/>
        <v>0.34389999999999998</v>
      </c>
      <c r="P1052">
        <f t="shared" si="33"/>
        <v>0.15870000000000001</v>
      </c>
      <c r="Q1052" t="s">
        <v>72</v>
      </c>
      <c r="R1052">
        <v>2024</v>
      </c>
      <c r="S1052" t="s">
        <v>25</v>
      </c>
    </row>
    <row r="1053" spans="1:19" x14ac:dyDescent="0.3">
      <c r="A1053" t="s">
        <v>1129</v>
      </c>
      <c r="B1053">
        <v>45492</v>
      </c>
      <c r="C1053" t="s">
        <v>42</v>
      </c>
      <c r="D1053" t="s">
        <v>43</v>
      </c>
      <c r="E1053" t="s">
        <v>38</v>
      </c>
      <c r="F1053" t="s">
        <v>23</v>
      </c>
      <c r="G1053">
        <v>60367.94</v>
      </c>
      <c r="H1053">
        <v>53182.91</v>
      </c>
      <c r="I1053">
        <v>7185.03</v>
      </c>
      <c r="J1053">
        <v>23765.75</v>
      </c>
      <c r="K1053">
        <v>54810.82</v>
      </c>
      <c r="L1053">
        <v>191201.63</v>
      </c>
      <c r="M1053">
        <v>591</v>
      </c>
      <c r="N1053">
        <v>0.14249999999999999</v>
      </c>
      <c r="O1053">
        <f t="shared" si="32"/>
        <v>0.11899999999999999</v>
      </c>
      <c r="P1053">
        <f t="shared" si="33"/>
        <v>0.28670000000000001</v>
      </c>
      <c r="Q1053" t="s">
        <v>72</v>
      </c>
      <c r="R1053">
        <v>2024</v>
      </c>
      <c r="S1053" t="s">
        <v>25</v>
      </c>
    </row>
    <row r="1054" spans="1:19" x14ac:dyDescent="0.3">
      <c r="A1054" t="s">
        <v>1130</v>
      </c>
      <c r="B1054">
        <v>46009</v>
      </c>
      <c r="C1054" t="s">
        <v>42</v>
      </c>
      <c r="D1054" t="s">
        <v>43</v>
      </c>
      <c r="E1054" t="s">
        <v>32</v>
      </c>
      <c r="F1054" t="s">
        <v>23</v>
      </c>
      <c r="G1054">
        <v>154158.22</v>
      </c>
      <c r="H1054">
        <v>103961.08</v>
      </c>
      <c r="I1054">
        <v>50197.14</v>
      </c>
      <c r="J1054">
        <v>35978.980000000003</v>
      </c>
      <c r="K1054">
        <v>54014.79</v>
      </c>
      <c r="L1054">
        <v>87252.06</v>
      </c>
      <c r="M1054">
        <v>927</v>
      </c>
      <c r="N1054">
        <v>0.11799999999999999</v>
      </c>
      <c r="O1054">
        <f t="shared" si="32"/>
        <v>0.3256</v>
      </c>
      <c r="P1054">
        <f t="shared" si="33"/>
        <v>0.61909999999999998</v>
      </c>
      <c r="Q1054" t="s">
        <v>66</v>
      </c>
      <c r="R1054">
        <v>2025</v>
      </c>
      <c r="S1054" t="s">
        <v>82</v>
      </c>
    </row>
    <row r="1055" spans="1:19" x14ac:dyDescent="0.3">
      <c r="A1055" t="s">
        <v>1131</v>
      </c>
      <c r="B1055" s="4">
        <v>44887</v>
      </c>
      <c r="C1055" t="s">
        <v>48</v>
      </c>
      <c r="D1055" t="s">
        <v>49</v>
      </c>
      <c r="E1055" t="s">
        <v>22</v>
      </c>
      <c r="F1055" t="s">
        <v>23</v>
      </c>
      <c r="G1055">
        <v>34552.879999999997</v>
      </c>
      <c r="H1055">
        <v>29698.03</v>
      </c>
      <c r="I1055">
        <v>4854.8500000000004</v>
      </c>
      <c r="J1055">
        <v>98448.27</v>
      </c>
      <c r="K1055">
        <v>73577.2</v>
      </c>
      <c r="L1055">
        <v>138579.53</v>
      </c>
      <c r="M1055">
        <v>565</v>
      </c>
      <c r="N1055">
        <v>-2.4400000000000002E-2</v>
      </c>
      <c r="O1055">
        <f t="shared" si="32"/>
        <v>0.14050000000000001</v>
      </c>
      <c r="P1055">
        <f t="shared" si="33"/>
        <v>0.53090000000000004</v>
      </c>
      <c r="Q1055" t="s">
        <v>46</v>
      </c>
      <c r="R1055">
        <v>2022</v>
      </c>
      <c r="S1055" t="s">
        <v>40</v>
      </c>
    </row>
    <row r="1056" spans="1:19" x14ac:dyDescent="0.3">
      <c r="A1056" t="s">
        <v>1132</v>
      </c>
      <c r="B1056">
        <v>44951</v>
      </c>
      <c r="C1056" t="s">
        <v>30</v>
      </c>
      <c r="D1056" t="s">
        <v>31</v>
      </c>
      <c r="E1056" t="s">
        <v>38</v>
      </c>
      <c r="F1056" t="s">
        <v>23</v>
      </c>
      <c r="G1056">
        <v>85009.49</v>
      </c>
      <c r="H1056">
        <v>71885.47</v>
      </c>
      <c r="I1056">
        <v>13124.02</v>
      </c>
      <c r="J1056">
        <v>39107.879999999997</v>
      </c>
      <c r="K1056">
        <v>10099.42</v>
      </c>
      <c r="L1056">
        <v>77365.740000000005</v>
      </c>
      <c r="M1056">
        <v>819</v>
      </c>
      <c r="N1056">
        <v>4.3900000000000002E-2</v>
      </c>
      <c r="O1056">
        <f t="shared" si="32"/>
        <v>0.15440000000000001</v>
      </c>
      <c r="P1056">
        <f t="shared" si="33"/>
        <v>0.1305</v>
      </c>
      <c r="Q1056" t="s">
        <v>118</v>
      </c>
      <c r="R1056">
        <v>2023</v>
      </c>
      <c r="S1056" t="s">
        <v>25</v>
      </c>
    </row>
    <row r="1057" spans="1:19" x14ac:dyDescent="0.3">
      <c r="A1057" t="s">
        <v>1133</v>
      </c>
      <c r="B1057">
        <v>45160</v>
      </c>
      <c r="C1057" t="s">
        <v>1282</v>
      </c>
      <c r="D1057" t="s">
        <v>69</v>
      </c>
      <c r="E1057" t="s">
        <v>22</v>
      </c>
      <c r="F1057" t="s">
        <v>23</v>
      </c>
      <c r="G1057">
        <v>24076.77</v>
      </c>
      <c r="H1057">
        <v>13822.99</v>
      </c>
      <c r="I1057">
        <v>10253.780000000001</v>
      </c>
      <c r="J1057">
        <v>43225.62</v>
      </c>
      <c r="K1057">
        <v>4860.07</v>
      </c>
      <c r="L1057">
        <v>94894.720000000001</v>
      </c>
      <c r="M1057">
        <v>1243</v>
      </c>
      <c r="N1057">
        <v>-2.9999999999999997E-4</v>
      </c>
      <c r="O1057">
        <f t="shared" si="32"/>
        <v>0.4259</v>
      </c>
      <c r="P1057">
        <f t="shared" si="33"/>
        <v>5.1200000000000002E-2</v>
      </c>
      <c r="Q1057" t="s">
        <v>56</v>
      </c>
      <c r="R1057">
        <v>2023</v>
      </c>
      <c r="S1057" t="s">
        <v>25</v>
      </c>
    </row>
    <row r="1058" spans="1:19" x14ac:dyDescent="0.3">
      <c r="A1058" t="s">
        <v>1134</v>
      </c>
      <c r="B1058">
        <v>45833</v>
      </c>
      <c r="C1058" t="s">
        <v>61</v>
      </c>
      <c r="D1058" t="s">
        <v>74</v>
      </c>
      <c r="E1058" t="s">
        <v>38</v>
      </c>
      <c r="F1058" t="s">
        <v>23</v>
      </c>
      <c r="G1058">
        <v>58530.81</v>
      </c>
      <c r="H1058">
        <v>40445.4</v>
      </c>
      <c r="I1058">
        <v>18085.41</v>
      </c>
      <c r="J1058">
        <v>54804.54</v>
      </c>
      <c r="K1058">
        <v>92034.37</v>
      </c>
      <c r="L1058">
        <v>227724.27</v>
      </c>
      <c r="M1058">
        <v>293</v>
      </c>
      <c r="N1058">
        <v>-2.4400000000000002E-2</v>
      </c>
      <c r="O1058">
        <f t="shared" si="32"/>
        <v>0.309</v>
      </c>
      <c r="P1058">
        <f t="shared" si="33"/>
        <v>0.40410000000000001</v>
      </c>
      <c r="Q1058" t="s">
        <v>34</v>
      </c>
      <c r="R1058">
        <v>2025</v>
      </c>
      <c r="S1058" t="s">
        <v>40</v>
      </c>
    </row>
    <row r="1059" spans="1:19" x14ac:dyDescent="0.3">
      <c r="A1059" t="s">
        <v>1135</v>
      </c>
      <c r="B1059">
        <v>45769</v>
      </c>
      <c r="C1059" t="s">
        <v>102</v>
      </c>
      <c r="D1059" t="s">
        <v>103</v>
      </c>
      <c r="E1059" t="s">
        <v>22</v>
      </c>
      <c r="F1059" t="s">
        <v>23</v>
      </c>
      <c r="G1059">
        <v>69974.990000000005</v>
      </c>
      <c r="H1059">
        <v>52115.1</v>
      </c>
      <c r="I1059">
        <v>17859.89</v>
      </c>
      <c r="J1059">
        <v>27093.47</v>
      </c>
      <c r="K1059">
        <v>10508.55</v>
      </c>
      <c r="L1059">
        <v>151980.91</v>
      </c>
      <c r="M1059">
        <v>664</v>
      </c>
      <c r="N1059">
        <v>-9.4700000000000006E-2</v>
      </c>
      <c r="O1059">
        <f t="shared" si="32"/>
        <v>0.25519999999999998</v>
      </c>
      <c r="P1059">
        <f t="shared" si="33"/>
        <v>6.9099999999999995E-2</v>
      </c>
      <c r="Q1059" t="s">
        <v>34</v>
      </c>
      <c r="R1059">
        <v>2025</v>
      </c>
      <c r="S1059" t="s">
        <v>25</v>
      </c>
    </row>
    <row r="1060" spans="1:19" x14ac:dyDescent="0.3">
      <c r="A1060" t="s">
        <v>1136</v>
      </c>
      <c r="B1060">
        <v>45123</v>
      </c>
      <c r="C1060" t="s">
        <v>1282</v>
      </c>
      <c r="D1060" t="s">
        <v>69</v>
      </c>
      <c r="E1060" t="s">
        <v>22</v>
      </c>
      <c r="F1060" t="s">
        <v>23</v>
      </c>
      <c r="G1060">
        <v>174439.31</v>
      </c>
      <c r="H1060">
        <v>120512.68</v>
      </c>
      <c r="I1060">
        <v>53926.63</v>
      </c>
      <c r="J1060">
        <v>28811.040000000001</v>
      </c>
      <c r="K1060">
        <v>58601.7</v>
      </c>
      <c r="L1060">
        <v>93136.6</v>
      </c>
      <c r="M1060">
        <v>870</v>
      </c>
      <c r="N1060">
        <v>-2.0999999999999999E-3</v>
      </c>
      <c r="O1060">
        <f t="shared" si="32"/>
        <v>0.30909999999999999</v>
      </c>
      <c r="P1060">
        <f t="shared" si="33"/>
        <v>0.62919999999999998</v>
      </c>
      <c r="Q1060" t="s">
        <v>56</v>
      </c>
      <c r="R1060">
        <v>2023</v>
      </c>
      <c r="S1060" t="s">
        <v>82</v>
      </c>
    </row>
    <row r="1061" spans="1:19" x14ac:dyDescent="0.3">
      <c r="A1061" t="s">
        <v>1137</v>
      </c>
      <c r="B1061">
        <v>45380</v>
      </c>
      <c r="C1061" t="s">
        <v>42</v>
      </c>
      <c r="D1061" t="s">
        <v>43</v>
      </c>
      <c r="E1061" t="s">
        <v>22</v>
      </c>
      <c r="F1061" t="s">
        <v>23</v>
      </c>
      <c r="G1061">
        <v>90281.84</v>
      </c>
      <c r="H1061">
        <v>82800.36</v>
      </c>
      <c r="I1061">
        <v>7481.48</v>
      </c>
      <c r="J1061">
        <v>46688.63</v>
      </c>
      <c r="K1061">
        <v>8419.34</v>
      </c>
      <c r="L1061">
        <v>62382.9</v>
      </c>
      <c r="M1061">
        <v>388</v>
      </c>
      <c r="N1061">
        <v>9.0999999999999998E-2</v>
      </c>
      <c r="O1061">
        <f t="shared" si="32"/>
        <v>8.2900000000000001E-2</v>
      </c>
      <c r="P1061">
        <f t="shared" si="33"/>
        <v>0.13500000000000001</v>
      </c>
      <c r="Q1061" t="s">
        <v>80</v>
      </c>
      <c r="R1061">
        <v>2024</v>
      </c>
      <c r="S1061" t="s">
        <v>25</v>
      </c>
    </row>
    <row r="1062" spans="1:19" x14ac:dyDescent="0.3">
      <c r="A1062" t="s">
        <v>1138</v>
      </c>
      <c r="B1062">
        <v>45936</v>
      </c>
      <c r="C1062" t="s">
        <v>1282</v>
      </c>
      <c r="D1062" t="s">
        <v>69</v>
      </c>
      <c r="E1062" t="s">
        <v>22</v>
      </c>
      <c r="F1062" t="s">
        <v>23</v>
      </c>
      <c r="G1062">
        <v>23173.46</v>
      </c>
      <c r="H1062">
        <v>20870.32</v>
      </c>
      <c r="I1062">
        <v>2303.14</v>
      </c>
      <c r="J1062">
        <v>33312.300000000003</v>
      </c>
      <c r="K1062">
        <v>15422.17</v>
      </c>
      <c r="L1062">
        <v>90682.240000000005</v>
      </c>
      <c r="M1062">
        <v>600</v>
      </c>
      <c r="N1062">
        <v>9.98E-2</v>
      </c>
      <c r="O1062">
        <f t="shared" si="32"/>
        <v>9.9400000000000002E-2</v>
      </c>
      <c r="P1062">
        <f t="shared" si="33"/>
        <v>0.1701</v>
      </c>
      <c r="Q1062" t="s">
        <v>66</v>
      </c>
      <c r="R1062">
        <v>2025</v>
      </c>
      <c r="S1062" t="s">
        <v>25</v>
      </c>
    </row>
    <row r="1063" spans="1:19" x14ac:dyDescent="0.3">
      <c r="A1063" t="s">
        <v>1139</v>
      </c>
      <c r="B1063">
        <v>45110</v>
      </c>
      <c r="C1063" t="s">
        <v>36</v>
      </c>
      <c r="D1063" t="s">
        <v>37</v>
      </c>
      <c r="E1063" t="s">
        <v>22</v>
      </c>
      <c r="F1063" t="s">
        <v>23</v>
      </c>
      <c r="G1063">
        <v>189951.96</v>
      </c>
      <c r="H1063">
        <v>169696.1</v>
      </c>
      <c r="I1063">
        <v>20255.86</v>
      </c>
      <c r="J1063">
        <v>42924.9</v>
      </c>
      <c r="K1063">
        <v>13757.1</v>
      </c>
      <c r="L1063">
        <v>67037.919999999998</v>
      </c>
      <c r="M1063">
        <v>1276</v>
      </c>
      <c r="N1063">
        <v>5.1000000000000004E-3</v>
      </c>
      <c r="O1063">
        <f t="shared" si="32"/>
        <v>0.1066</v>
      </c>
      <c r="P1063">
        <f t="shared" si="33"/>
        <v>0.20519999999999999</v>
      </c>
      <c r="Q1063" t="s">
        <v>56</v>
      </c>
      <c r="R1063">
        <v>2023</v>
      </c>
      <c r="S1063" t="s">
        <v>25</v>
      </c>
    </row>
    <row r="1064" spans="1:19" x14ac:dyDescent="0.3">
      <c r="A1064" t="s">
        <v>1140</v>
      </c>
      <c r="B1064">
        <v>44674</v>
      </c>
      <c r="C1064" t="s">
        <v>54</v>
      </c>
      <c r="D1064" t="s">
        <v>55</v>
      </c>
      <c r="E1064" t="s">
        <v>51</v>
      </c>
      <c r="F1064" t="s">
        <v>23</v>
      </c>
      <c r="G1064">
        <v>74895.78</v>
      </c>
      <c r="H1064">
        <v>59513.21</v>
      </c>
      <c r="I1064">
        <v>15382.57</v>
      </c>
      <c r="J1064">
        <v>40884.18</v>
      </c>
      <c r="K1064">
        <v>11255.27</v>
      </c>
      <c r="L1064">
        <v>59674.53</v>
      </c>
      <c r="M1064">
        <v>656</v>
      </c>
      <c r="N1064">
        <v>2.1399999999999999E-2</v>
      </c>
      <c r="O1064">
        <f t="shared" si="32"/>
        <v>0.2054</v>
      </c>
      <c r="P1064">
        <f t="shared" si="33"/>
        <v>0.18859999999999999</v>
      </c>
      <c r="Q1064" t="s">
        <v>58</v>
      </c>
      <c r="R1064">
        <v>2022</v>
      </c>
      <c r="S1064" t="s">
        <v>25</v>
      </c>
    </row>
    <row r="1065" spans="1:19" x14ac:dyDescent="0.3">
      <c r="A1065" t="s">
        <v>1141</v>
      </c>
      <c r="B1065">
        <v>45429</v>
      </c>
      <c r="C1065" t="s">
        <v>48</v>
      </c>
      <c r="D1065" t="s">
        <v>49</v>
      </c>
      <c r="E1065" t="s">
        <v>32</v>
      </c>
      <c r="F1065" t="s">
        <v>23</v>
      </c>
      <c r="G1065">
        <v>85165.203049999996</v>
      </c>
      <c r="H1065">
        <v>64520.27</v>
      </c>
      <c r="I1065">
        <v>20644.93</v>
      </c>
      <c r="J1065">
        <v>1.1499999999999999</v>
      </c>
      <c r="K1065">
        <v>9650.67</v>
      </c>
      <c r="L1065">
        <v>69324.92</v>
      </c>
      <c r="M1065">
        <v>600</v>
      </c>
      <c r="N1065">
        <v>3.7900000000000003E-2</v>
      </c>
      <c r="O1065">
        <f t="shared" si="32"/>
        <v>0.2424</v>
      </c>
      <c r="P1065">
        <f t="shared" si="33"/>
        <v>0.13919999999999999</v>
      </c>
      <c r="Q1065" t="s">
        <v>111</v>
      </c>
      <c r="R1065">
        <v>2024</v>
      </c>
      <c r="S1065" t="s">
        <v>25</v>
      </c>
    </row>
    <row r="1066" spans="1:19" x14ac:dyDescent="0.3">
      <c r="A1066" t="s">
        <v>1142</v>
      </c>
      <c r="B1066">
        <v>45774</v>
      </c>
      <c r="C1066" t="s">
        <v>27</v>
      </c>
      <c r="D1066" t="s">
        <v>28</v>
      </c>
      <c r="E1066" t="s">
        <v>38</v>
      </c>
      <c r="F1066" t="s">
        <v>23</v>
      </c>
      <c r="G1066">
        <v>100939.34</v>
      </c>
      <c r="H1066">
        <v>76500.38</v>
      </c>
      <c r="I1066">
        <v>24438.959999999999</v>
      </c>
      <c r="J1066">
        <v>23615.48</v>
      </c>
      <c r="K1066">
        <v>16507.18</v>
      </c>
      <c r="L1066">
        <v>68351.22</v>
      </c>
      <c r="M1066">
        <v>279</v>
      </c>
      <c r="N1066">
        <v>3.0000000000000001E-3</v>
      </c>
      <c r="O1066">
        <f t="shared" si="32"/>
        <v>0.24210000000000001</v>
      </c>
      <c r="P1066">
        <f t="shared" si="33"/>
        <v>0.24149999999999999</v>
      </c>
      <c r="Q1066" t="s">
        <v>34</v>
      </c>
      <c r="R1066">
        <v>2025</v>
      </c>
      <c r="S1066" t="s">
        <v>25</v>
      </c>
    </row>
    <row r="1067" spans="1:19" x14ac:dyDescent="0.3">
      <c r="A1067" t="s">
        <v>1143</v>
      </c>
      <c r="B1067">
        <v>44582</v>
      </c>
      <c r="C1067" t="s">
        <v>27</v>
      </c>
      <c r="D1067" t="s">
        <v>28</v>
      </c>
      <c r="E1067" t="s">
        <v>32</v>
      </c>
      <c r="F1067" t="s">
        <v>23</v>
      </c>
      <c r="G1067">
        <v>55814.639450000002</v>
      </c>
      <c r="H1067">
        <v>48849.26</v>
      </c>
      <c r="I1067">
        <v>6965.38</v>
      </c>
      <c r="J1067">
        <v>67953.070000000007</v>
      </c>
      <c r="K1067">
        <v>105901.68</v>
      </c>
      <c r="L1067">
        <v>125319.45</v>
      </c>
      <c r="M1067">
        <v>422</v>
      </c>
      <c r="N1067">
        <v>7.0800000000000002E-2</v>
      </c>
      <c r="O1067">
        <f t="shared" si="32"/>
        <v>0.12479999999999999</v>
      </c>
      <c r="P1067">
        <f t="shared" si="33"/>
        <v>0.84509999999999996</v>
      </c>
      <c r="Q1067" t="s">
        <v>90</v>
      </c>
      <c r="R1067">
        <v>2022</v>
      </c>
      <c r="S1067" t="s">
        <v>82</v>
      </c>
    </row>
    <row r="1068" spans="1:19" x14ac:dyDescent="0.3">
      <c r="A1068" t="s">
        <v>1144</v>
      </c>
      <c r="B1068">
        <v>45094</v>
      </c>
      <c r="C1068" t="s">
        <v>42</v>
      </c>
      <c r="D1068" t="s">
        <v>43</v>
      </c>
      <c r="E1068" t="s">
        <v>22</v>
      </c>
      <c r="F1068" t="s">
        <v>23</v>
      </c>
      <c r="G1068">
        <v>54134.19</v>
      </c>
      <c r="H1068">
        <v>40456.379999999997</v>
      </c>
      <c r="I1068">
        <v>13677.81</v>
      </c>
      <c r="J1068">
        <v>26504.400000000001</v>
      </c>
      <c r="K1068">
        <v>37982.11</v>
      </c>
      <c r="L1068">
        <v>124129.84</v>
      </c>
      <c r="M1068">
        <v>725</v>
      </c>
      <c r="N1068">
        <v>-9.0499999999999997E-2</v>
      </c>
      <c r="O1068">
        <f t="shared" si="32"/>
        <v>0.25269999999999998</v>
      </c>
      <c r="P1068">
        <f t="shared" si="33"/>
        <v>0.30599999999999999</v>
      </c>
      <c r="Q1068" t="s">
        <v>39</v>
      </c>
      <c r="R1068">
        <v>2023</v>
      </c>
      <c r="S1068" t="s">
        <v>40</v>
      </c>
    </row>
    <row r="1069" spans="1:19" x14ac:dyDescent="0.3">
      <c r="A1069" t="s">
        <v>1145</v>
      </c>
      <c r="B1069" s="4">
        <v>45895</v>
      </c>
      <c r="C1069" t="s">
        <v>48</v>
      </c>
      <c r="D1069" t="s">
        <v>49</v>
      </c>
      <c r="E1069" t="s">
        <v>22</v>
      </c>
      <c r="F1069" t="s">
        <v>23</v>
      </c>
      <c r="G1069">
        <v>258275.96</v>
      </c>
      <c r="H1069">
        <v>152735.66</v>
      </c>
      <c r="I1069">
        <v>105540.3</v>
      </c>
      <c r="J1069">
        <v>35054.71</v>
      </c>
      <c r="K1069">
        <v>7680.44</v>
      </c>
      <c r="L1069">
        <v>116307.29</v>
      </c>
      <c r="M1069">
        <v>2162</v>
      </c>
      <c r="N1069">
        <v>-6.4600000000000005E-2</v>
      </c>
      <c r="O1069">
        <f t="shared" si="32"/>
        <v>0.40860000000000002</v>
      </c>
      <c r="P1069">
        <f t="shared" si="33"/>
        <v>6.6000000000000003E-2</v>
      </c>
      <c r="Q1069" t="s">
        <v>24</v>
      </c>
      <c r="R1069">
        <v>2025</v>
      </c>
      <c r="S1069" t="s">
        <v>25</v>
      </c>
    </row>
    <row r="1070" spans="1:19" x14ac:dyDescent="0.3">
      <c r="A1070" t="s">
        <v>1146</v>
      </c>
      <c r="B1070" s="4">
        <v>45740</v>
      </c>
      <c r="C1070" t="s">
        <v>48</v>
      </c>
      <c r="D1070" t="s">
        <v>49</v>
      </c>
      <c r="E1070" t="s">
        <v>22</v>
      </c>
      <c r="F1070" t="s">
        <v>23</v>
      </c>
      <c r="G1070">
        <v>44628.53</v>
      </c>
      <c r="H1070">
        <v>40840.230000000003</v>
      </c>
      <c r="I1070">
        <v>3788.3</v>
      </c>
      <c r="J1070">
        <v>19990.04</v>
      </c>
      <c r="K1070">
        <v>14878.3</v>
      </c>
      <c r="L1070">
        <v>64830.1</v>
      </c>
      <c r="M1070">
        <v>1494</v>
      </c>
      <c r="N1070">
        <v>2.0799999999999999E-2</v>
      </c>
      <c r="O1070">
        <f t="shared" si="32"/>
        <v>8.4900000000000003E-2</v>
      </c>
      <c r="P1070">
        <f t="shared" si="33"/>
        <v>0.22950000000000001</v>
      </c>
      <c r="Q1070" t="s">
        <v>106</v>
      </c>
      <c r="R1070">
        <v>2025</v>
      </c>
      <c r="S1070" t="s">
        <v>25</v>
      </c>
    </row>
    <row r="1071" spans="1:19" x14ac:dyDescent="0.3">
      <c r="A1071" t="s">
        <v>1147</v>
      </c>
      <c r="B1071">
        <v>45086</v>
      </c>
      <c r="C1071" t="s">
        <v>36</v>
      </c>
      <c r="D1071" t="s">
        <v>37</v>
      </c>
      <c r="E1071" t="s">
        <v>38</v>
      </c>
      <c r="F1071" t="s">
        <v>23</v>
      </c>
      <c r="G1071">
        <v>224420.11</v>
      </c>
      <c r="H1071">
        <v>183889.54</v>
      </c>
      <c r="I1071">
        <v>40530.57</v>
      </c>
      <c r="J1071">
        <v>46457.5</v>
      </c>
      <c r="K1071">
        <v>52267.45</v>
      </c>
      <c r="L1071">
        <v>125649.59</v>
      </c>
      <c r="M1071">
        <v>991</v>
      </c>
      <c r="N1071">
        <v>8.7400000000000005E-2</v>
      </c>
      <c r="O1071">
        <f t="shared" si="32"/>
        <v>0.18060000000000001</v>
      </c>
      <c r="P1071">
        <f t="shared" si="33"/>
        <v>0.41599999999999998</v>
      </c>
      <c r="Q1071" t="s">
        <v>39</v>
      </c>
      <c r="R1071">
        <v>2023</v>
      </c>
      <c r="S1071" t="s">
        <v>40</v>
      </c>
    </row>
    <row r="1072" spans="1:19" x14ac:dyDescent="0.3">
      <c r="A1072" t="s">
        <v>1148</v>
      </c>
      <c r="B1072">
        <v>45314</v>
      </c>
      <c r="C1072" t="s">
        <v>36</v>
      </c>
      <c r="D1072" t="s">
        <v>37</v>
      </c>
      <c r="E1072" t="s">
        <v>32</v>
      </c>
      <c r="F1072" t="s">
        <v>23</v>
      </c>
      <c r="G1072">
        <v>77176.881550000006</v>
      </c>
      <c r="H1072">
        <v>67348.490000000005</v>
      </c>
      <c r="I1072">
        <v>9828.39</v>
      </c>
      <c r="J1072">
        <v>14754.96</v>
      </c>
      <c r="K1072">
        <v>27768.73</v>
      </c>
      <c r="L1072">
        <v>36410.29</v>
      </c>
      <c r="M1072">
        <v>789</v>
      </c>
      <c r="N1072">
        <v>-6.4799999999999996E-2</v>
      </c>
      <c r="O1072">
        <f t="shared" si="32"/>
        <v>0.1273</v>
      </c>
      <c r="P1072">
        <f t="shared" si="33"/>
        <v>0.76270000000000004</v>
      </c>
      <c r="Q1072" t="s">
        <v>80</v>
      </c>
      <c r="R1072">
        <v>2024</v>
      </c>
      <c r="S1072" t="s">
        <v>82</v>
      </c>
    </row>
    <row r="1073" spans="1:19" x14ac:dyDescent="0.3">
      <c r="A1073" t="s">
        <v>1149</v>
      </c>
      <c r="B1073">
        <v>46009</v>
      </c>
      <c r="C1073" t="s">
        <v>48</v>
      </c>
      <c r="D1073" t="s">
        <v>49</v>
      </c>
      <c r="E1073" t="s">
        <v>38</v>
      </c>
      <c r="F1073" t="s">
        <v>23</v>
      </c>
      <c r="G1073">
        <v>54622.96</v>
      </c>
      <c r="H1073">
        <v>34903.96</v>
      </c>
      <c r="I1073">
        <v>19719</v>
      </c>
      <c r="J1073">
        <v>24728.77</v>
      </c>
      <c r="K1073">
        <v>237635.77</v>
      </c>
      <c r="L1073">
        <v>119150.39</v>
      </c>
      <c r="M1073">
        <v>1238</v>
      </c>
      <c r="N1073">
        <v>-4.82E-2</v>
      </c>
      <c r="O1073">
        <f t="shared" si="32"/>
        <v>0.36099999999999999</v>
      </c>
      <c r="P1073">
        <f t="shared" si="33"/>
        <v>1.9944</v>
      </c>
      <c r="Q1073" t="s">
        <v>66</v>
      </c>
      <c r="R1073">
        <v>2025</v>
      </c>
      <c r="S1073" t="s">
        <v>82</v>
      </c>
    </row>
    <row r="1074" spans="1:19" x14ac:dyDescent="0.3">
      <c r="A1074" t="s">
        <v>1150</v>
      </c>
      <c r="B1074">
        <v>44869</v>
      </c>
      <c r="C1074" t="s">
        <v>42</v>
      </c>
      <c r="D1074" t="s">
        <v>43</v>
      </c>
      <c r="E1074" t="s">
        <v>38</v>
      </c>
      <c r="F1074" t="s">
        <v>23</v>
      </c>
      <c r="G1074">
        <v>43947.79</v>
      </c>
      <c r="H1074">
        <v>37015.79</v>
      </c>
      <c r="I1074">
        <v>6932</v>
      </c>
      <c r="J1074">
        <v>126799.7</v>
      </c>
      <c r="K1074">
        <v>16990.52</v>
      </c>
      <c r="L1074">
        <v>241925.07</v>
      </c>
      <c r="M1074">
        <v>1129</v>
      </c>
      <c r="N1074">
        <v>-4.0000000000000001E-3</v>
      </c>
      <c r="O1074">
        <f t="shared" si="32"/>
        <v>0.15770000000000001</v>
      </c>
      <c r="P1074">
        <f t="shared" si="33"/>
        <v>7.0199999999999999E-2</v>
      </c>
      <c r="Q1074" t="s">
        <v>46</v>
      </c>
      <c r="R1074">
        <v>2022</v>
      </c>
      <c r="S1074" t="s">
        <v>25</v>
      </c>
    </row>
    <row r="1075" spans="1:19" x14ac:dyDescent="0.3">
      <c r="A1075" t="s">
        <v>1151</v>
      </c>
      <c r="B1075">
        <v>45288</v>
      </c>
      <c r="C1075" t="s">
        <v>20</v>
      </c>
      <c r="D1075" t="s">
        <v>21</v>
      </c>
      <c r="E1075" t="s">
        <v>22</v>
      </c>
      <c r="F1075" t="s">
        <v>23</v>
      </c>
      <c r="G1075">
        <v>180673.66</v>
      </c>
      <c r="H1075">
        <v>150955.95000000001</v>
      </c>
      <c r="I1075">
        <v>29717.71</v>
      </c>
      <c r="J1075">
        <v>28322.99</v>
      </c>
      <c r="K1075">
        <v>28350.58</v>
      </c>
      <c r="L1075">
        <v>139712.1</v>
      </c>
      <c r="M1075">
        <v>979</v>
      </c>
      <c r="N1075">
        <v>-5.5399999999999998E-2</v>
      </c>
      <c r="O1075">
        <f t="shared" si="32"/>
        <v>0.16450000000000001</v>
      </c>
      <c r="P1075">
        <f t="shared" si="33"/>
        <v>0.2029</v>
      </c>
      <c r="Q1075" t="s">
        <v>44</v>
      </c>
      <c r="R1075">
        <v>2023</v>
      </c>
      <c r="S1075" t="s">
        <v>25</v>
      </c>
    </row>
    <row r="1076" spans="1:19" x14ac:dyDescent="0.3">
      <c r="A1076" t="s">
        <v>1152</v>
      </c>
      <c r="B1076" s="4">
        <v>45982</v>
      </c>
      <c r="C1076" t="s">
        <v>48</v>
      </c>
      <c r="D1076" t="s">
        <v>49</v>
      </c>
      <c r="E1076" t="s">
        <v>22</v>
      </c>
      <c r="F1076" t="s">
        <v>23</v>
      </c>
      <c r="G1076">
        <v>133759.85</v>
      </c>
      <c r="H1076">
        <v>106759.81</v>
      </c>
      <c r="I1076">
        <v>27000.04</v>
      </c>
      <c r="J1076">
        <v>38463.519999999997</v>
      </c>
      <c r="K1076">
        <v>43800.09</v>
      </c>
      <c r="L1076">
        <v>85144.93</v>
      </c>
      <c r="M1076">
        <v>1039</v>
      </c>
      <c r="N1076">
        <v>4.5999999999999999E-2</v>
      </c>
      <c r="O1076">
        <f t="shared" si="32"/>
        <v>0.2019</v>
      </c>
      <c r="P1076">
        <f t="shared" si="33"/>
        <v>0.51439999999999997</v>
      </c>
      <c r="Q1076" t="s">
        <v>66</v>
      </c>
      <c r="R1076">
        <v>2025</v>
      </c>
      <c r="S1076" t="s">
        <v>40</v>
      </c>
    </row>
    <row r="1077" spans="1:19" x14ac:dyDescent="0.3">
      <c r="A1077" t="s">
        <v>1153</v>
      </c>
      <c r="B1077">
        <v>45753</v>
      </c>
      <c r="C1077" t="s">
        <v>1282</v>
      </c>
      <c r="D1077" t="s">
        <v>69</v>
      </c>
      <c r="E1077" t="s">
        <v>38</v>
      </c>
      <c r="F1077" t="s">
        <v>23</v>
      </c>
      <c r="G1077">
        <v>181282.53</v>
      </c>
      <c r="H1077">
        <v>118017.54</v>
      </c>
      <c r="I1077">
        <v>63264.99</v>
      </c>
      <c r="J1077">
        <v>40730.92</v>
      </c>
      <c r="K1077">
        <v>65272.23</v>
      </c>
      <c r="L1077">
        <v>123218.26</v>
      </c>
      <c r="M1077">
        <v>826</v>
      </c>
      <c r="N1077">
        <v>0.14960000000000001</v>
      </c>
      <c r="O1077">
        <f t="shared" si="32"/>
        <v>0.34899999999999998</v>
      </c>
      <c r="P1077">
        <f t="shared" si="33"/>
        <v>0.52969999999999995</v>
      </c>
      <c r="Q1077" t="s">
        <v>34</v>
      </c>
      <c r="R1077">
        <v>2025</v>
      </c>
      <c r="S1077" t="s">
        <v>40</v>
      </c>
    </row>
    <row r="1078" spans="1:19" x14ac:dyDescent="0.3">
      <c r="A1078" t="s">
        <v>1154</v>
      </c>
      <c r="B1078" s="4">
        <v>45737</v>
      </c>
      <c r="C1078" t="s">
        <v>48</v>
      </c>
      <c r="D1078" t="s">
        <v>49</v>
      </c>
      <c r="E1078" t="s">
        <v>22</v>
      </c>
      <c r="F1078" t="s">
        <v>23</v>
      </c>
      <c r="G1078">
        <v>173799.99</v>
      </c>
      <c r="H1078">
        <v>142315.04</v>
      </c>
      <c r="I1078">
        <v>31484.95</v>
      </c>
      <c r="J1078">
        <v>45838.78</v>
      </c>
      <c r="K1078">
        <v>62864.2</v>
      </c>
      <c r="L1078">
        <v>171453.11</v>
      </c>
      <c r="M1078">
        <v>461</v>
      </c>
      <c r="N1078">
        <v>-0.186</v>
      </c>
      <c r="O1078">
        <f t="shared" si="32"/>
        <v>0.1812</v>
      </c>
      <c r="P1078">
        <f t="shared" si="33"/>
        <v>0.36670000000000003</v>
      </c>
      <c r="Q1078" t="s">
        <v>106</v>
      </c>
      <c r="R1078">
        <v>2025</v>
      </c>
      <c r="S1078" t="s">
        <v>40</v>
      </c>
    </row>
    <row r="1079" spans="1:19" x14ac:dyDescent="0.3">
      <c r="A1079" t="s">
        <v>1155</v>
      </c>
      <c r="B1079">
        <v>45864</v>
      </c>
      <c r="C1079" t="s">
        <v>61</v>
      </c>
      <c r="D1079" t="s">
        <v>74</v>
      </c>
      <c r="E1079" t="s">
        <v>22</v>
      </c>
      <c r="F1079" t="s">
        <v>23</v>
      </c>
      <c r="G1079">
        <v>252974.28</v>
      </c>
      <c r="H1079">
        <v>219285.88</v>
      </c>
      <c r="I1079">
        <v>33688.400000000001</v>
      </c>
      <c r="J1079">
        <v>15892.56</v>
      </c>
      <c r="K1079">
        <v>8065.36</v>
      </c>
      <c r="L1079">
        <v>73566.89</v>
      </c>
      <c r="M1079">
        <v>688</v>
      </c>
      <c r="N1079">
        <v>3.4799999999999998E-2</v>
      </c>
      <c r="O1079">
        <f t="shared" si="32"/>
        <v>0.13320000000000001</v>
      </c>
      <c r="P1079">
        <f t="shared" si="33"/>
        <v>0.1096</v>
      </c>
      <c r="Q1079" t="s">
        <v>24</v>
      </c>
      <c r="R1079">
        <v>2025</v>
      </c>
      <c r="S1079" t="s">
        <v>25</v>
      </c>
    </row>
    <row r="1080" spans="1:19" x14ac:dyDescent="0.3">
      <c r="A1080" t="s">
        <v>1156</v>
      </c>
      <c r="B1080">
        <v>45691</v>
      </c>
      <c r="C1080" t="s">
        <v>48</v>
      </c>
      <c r="D1080" t="s">
        <v>49</v>
      </c>
      <c r="E1080" t="s">
        <v>51</v>
      </c>
      <c r="F1080" t="s">
        <v>23</v>
      </c>
      <c r="G1080">
        <v>212728.47</v>
      </c>
      <c r="H1080">
        <v>121379.95</v>
      </c>
      <c r="I1080">
        <v>91348.52</v>
      </c>
      <c r="J1080">
        <v>16784.91</v>
      </c>
      <c r="K1080">
        <v>26855.06</v>
      </c>
      <c r="L1080">
        <v>43672.62</v>
      </c>
      <c r="M1080">
        <v>509</v>
      </c>
      <c r="N1080">
        <v>-6.54E-2</v>
      </c>
      <c r="O1080">
        <f t="shared" si="32"/>
        <v>0.4294</v>
      </c>
      <c r="P1080">
        <f t="shared" si="33"/>
        <v>0.6149</v>
      </c>
      <c r="Q1080" t="s">
        <v>106</v>
      </c>
      <c r="R1080">
        <v>2025</v>
      </c>
      <c r="S1080" t="s">
        <v>82</v>
      </c>
    </row>
    <row r="1081" spans="1:19" x14ac:dyDescent="0.3">
      <c r="A1081" t="s">
        <v>1157</v>
      </c>
      <c r="B1081">
        <v>45848</v>
      </c>
      <c r="C1081" t="s">
        <v>30</v>
      </c>
      <c r="D1081" t="s">
        <v>31</v>
      </c>
      <c r="E1081" t="s">
        <v>32</v>
      </c>
      <c r="F1081" t="s">
        <v>23</v>
      </c>
      <c r="G1081">
        <v>250628.74085</v>
      </c>
      <c r="H1081">
        <v>207982.45</v>
      </c>
      <c r="I1081">
        <v>42646.29</v>
      </c>
      <c r="J1081">
        <v>23209.24</v>
      </c>
      <c r="K1081">
        <v>27992.1</v>
      </c>
      <c r="L1081">
        <v>236650.13</v>
      </c>
      <c r="M1081">
        <v>813</v>
      </c>
      <c r="N1081">
        <v>7.7000000000000002E-3</v>
      </c>
      <c r="O1081">
        <f t="shared" si="32"/>
        <v>0.17019999999999999</v>
      </c>
      <c r="P1081">
        <f t="shared" si="33"/>
        <v>0.1183</v>
      </c>
      <c r="Q1081" t="s">
        <v>24</v>
      </c>
      <c r="R1081">
        <v>2025</v>
      </c>
      <c r="S1081" t="s">
        <v>25</v>
      </c>
    </row>
    <row r="1082" spans="1:19" x14ac:dyDescent="0.3">
      <c r="A1082" t="s">
        <v>1158</v>
      </c>
      <c r="B1082">
        <v>44636</v>
      </c>
      <c r="C1082" t="s">
        <v>36</v>
      </c>
      <c r="D1082" t="s">
        <v>37</v>
      </c>
      <c r="E1082" t="s">
        <v>22</v>
      </c>
      <c r="F1082" t="s">
        <v>23</v>
      </c>
      <c r="G1082">
        <v>110634.83</v>
      </c>
      <c r="H1082">
        <v>94539.73</v>
      </c>
      <c r="I1082">
        <v>16095.1</v>
      </c>
      <c r="J1082">
        <v>23562.51</v>
      </c>
      <c r="K1082">
        <v>21068.33</v>
      </c>
      <c r="L1082">
        <v>74913.149999999994</v>
      </c>
      <c r="M1082">
        <v>886</v>
      </c>
      <c r="N1082">
        <v>-2.01E-2</v>
      </c>
      <c r="O1082">
        <f t="shared" si="32"/>
        <v>0.14549999999999999</v>
      </c>
      <c r="P1082">
        <f t="shared" si="33"/>
        <v>0.28120000000000001</v>
      </c>
      <c r="Q1082" t="s">
        <v>90</v>
      </c>
      <c r="R1082">
        <v>2022</v>
      </c>
      <c r="S1082" t="s">
        <v>25</v>
      </c>
    </row>
    <row r="1083" spans="1:19" x14ac:dyDescent="0.3">
      <c r="A1083" t="s">
        <v>1159</v>
      </c>
      <c r="B1083">
        <v>44778</v>
      </c>
      <c r="C1083" t="s">
        <v>102</v>
      </c>
      <c r="D1083" t="s">
        <v>103</v>
      </c>
      <c r="E1083" t="s">
        <v>32</v>
      </c>
      <c r="F1083" t="s">
        <v>23</v>
      </c>
      <c r="G1083">
        <v>50373.759750000005</v>
      </c>
      <c r="H1083">
        <v>30736.68</v>
      </c>
      <c r="I1083">
        <v>19637.080000000002</v>
      </c>
      <c r="J1083">
        <v>40959.050000000003</v>
      </c>
      <c r="K1083">
        <v>11813.97</v>
      </c>
      <c r="L1083">
        <v>90744.41</v>
      </c>
      <c r="M1083">
        <v>753</v>
      </c>
      <c r="N1083">
        <v>0.11169999999999999</v>
      </c>
      <c r="O1083">
        <f t="shared" si="32"/>
        <v>0.38979999999999998</v>
      </c>
      <c r="P1083">
        <f t="shared" si="33"/>
        <v>0.13020000000000001</v>
      </c>
      <c r="Q1083" t="s">
        <v>76</v>
      </c>
      <c r="R1083">
        <v>2022</v>
      </c>
      <c r="S1083" t="s">
        <v>25</v>
      </c>
    </row>
    <row r="1084" spans="1:19" x14ac:dyDescent="0.3">
      <c r="A1084" t="s">
        <v>1160</v>
      </c>
      <c r="B1084">
        <v>45543</v>
      </c>
      <c r="C1084" t="s">
        <v>61</v>
      </c>
      <c r="D1084" t="s">
        <v>74</v>
      </c>
      <c r="E1084" t="s">
        <v>32</v>
      </c>
      <c r="F1084" t="s">
        <v>23</v>
      </c>
      <c r="G1084">
        <v>48492.112550000005</v>
      </c>
      <c r="H1084">
        <v>31358.7</v>
      </c>
      <c r="I1084">
        <v>17133.41</v>
      </c>
      <c r="J1084">
        <v>24746.55</v>
      </c>
      <c r="K1084">
        <v>17695.310000000001</v>
      </c>
      <c r="L1084">
        <v>212102.55</v>
      </c>
      <c r="M1084">
        <v>615</v>
      </c>
      <c r="N1084">
        <v>-1.9900000000000001E-2</v>
      </c>
      <c r="O1084">
        <f t="shared" si="32"/>
        <v>0.3533</v>
      </c>
      <c r="P1084">
        <f t="shared" si="33"/>
        <v>8.3400000000000002E-2</v>
      </c>
      <c r="Q1084" t="s">
        <v>72</v>
      </c>
      <c r="R1084">
        <v>2024</v>
      </c>
      <c r="S1084" t="s">
        <v>25</v>
      </c>
    </row>
    <row r="1085" spans="1:19" x14ac:dyDescent="0.3">
      <c r="A1085" t="s">
        <v>1161</v>
      </c>
      <c r="B1085">
        <v>44988</v>
      </c>
      <c r="C1085" t="s">
        <v>85</v>
      </c>
      <c r="D1085" t="s">
        <v>86</v>
      </c>
      <c r="E1085" t="s">
        <v>51</v>
      </c>
      <c r="F1085" t="s">
        <v>23</v>
      </c>
      <c r="G1085">
        <v>78436.45</v>
      </c>
      <c r="H1085">
        <v>67292.479999999996</v>
      </c>
      <c r="I1085">
        <v>11143.97</v>
      </c>
      <c r="J1085">
        <v>27586.3</v>
      </c>
      <c r="K1085">
        <v>38793.65</v>
      </c>
      <c r="L1085">
        <v>144119.69</v>
      </c>
      <c r="M1085">
        <v>903</v>
      </c>
      <c r="N1085">
        <v>5.6500000000000002E-2</v>
      </c>
      <c r="O1085">
        <f t="shared" si="32"/>
        <v>0.1421</v>
      </c>
      <c r="P1085">
        <f t="shared" si="33"/>
        <v>0.26919999999999999</v>
      </c>
      <c r="Q1085" t="s">
        <v>118</v>
      </c>
      <c r="R1085">
        <v>2023</v>
      </c>
      <c r="S1085" t="s">
        <v>25</v>
      </c>
    </row>
    <row r="1086" spans="1:19" x14ac:dyDescent="0.3">
      <c r="A1086" t="s">
        <v>1162</v>
      </c>
      <c r="B1086">
        <v>44886</v>
      </c>
      <c r="C1086" t="s">
        <v>1282</v>
      </c>
      <c r="D1086" t="s">
        <v>69</v>
      </c>
      <c r="E1086" t="s">
        <v>38</v>
      </c>
      <c r="F1086" t="s">
        <v>23</v>
      </c>
      <c r="G1086">
        <v>54073.16</v>
      </c>
      <c r="H1086">
        <v>33665.94</v>
      </c>
      <c r="I1086">
        <v>20407.22</v>
      </c>
      <c r="J1086">
        <v>59474.7</v>
      </c>
      <c r="K1086">
        <v>5523.6</v>
      </c>
      <c r="L1086">
        <v>333263.65000000002</v>
      </c>
      <c r="M1086">
        <v>1323</v>
      </c>
      <c r="N1086">
        <v>-5.2299999999999999E-2</v>
      </c>
      <c r="O1086">
        <f t="shared" si="32"/>
        <v>0.37740000000000001</v>
      </c>
      <c r="P1086">
        <f t="shared" si="33"/>
        <v>1.66E-2</v>
      </c>
      <c r="Q1086" t="s">
        <v>46</v>
      </c>
      <c r="R1086">
        <v>2022</v>
      </c>
      <c r="S1086" t="s">
        <v>25</v>
      </c>
    </row>
    <row r="1087" spans="1:19" x14ac:dyDescent="0.3">
      <c r="A1087" t="s">
        <v>1163</v>
      </c>
      <c r="B1087" s="4">
        <v>45168</v>
      </c>
      <c r="C1087" t="s">
        <v>48</v>
      </c>
      <c r="D1087" t="s">
        <v>49</v>
      </c>
      <c r="E1087" t="s">
        <v>22</v>
      </c>
      <c r="F1087" t="s">
        <v>23</v>
      </c>
      <c r="G1087">
        <v>199317.77</v>
      </c>
      <c r="H1087">
        <v>121286.68</v>
      </c>
      <c r="I1087">
        <v>78031.09</v>
      </c>
      <c r="J1087">
        <v>12162.17</v>
      </c>
      <c r="K1087">
        <v>23634.19</v>
      </c>
      <c r="L1087">
        <v>150146.43</v>
      </c>
      <c r="M1087">
        <v>871</v>
      </c>
      <c r="N1087">
        <v>7.3200000000000001E-2</v>
      </c>
      <c r="O1087">
        <f t="shared" si="32"/>
        <v>0.39150000000000001</v>
      </c>
      <c r="P1087">
        <f t="shared" si="33"/>
        <v>0.15740000000000001</v>
      </c>
      <c r="Q1087" t="s">
        <v>56</v>
      </c>
      <c r="R1087">
        <v>2023</v>
      </c>
      <c r="S1087" t="s">
        <v>25</v>
      </c>
    </row>
    <row r="1088" spans="1:19" x14ac:dyDescent="0.3">
      <c r="A1088" t="s">
        <v>1164</v>
      </c>
      <c r="B1088">
        <v>44633</v>
      </c>
      <c r="C1088" t="s">
        <v>78</v>
      </c>
      <c r="D1088" t="s">
        <v>79</v>
      </c>
      <c r="E1088" t="s">
        <v>22</v>
      </c>
      <c r="F1088" t="s">
        <v>23</v>
      </c>
      <c r="G1088">
        <v>81539.37</v>
      </c>
      <c r="H1088">
        <v>56960.23</v>
      </c>
      <c r="I1088">
        <v>24579.14</v>
      </c>
      <c r="J1088">
        <v>17357.62</v>
      </c>
      <c r="K1088">
        <v>39015.18</v>
      </c>
      <c r="L1088">
        <v>74151.47</v>
      </c>
      <c r="M1088">
        <v>677</v>
      </c>
      <c r="N1088">
        <v>0.1293</v>
      </c>
      <c r="O1088">
        <f t="shared" si="32"/>
        <v>0.3014</v>
      </c>
      <c r="P1088">
        <f t="shared" si="33"/>
        <v>0.5262</v>
      </c>
      <c r="Q1088" t="s">
        <v>90</v>
      </c>
      <c r="R1088">
        <v>2022</v>
      </c>
      <c r="S1088" t="s">
        <v>40</v>
      </c>
    </row>
    <row r="1089" spans="1:19" x14ac:dyDescent="0.3">
      <c r="A1089" t="s">
        <v>1165</v>
      </c>
      <c r="B1089">
        <v>45468</v>
      </c>
      <c r="C1089" t="s">
        <v>36</v>
      </c>
      <c r="D1089" t="s">
        <v>37</v>
      </c>
      <c r="E1089" t="s">
        <v>51</v>
      </c>
      <c r="F1089" t="s">
        <v>23</v>
      </c>
      <c r="G1089">
        <v>93552.16</v>
      </c>
      <c r="H1089">
        <v>62424.53</v>
      </c>
      <c r="I1089">
        <v>31127.63</v>
      </c>
      <c r="J1089">
        <v>29245.7</v>
      </c>
      <c r="K1089">
        <v>16307.52</v>
      </c>
      <c r="L1089">
        <v>100388.42</v>
      </c>
      <c r="M1089">
        <v>1274</v>
      </c>
      <c r="N1089">
        <v>-4.4900000000000002E-2</v>
      </c>
      <c r="O1089">
        <f t="shared" si="32"/>
        <v>0.3327</v>
      </c>
      <c r="P1089">
        <f t="shared" si="33"/>
        <v>0.16239999999999999</v>
      </c>
      <c r="Q1089" t="s">
        <v>111</v>
      </c>
      <c r="R1089">
        <v>2024</v>
      </c>
      <c r="S1089" t="s">
        <v>25</v>
      </c>
    </row>
    <row r="1090" spans="1:19" x14ac:dyDescent="0.3">
      <c r="A1090" t="s">
        <v>1166</v>
      </c>
      <c r="B1090">
        <v>45947</v>
      </c>
      <c r="C1090" t="s">
        <v>30</v>
      </c>
      <c r="D1090" t="s">
        <v>31</v>
      </c>
      <c r="E1090" t="s">
        <v>38</v>
      </c>
      <c r="F1090" t="s">
        <v>23</v>
      </c>
      <c r="G1090">
        <v>66431.02</v>
      </c>
      <c r="H1090">
        <v>60606.47</v>
      </c>
      <c r="I1090">
        <v>5824.55</v>
      </c>
      <c r="J1090">
        <v>69538.720000000001</v>
      </c>
      <c r="K1090">
        <v>24910.14</v>
      </c>
      <c r="L1090">
        <v>142246.07999999999</v>
      </c>
      <c r="M1090">
        <v>1143</v>
      </c>
      <c r="N1090">
        <v>-8.3699999999999997E-2</v>
      </c>
      <c r="O1090">
        <f t="shared" si="32"/>
        <v>8.77E-2</v>
      </c>
      <c r="P1090">
        <f t="shared" si="33"/>
        <v>0.17510000000000001</v>
      </c>
      <c r="Q1090" t="s">
        <v>66</v>
      </c>
      <c r="R1090">
        <v>2025</v>
      </c>
      <c r="S1090" t="s">
        <v>25</v>
      </c>
    </row>
    <row r="1091" spans="1:19" x14ac:dyDescent="0.3">
      <c r="A1091" t="s">
        <v>1167</v>
      </c>
      <c r="B1091">
        <v>45067</v>
      </c>
      <c r="C1091" t="s">
        <v>20</v>
      </c>
      <c r="D1091" t="s">
        <v>21</v>
      </c>
      <c r="E1091" t="s">
        <v>22</v>
      </c>
      <c r="F1091" t="s">
        <v>23</v>
      </c>
      <c r="G1091">
        <v>62219.07</v>
      </c>
      <c r="H1091">
        <v>50460.33</v>
      </c>
      <c r="I1091">
        <v>11758.74</v>
      </c>
      <c r="J1091">
        <v>50156.5</v>
      </c>
      <c r="K1091">
        <v>60949.33</v>
      </c>
      <c r="L1091">
        <v>143079.19</v>
      </c>
      <c r="M1091">
        <v>936</v>
      </c>
      <c r="N1091">
        <v>-0.13189999999999999</v>
      </c>
      <c r="O1091">
        <f t="shared" ref="O1091:O1154" si="34">(ROUND(I1091/G1091,4))</f>
        <v>0.189</v>
      </c>
      <c r="P1091">
        <f t="shared" ref="P1091:P1154" si="35">ROUND(K1091/L1091,4)</f>
        <v>0.42599999999999999</v>
      </c>
      <c r="Q1091" t="s">
        <v>39</v>
      </c>
      <c r="R1091">
        <v>2023</v>
      </c>
      <c r="S1091" t="s">
        <v>40</v>
      </c>
    </row>
    <row r="1092" spans="1:19" x14ac:dyDescent="0.3">
      <c r="A1092" t="s">
        <v>1168</v>
      </c>
      <c r="B1092">
        <v>45424</v>
      </c>
      <c r="C1092" t="s">
        <v>36</v>
      </c>
      <c r="D1092" t="s">
        <v>37</v>
      </c>
      <c r="E1092" t="s">
        <v>38</v>
      </c>
      <c r="F1092" t="s">
        <v>23</v>
      </c>
      <c r="G1092">
        <v>21853.37</v>
      </c>
      <c r="H1092">
        <v>16081.62</v>
      </c>
      <c r="I1092">
        <v>5771.75</v>
      </c>
      <c r="J1092">
        <v>23031.41</v>
      </c>
      <c r="K1092">
        <v>70099.83</v>
      </c>
      <c r="L1092">
        <v>57111.16</v>
      </c>
      <c r="M1092">
        <v>1436</v>
      </c>
      <c r="N1092">
        <v>1.9099999999999999E-2</v>
      </c>
      <c r="O1092">
        <f t="shared" si="34"/>
        <v>0.2641</v>
      </c>
      <c r="P1092">
        <f t="shared" si="35"/>
        <v>1.2274</v>
      </c>
      <c r="Q1092" t="s">
        <v>111</v>
      </c>
      <c r="R1092">
        <v>2024</v>
      </c>
      <c r="S1092" t="s">
        <v>82</v>
      </c>
    </row>
    <row r="1093" spans="1:19" x14ac:dyDescent="0.3">
      <c r="A1093" t="s">
        <v>1169</v>
      </c>
      <c r="B1093">
        <v>44628</v>
      </c>
      <c r="C1093" t="s">
        <v>54</v>
      </c>
      <c r="D1093" t="s">
        <v>55</v>
      </c>
      <c r="E1093" t="s">
        <v>38</v>
      </c>
      <c r="F1093" t="s">
        <v>23</v>
      </c>
      <c r="G1093">
        <v>44300.18</v>
      </c>
      <c r="H1093">
        <v>27590.7</v>
      </c>
      <c r="I1093">
        <v>16709.48</v>
      </c>
      <c r="J1093">
        <v>52471.81</v>
      </c>
      <c r="K1093">
        <v>16365.25</v>
      </c>
      <c r="L1093">
        <v>344654.84</v>
      </c>
      <c r="M1093">
        <v>1745</v>
      </c>
      <c r="N1093">
        <v>6.3E-2</v>
      </c>
      <c r="O1093">
        <f t="shared" si="34"/>
        <v>0.37719999999999998</v>
      </c>
      <c r="P1093">
        <f t="shared" si="35"/>
        <v>4.7500000000000001E-2</v>
      </c>
      <c r="Q1093" t="s">
        <v>90</v>
      </c>
      <c r="R1093">
        <v>2022</v>
      </c>
      <c r="S1093" t="s">
        <v>25</v>
      </c>
    </row>
    <row r="1094" spans="1:19" x14ac:dyDescent="0.3">
      <c r="A1094" t="s">
        <v>1170</v>
      </c>
      <c r="B1094">
        <v>44810</v>
      </c>
      <c r="C1094" t="s">
        <v>48</v>
      </c>
      <c r="D1094" t="s">
        <v>49</v>
      </c>
      <c r="E1094" t="s">
        <v>51</v>
      </c>
      <c r="F1094" t="s">
        <v>23</v>
      </c>
      <c r="G1094">
        <v>57295.81</v>
      </c>
      <c r="H1094">
        <v>45099.77</v>
      </c>
      <c r="I1094">
        <v>12196.04</v>
      </c>
      <c r="J1094">
        <v>27450.77</v>
      </c>
      <c r="K1094">
        <v>57257.08</v>
      </c>
      <c r="L1094">
        <v>89838.74</v>
      </c>
      <c r="M1094">
        <v>929</v>
      </c>
      <c r="N1094">
        <v>0.14319999999999999</v>
      </c>
      <c r="O1094">
        <f t="shared" si="34"/>
        <v>0.21290000000000001</v>
      </c>
      <c r="P1094">
        <f t="shared" si="35"/>
        <v>0.63729999999999998</v>
      </c>
      <c r="Q1094" t="s">
        <v>76</v>
      </c>
      <c r="R1094">
        <v>2022</v>
      </c>
      <c r="S1094" t="s">
        <v>82</v>
      </c>
    </row>
    <row r="1095" spans="1:19" x14ac:dyDescent="0.3">
      <c r="A1095" t="s">
        <v>1171</v>
      </c>
      <c r="B1095">
        <v>45557</v>
      </c>
      <c r="C1095" t="s">
        <v>54</v>
      </c>
      <c r="D1095" t="s">
        <v>55</v>
      </c>
      <c r="E1095" t="s">
        <v>32</v>
      </c>
      <c r="F1095" t="s">
        <v>23</v>
      </c>
      <c r="G1095">
        <v>93857.012549999999</v>
      </c>
      <c r="H1095">
        <v>84692.02</v>
      </c>
      <c r="I1095">
        <v>9164.99</v>
      </c>
      <c r="J1095">
        <v>18362.740000000002</v>
      </c>
      <c r="K1095">
        <v>41306.99</v>
      </c>
      <c r="L1095">
        <v>209236.83</v>
      </c>
      <c r="M1095">
        <v>1166</v>
      </c>
      <c r="N1095">
        <v>2.4899999999999999E-2</v>
      </c>
      <c r="O1095">
        <f t="shared" si="34"/>
        <v>9.7600000000000006E-2</v>
      </c>
      <c r="P1095">
        <f t="shared" si="35"/>
        <v>0.19739999999999999</v>
      </c>
      <c r="Q1095" t="s">
        <v>72</v>
      </c>
      <c r="R1095">
        <v>2024</v>
      </c>
      <c r="S1095" t="s">
        <v>25</v>
      </c>
    </row>
    <row r="1096" spans="1:19" x14ac:dyDescent="0.3">
      <c r="A1096" t="s">
        <v>1172</v>
      </c>
      <c r="B1096">
        <v>44771</v>
      </c>
      <c r="C1096" t="s">
        <v>1282</v>
      </c>
      <c r="D1096" t="s">
        <v>69</v>
      </c>
      <c r="E1096" t="s">
        <v>22</v>
      </c>
      <c r="F1096" t="s">
        <v>23</v>
      </c>
      <c r="G1096">
        <v>268514.90000000002</v>
      </c>
      <c r="H1096">
        <v>244300.03</v>
      </c>
      <c r="I1096">
        <v>24214.87</v>
      </c>
      <c r="J1096">
        <v>61650.29</v>
      </c>
      <c r="K1096">
        <v>24164.69</v>
      </c>
      <c r="L1096">
        <v>96915.15</v>
      </c>
      <c r="M1096">
        <v>839</v>
      </c>
      <c r="N1096">
        <v>-0.1125</v>
      </c>
      <c r="O1096">
        <f t="shared" si="34"/>
        <v>9.0200000000000002E-2</v>
      </c>
      <c r="P1096">
        <f t="shared" si="35"/>
        <v>0.24929999999999999</v>
      </c>
      <c r="Q1096" t="s">
        <v>76</v>
      </c>
      <c r="R1096">
        <v>2022</v>
      </c>
      <c r="S1096" t="s">
        <v>25</v>
      </c>
    </row>
    <row r="1097" spans="1:19" x14ac:dyDescent="0.3">
      <c r="A1097" t="s">
        <v>1173</v>
      </c>
      <c r="B1097">
        <v>45315</v>
      </c>
      <c r="C1097" t="s">
        <v>20</v>
      </c>
      <c r="D1097" t="s">
        <v>21</v>
      </c>
      <c r="E1097" t="s">
        <v>22</v>
      </c>
      <c r="F1097" t="s">
        <v>23</v>
      </c>
      <c r="G1097">
        <v>252628.98</v>
      </c>
      <c r="H1097">
        <v>141972.16</v>
      </c>
      <c r="I1097">
        <v>110656.82</v>
      </c>
      <c r="J1097">
        <v>20776.84</v>
      </c>
      <c r="K1097">
        <v>78325.25</v>
      </c>
      <c r="L1097">
        <v>319296.96000000002</v>
      </c>
      <c r="M1097">
        <v>541</v>
      </c>
      <c r="N1097">
        <v>-3.3300000000000003E-2</v>
      </c>
      <c r="O1097">
        <f t="shared" si="34"/>
        <v>0.438</v>
      </c>
      <c r="P1097">
        <f t="shared" si="35"/>
        <v>0.24529999999999999</v>
      </c>
      <c r="Q1097" t="s">
        <v>80</v>
      </c>
      <c r="R1097">
        <v>2024</v>
      </c>
      <c r="S1097" t="s">
        <v>25</v>
      </c>
    </row>
    <row r="1098" spans="1:19" x14ac:dyDescent="0.3">
      <c r="A1098" t="s">
        <v>1174</v>
      </c>
      <c r="B1098">
        <v>45746</v>
      </c>
      <c r="C1098" t="s">
        <v>30</v>
      </c>
      <c r="D1098" t="s">
        <v>31</v>
      </c>
      <c r="E1098" t="s">
        <v>38</v>
      </c>
      <c r="F1098" t="s">
        <v>23</v>
      </c>
      <c r="G1098">
        <v>267958.39</v>
      </c>
      <c r="H1098">
        <v>201832.41</v>
      </c>
      <c r="I1098">
        <v>66125.98</v>
      </c>
      <c r="J1098">
        <v>75005.86</v>
      </c>
      <c r="K1098">
        <v>12863.11</v>
      </c>
      <c r="L1098">
        <v>107391.16</v>
      </c>
      <c r="M1098">
        <v>525</v>
      </c>
      <c r="N1098">
        <v>4.3099999999999999E-2</v>
      </c>
      <c r="O1098">
        <f t="shared" si="34"/>
        <v>0.24679999999999999</v>
      </c>
      <c r="P1098">
        <f t="shared" si="35"/>
        <v>0.1198</v>
      </c>
      <c r="Q1098" t="s">
        <v>106</v>
      </c>
      <c r="R1098">
        <v>2025</v>
      </c>
      <c r="S1098" t="s">
        <v>25</v>
      </c>
    </row>
    <row r="1099" spans="1:19" x14ac:dyDescent="0.3">
      <c r="A1099" t="s">
        <v>1175</v>
      </c>
      <c r="B1099">
        <v>45621</v>
      </c>
      <c r="C1099" t="s">
        <v>78</v>
      </c>
      <c r="D1099" t="s">
        <v>79</v>
      </c>
      <c r="E1099" t="s">
        <v>38</v>
      </c>
      <c r="F1099" t="s">
        <v>23</v>
      </c>
      <c r="G1099">
        <v>66572.97</v>
      </c>
      <c r="H1099">
        <v>39538.269999999997</v>
      </c>
      <c r="I1099">
        <v>27034.7</v>
      </c>
      <c r="J1099">
        <v>24244.78</v>
      </c>
      <c r="K1099">
        <v>113617.96</v>
      </c>
      <c r="L1099">
        <v>60681.18</v>
      </c>
      <c r="M1099">
        <v>1270</v>
      </c>
      <c r="N1099">
        <v>-2.4899999999999999E-2</v>
      </c>
      <c r="O1099">
        <f t="shared" si="34"/>
        <v>0.40610000000000002</v>
      </c>
      <c r="P1099">
        <f t="shared" si="35"/>
        <v>1.8724000000000001</v>
      </c>
      <c r="Q1099" t="s">
        <v>52</v>
      </c>
      <c r="R1099">
        <v>2024</v>
      </c>
      <c r="S1099" t="s">
        <v>82</v>
      </c>
    </row>
    <row r="1100" spans="1:19" x14ac:dyDescent="0.3">
      <c r="A1100" t="s">
        <v>1176</v>
      </c>
      <c r="B1100">
        <v>45842</v>
      </c>
      <c r="C1100" t="s">
        <v>30</v>
      </c>
      <c r="D1100" t="s">
        <v>31</v>
      </c>
      <c r="E1100" t="s">
        <v>32</v>
      </c>
      <c r="F1100" t="s">
        <v>23</v>
      </c>
      <c r="G1100">
        <v>93945.463799999998</v>
      </c>
      <c r="H1100">
        <v>82800.31</v>
      </c>
      <c r="I1100">
        <v>11145.16</v>
      </c>
      <c r="J1100">
        <v>48734.13</v>
      </c>
      <c r="K1100">
        <v>17452.310000000001</v>
      </c>
      <c r="L1100">
        <v>76382.45</v>
      </c>
      <c r="M1100">
        <v>730</v>
      </c>
      <c r="N1100">
        <v>0.1249</v>
      </c>
      <c r="O1100">
        <f t="shared" si="34"/>
        <v>0.1186</v>
      </c>
      <c r="P1100">
        <f t="shared" si="35"/>
        <v>0.22850000000000001</v>
      </c>
      <c r="Q1100" t="s">
        <v>24</v>
      </c>
      <c r="R1100">
        <v>2025</v>
      </c>
      <c r="S1100" t="s">
        <v>25</v>
      </c>
    </row>
    <row r="1101" spans="1:19" x14ac:dyDescent="0.3">
      <c r="A1101" t="s">
        <v>1177</v>
      </c>
      <c r="B1101">
        <v>45148</v>
      </c>
      <c r="C1101" t="s">
        <v>54</v>
      </c>
      <c r="D1101" t="s">
        <v>55</v>
      </c>
      <c r="E1101" t="s">
        <v>22</v>
      </c>
      <c r="F1101" t="s">
        <v>23</v>
      </c>
      <c r="G1101">
        <v>314301.68</v>
      </c>
      <c r="H1101">
        <v>286127.06</v>
      </c>
      <c r="I1101">
        <v>28174.62</v>
      </c>
      <c r="J1101">
        <v>15320.98</v>
      </c>
      <c r="K1101">
        <v>41967.92</v>
      </c>
      <c r="L1101">
        <v>65839.960000000006</v>
      </c>
      <c r="M1101">
        <v>739</v>
      </c>
      <c r="N1101">
        <v>0.16059999999999999</v>
      </c>
      <c r="O1101">
        <f t="shared" si="34"/>
        <v>8.9599999999999999E-2</v>
      </c>
      <c r="P1101">
        <f t="shared" si="35"/>
        <v>0.63739999999999997</v>
      </c>
      <c r="Q1101" t="s">
        <v>56</v>
      </c>
      <c r="R1101">
        <v>2023</v>
      </c>
      <c r="S1101" t="s">
        <v>82</v>
      </c>
    </row>
    <row r="1102" spans="1:19" x14ac:dyDescent="0.3">
      <c r="A1102" t="s">
        <v>1178</v>
      </c>
      <c r="B1102">
        <v>44746</v>
      </c>
      <c r="C1102" t="s">
        <v>1282</v>
      </c>
      <c r="D1102" t="s">
        <v>69</v>
      </c>
      <c r="E1102" t="s">
        <v>22</v>
      </c>
      <c r="F1102" t="s">
        <v>23</v>
      </c>
      <c r="G1102">
        <v>50337.66</v>
      </c>
      <c r="H1102">
        <v>29809.89</v>
      </c>
      <c r="I1102">
        <v>20527.77</v>
      </c>
      <c r="J1102">
        <v>25976.69</v>
      </c>
      <c r="K1102">
        <v>71477.56</v>
      </c>
      <c r="L1102">
        <v>61188.14</v>
      </c>
      <c r="M1102">
        <v>612</v>
      </c>
      <c r="N1102">
        <v>2.7300000000000001E-2</v>
      </c>
      <c r="O1102">
        <f t="shared" si="34"/>
        <v>0.4078</v>
      </c>
      <c r="P1102">
        <f t="shared" si="35"/>
        <v>1.1681999999999999</v>
      </c>
      <c r="Q1102" t="s">
        <v>76</v>
      </c>
      <c r="R1102">
        <v>2022</v>
      </c>
      <c r="S1102" t="s">
        <v>82</v>
      </c>
    </row>
    <row r="1103" spans="1:19" x14ac:dyDescent="0.3">
      <c r="A1103" t="s">
        <v>1179</v>
      </c>
      <c r="B1103">
        <v>45435</v>
      </c>
      <c r="C1103" t="s">
        <v>30</v>
      </c>
      <c r="D1103" t="s">
        <v>31</v>
      </c>
      <c r="E1103" t="s">
        <v>38</v>
      </c>
      <c r="F1103" t="s">
        <v>23</v>
      </c>
      <c r="G1103">
        <v>77633.31</v>
      </c>
      <c r="H1103">
        <v>47730.1</v>
      </c>
      <c r="I1103">
        <v>29903.21</v>
      </c>
      <c r="J1103">
        <v>39114.65</v>
      </c>
      <c r="K1103">
        <v>151006.73000000001</v>
      </c>
      <c r="L1103">
        <v>84117.41</v>
      </c>
      <c r="M1103">
        <v>758</v>
      </c>
      <c r="N1103">
        <v>-3.2099999999999997E-2</v>
      </c>
      <c r="O1103">
        <f t="shared" si="34"/>
        <v>0.38519999999999999</v>
      </c>
      <c r="P1103">
        <f t="shared" si="35"/>
        <v>1.7951999999999999</v>
      </c>
      <c r="Q1103" t="s">
        <v>111</v>
      </c>
      <c r="R1103">
        <v>2024</v>
      </c>
      <c r="S1103" t="s">
        <v>82</v>
      </c>
    </row>
    <row r="1104" spans="1:19" x14ac:dyDescent="0.3">
      <c r="A1104" t="s">
        <v>1180</v>
      </c>
      <c r="B1104">
        <v>45720</v>
      </c>
      <c r="C1104" t="s">
        <v>48</v>
      </c>
      <c r="D1104" t="s">
        <v>49</v>
      </c>
      <c r="E1104" t="s">
        <v>32</v>
      </c>
      <c r="F1104" t="s">
        <v>23</v>
      </c>
      <c r="G1104">
        <v>108953.63145</v>
      </c>
      <c r="H1104">
        <v>83956.52</v>
      </c>
      <c r="I1104">
        <v>24997.11</v>
      </c>
      <c r="J1104">
        <v>20816.86</v>
      </c>
      <c r="K1104">
        <v>26591.32</v>
      </c>
      <c r="L1104">
        <v>60861.440000000002</v>
      </c>
      <c r="M1104">
        <v>759</v>
      </c>
      <c r="N1104">
        <v>-6.8500000000000005E-2</v>
      </c>
      <c r="O1104">
        <f t="shared" si="34"/>
        <v>0.22939999999999999</v>
      </c>
      <c r="P1104">
        <f t="shared" si="35"/>
        <v>0.43690000000000001</v>
      </c>
      <c r="Q1104" t="s">
        <v>106</v>
      </c>
      <c r="R1104">
        <v>2025</v>
      </c>
      <c r="S1104" t="s">
        <v>40</v>
      </c>
    </row>
    <row r="1105" spans="1:19" x14ac:dyDescent="0.3">
      <c r="A1105" t="s">
        <v>1181</v>
      </c>
      <c r="B1105">
        <v>45855</v>
      </c>
      <c r="C1105" t="s">
        <v>48</v>
      </c>
      <c r="D1105" t="s">
        <v>49</v>
      </c>
      <c r="E1105" t="s">
        <v>51</v>
      </c>
      <c r="F1105" t="s">
        <v>23</v>
      </c>
      <c r="G1105">
        <v>46623.14</v>
      </c>
      <c r="H1105">
        <v>36235.11</v>
      </c>
      <c r="I1105">
        <v>10388.030000000001</v>
      </c>
      <c r="J1105">
        <v>14265.09</v>
      </c>
      <c r="K1105">
        <v>37277.75</v>
      </c>
      <c r="L1105">
        <v>106837.8</v>
      </c>
      <c r="M1105">
        <v>355</v>
      </c>
      <c r="N1105">
        <v>6.9900000000000004E-2</v>
      </c>
      <c r="O1105">
        <f t="shared" si="34"/>
        <v>0.2228</v>
      </c>
      <c r="P1105">
        <f t="shared" si="35"/>
        <v>0.34889999999999999</v>
      </c>
      <c r="Q1105" t="s">
        <v>24</v>
      </c>
      <c r="R1105">
        <v>2025</v>
      </c>
      <c r="S1105" t="s">
        <v>40</v>
      </c>
    </row>
    <row r="1106" spans="1:19" x14ac:dyDescent="0.3">
      <c r="A1106" t="s">
        <v>1182</v>
      </c>
      <c r="B1106">
        <v>45904</v>
      </c>
      <c r="C1106" t="s">
        <v>85</v>
      </c>
      <c r="D1106" t="s">
        <v>86</v>
      </c>
      <c r="E1106" t="s">
        <v>38</v>
      </c>
      <c r="F1106" t="s">
        <v>23</v>
      </c>
      <c r="G1106">
        <v>165053.53</v>
      </c>
      <c r="H1106">
        <v>93099.96</v>
      </c>
      <c r="I1106">
        <v>71953.570000000007</v>
      </c>
      <c r="J1106">
        <v>72803.47</v>
      </c>
      <c r="K1106">
        <v>20252.66</v>
      </c>
      <c r="L1106">
        <v>451907.03</v>
      </c>
      <c r="M1106">
        <v>780</v>
      </c>
      <c r="N1106">
        <v>-3.1300000000000001E-2</v>
      </c>
      <c r="O1106">
        <f t="shared" si="34"/>
        <v>0.43590000000000001</v>
      </c>
      <c r="P1106">
        <f t="shared" si="35"/>
        <v>4.48E-2</v>
      </c>
      <c r="Q1106" t="s">
        <v>24</v>
      </c>
      <c r="R1106">
        <v>2025</v>
      </c>
      <c r="S1106" t="s">
        <v>25</v>
      </c>
    </row>
    <row r="1107" spans="1:19" x14ac:dyDescent="0.3">
      <c r="A1107" t="s">
        <v>1183</v>
      </c>
      <c r="B1107">
        <v>45387</v>
      </c>
      <c r="C1107" t="s">
        <v>85</v>
      </c>
      <c r="D1107" t="s">
        <v>86</v>
      </c>
      <c r="E1107" t="s">
        <v>32</v>
      </c>
      <c r="F1107" t="s">
        <v>23</v>
      </c>
      <c r="G1107">
        <v>191139.91090000002</v>
      </c>
      <c r="H1107">
        <v>170461.65</v>
      </c>
      <c r="I1107">
        <v>20678.259999999998</v>
      </c>
      <c r="J1107">
        <v>31670.6</v>
      </c>
      <c r="K1107">
        <v>74104.61</v>
      </c>
      <c r="L1107">
        <v>129636.92</v>
      </c>
      <c r="M1107">
        <v>685</v>
      </c>
      <c r="N1107">
        <v>-4.7300000000000002E-2</v>
      </c>
      <c r="O1107">
        <f t="shared" si="34"/>
        <v>0.1082</v>
      </c>
      <c r="P1107">
        <f t="shared" si="35"/>
        <v>0.5716</v>
      </c>
      <c r="Q1107" t="s">
        <v>111</v>
      </c>
      <c r="R1107">
        <v>2024</v>
      </c>
      <c r="S1107" t="s">
        <v>40</v>
      </c>
    </row>
    <row r="1108" spans="1:19" x14ac:dyDescent="0.3">
      <c r="A1108" t="s">
        <v>1184</v>
      </c>
      <c r="B1108">
        <v>45077</v>
      </c>
      <c r="C1108" t="s">
        <v>85</v>
      </c>
      <c r="D1108" t="s">
        <v>86</v>
      </c>
      <c r="E1108" t="s">
        <v>32</v>
      </c>
      <c r="F1108" t="s">
        <v>23</v>
      </c>
      <c r="G1108">
        <v>203392.38415</v>
      </c>
      <c r="H1108">
        <v>124028.25</v>
      </c>
      <c r="I1108">
        <v>79364.13</v>
      </c>
      <c r="J1108">
        <v>32146.959999999999</v>
      </c>
      <c r="K1108">
        <v>69405.3</v>
      </c>
      <c r="L1108">
        <v>60614.83</v>
      </c>
      <c r="M1108">
        <v>1425</v>
      </c>
      <c r="N1108">
        <v>-3.8600000000000002E-2</v>
      </c>
      <c r="O1108">
        <f t="shared" si="34"/>
        <v>0.39019999999999999</v>
      </c>
      <c r="P1108">
        <f t="shared" si="35"/>
        <v>1.145</v>
      </c>
      <c r="Q1108" t="s">
        <v>39</v>
      </c>
      <c r="R1108">
        <v>2023</v>
      </c>
      <c r="S1108" t="s">
        <v>82</v>
      </c>
    </row>
    <row r="1109" spans="1:19" x14ac:dyDescent="0.3">
      <c r="A1109" t="s">
        <v>1185</v>
      </c>
      <c r="B1109">
        <v>45666</v>
      </c>
      <c r="C1109" t="s">
        <v>27</v>
      </c>
      <c r="D1109" t="s">
        <v>28</v>
      </c>
      <c r="E1109" t="s">
        <v>22</v>
      </c>
      <c r="F1109" t="s">
        <v>23</v>
      </c>
      <c r="G1109">
        <v>22319.73</v>
      </c>
      <c r="H1109">
        <v>14196.69</v>
      </c>
      <c r="I1109">
        <v>8123.04</v>
      </c>
      <c r="J1109">
        <v>66276.44</v>
      </c>
      <c r="K1109">
        <v>31193.66</v>
      </c>
      <c r="L1109">
        <v>428924.37</v>
      </c>
      <c r="M1109">
        <v>608</v>
      </c>
      <c r="N1109">
        <v>0.16300000000000001</v>
      </c>
      <c r="O1109">
        <f t="shared" si="34"/>
        <v>0.3639</v>
      </c>
      <c r="P1109">
        <f t="shared" si="35"/>
        <v>7.2700000000000001E-2</v>
      </c>
      <c r="Q1109" t="s">
        <v>106</v>
      </c>
      <c r="R1109">
        <v>2025</v>
      </c>
      <c r="S1109" t="s">
        <v>25</v>
      </c>
    </row>
    <row r="1110" spans="1:19" x14ac:dyDescent="0.3">
      <c r="A1110" t="s">
        <v>1186</v>
      </c>
      <c r="B1110">
        <v>45074</v>
      </c>
      <c r="C1110" t="s">
        <v>1282</v>
      </c>
      <c r="D1110" t="s">
        <v>69</v>
      </c>
      <c r="E1110" t="s">
        <v>38</v>
      </c>
      <c r="F1110" t="s">
        <v>23</v>
      </c>
      <c r="G1110" t="s">
        <v>1281</v>
      </c>
      <c r="H1110">
        <v>12540.18</v>
      </c>
      <c r="I1110" t="s">
        <v>1281</v>
      </c>
      <c r="J1110">
        <v>49257.09</v>
      </c>
      <c r="K1110">
        <v>12726.4</v>
      </c>
      <c r="L1110">
        <v>105732.57</v>
      </c>
      <c r="M1110">
        <v>541</v>
      </c>
      <c r="N1110">
        <v>-0.1045</v>
      </c>
      <c r="O1110" t="s">
        <v>1281</v>
      </c>
      <c r="P1110">
        <f t="shared" si="35"/>
        <v>0.12039999999999999</v>
      </c>
      <c r="Q1110" t="s">
        <v>39</v>
      </c>
      <c r="R1110">
        <v>2023</v>
      </c>
      <c r="S1110" t="s">
        <v>25</v>
      </c>
    </row>
    <row r="1111" spans="1:19" x14ac:dyDescent="0.3">
      <c r="A1111" t="s">
        <v>1187</v>
      </c>
      <c r="B1111">
        <v>45282</v>
      </c>
      <c r="C1111" t="s">
        <v>102</v>
      </c>
      <c r="D1111" t="s">
        <v>103</v>
      </c>
      <c r="E1111" t="s">
        <v>32</v>
      </c>
      <c r="F1111" t="s">
        <v>23</v>
      </c>
      <c r="G1111">
        <v>64490.086900000002</v>
      </c>
      <c r="H1111">
        <v>40947.800000000003</v>
      </c>
      <c r="I1111">
        <v>23542.29</v>
      </c>
      <c r="J1111">
        <v>74398.37</v>
      </c>
      <c r="K1111">
        <v>20192.82</v>
      </c>
      <c r="L1111">
        <v>107653.17</v>
      </c>
      <c r="M1111">
        <v>1849</v>
      </c>
      <c r="N1111">
        <v>0.1163</v>
      </c>
      <c r="O1111">
        <f t="shared" si="34"/>
        <v>0.36509999999999998</v>
      </c>
      <c r="P1111">
        <f t="shared" si="35"/>
        <v>0.18759999999999999</v>
      </c>
      <c r="Q1111" t="s">
        <v>44</v>
      </c>
      <c r="R1111">
        <v>2023</v>
      </c>
      <c r="S1111" t="s">
        <v>25</v>
      </c>
    </row>
    <row r="1112" spans="1:19" x14ac:dyDescent="0.3">
      <c r="A1112" t="s">
        <v>1188</v>
      </c>
      <c r="B1112" s="4">
        <v>45877</v>
      </c>
      <c r="C1112" t="s">
        <v>48</v>
      </c>
      <c r="D1112" t="s">
        <v>49</v>
      </c>
      <c r="E1112" t="s">
        <v>22</v>
      </c>
      <c r="F1112" t="s">
        <v>23</v>
      </c>
      <c r="G1112">
        <v>151786.13</v>
      </c>
      <c r="H1112">
        <v>127071.03</v>
      </c>
      <c r="I1112">
        <v>24715.1</v>
      </c>
      <c r="J1112">
        <v>52780.44</v>
      </c>
      <c r="K1112">
        <v>83897.97</v>
      </c>
      <c r="L1112">
        <v>120675.1</v>
      </c>
      <c r="M1112">
        <v>425</v>
      </c>
      <c r="N1112">
        <v>7.4300000000000005E-2</v>
      </c>
      <c r="O1112">
        <f t="shared" si="34"/>
        <v>0.1628</v>
      </c>
      <c r="P1112">
        <f t="shared" si="35"/>
        <v>0.69520000000000004</v>
      </c>
      <c r="Q1112" t="s">
        <v>24</v>
      </c>
      <c r="R1112">
        <v>2025</v>
      </c>
      <c r="S1112" t="s">
        <v>82</v>
      </c>
    </row>
    <row r="1113" spans="1:19" x14ac:dyDescent="0.3">
      <c r="A1113" t="s">
        <v>1189</v>
      </c>
      <c r="B1113">
        <v>44989</v>
      </c>
      <c r="C1113" t="s">
        <v>42</v>
      </c>
      <c r="D1113" t="s">
        <v>43</v>
      </c>
      <c r="E1113" t="s">
        <v>32</v>
      </c>
      <c r="F1113" t="s">
        <v>23</v>
      </c>
      <c r="G1113">
        <v>65459.867550000003</v>
      </c>
      <c r="H1113">
        <v>53936.82</v>
      </c>
      <c r="I1113">
        <v>11523.05</v>
      </c>
      <c r="J1113">
        <v>12755.69</v>
      </c>
      <c r="K1113">
        <v>17015.48</v>
      </c>
      <c r="L1113">
        <v>76739.5</v>
      </c>
      <c r="M1113">
        <v>1107</v>
      </c>
      <c r="N1113">
        <v>-2.98E-2</v>
      </c>
      <c r="O1113">
        <f t="shared" si="34"/>
        <v>0.17599999999999999</v>
      </c>
      <c r="P1113">
        <f t="shared" si="35"/>
        <v>0.22170000000000001</v>
      </c>
      <c r="Q1113" t="s">
        <v>118</v>
      </c>
      <c r="R1113">
        <v>2023</v>
      </c>
      <c r="S1113" t="s">
        <v>25</v>
      </c>
    </row>
    <row r="1114" spans="1:19" x14ac:dyDescent="0.3">
      <c r="A1114" t="s">
        <v>1190</v>
      </c>
      <c r="B1114">
        <v>45978</v>
      </c>
      <c r="C1114" t="s">
        <v>48</v>
      </c>
      <c r="D1114" t="s">
        <v>49</v>
      </c>
      <c r="E1114" t="s">
        <v>38</v>
      </c>
      <c r="F1114" t="s">
        <v>23</v>
      </c>
      <c r="G1114">
        <v>82588</v>
      </c>
      <c r="H1114">
        <v>55498.6</v>
      </c>
      <c r="I1114">
        <v>27089.4</v>
      </c>
      <c r="J1114">
        <v>43126.69</v>
      </c>
      <c r="K1114">
        <v>86071.58</v>
      </c>
      <c r="L1114">
        <v>79638.03</v>
      </c>
      <c r="M1114">
        <v>1887</v>
      </c>
      <c r="N1114">
        <v>8.3199999999999996E-2</v>
      </c>
      <c r="O1114">
        <f t="shared" si="34"/>
        <v>0.32800000000000001</v>
      </c>
      <c r="P1114">
        <f t="shared" si="35"/>
        <v>1.0808</v>
      </c>
      <c r="Q1114" t="s">
        <v>66</v>
      </c>
      <c r="R1114">
        <v>2025</v>
      </c>
      <c r="S1114" t="s">
        <v>82</v>
      </c>
    </row>
    <row r="1115" spans="1:19" x14ac:dyDescent="0.3">
      <c r="A1115" t="s">
        <v>1191</v>
      </c>
      <c r="B1115">
        <v>45728</v>
      </c>
      <c r="C1115" t="s">
        <v>20</v>
      </c>
      <c r="D1115" t="s">
        <v>21</v>
      </c>
      <c r="E1115" t="s">
        <v>22</v>
      </c>
      <c r="F1115" t="s">
        <v>23</v>
      </c>
      <c r="G1115">
        <v>126320.14</v>
      </c>
      <c r="H1115">
        <v>115548.26</v>
      </c>
      <c r="I1115">
        <v>10771.88</v>
      </c>
      <c r="J1115">
        <v>82754.63</v>
      </c>
      <c r="K1115">
        <v>38843.54</v>
      </c>
      <c r="L1115">
        <v>104639.23</v>
      </c>
      <c r="M1115">
        <v>667</v>
      </c>
      <c r="N1115">
        <v>9.5899999999999999E-2</v>
      </c>
      <c r="O1115">
        <f t="shared" si="34"/>
        <v>8.5300000000000001E-2</v>
      </c>
      <c r="P1115">
        <f t="shared" si="35"/>
        <v>0.37119999999999997</v>
      </c>
      <c r="Q1115" t="s">
        <v>106</v>
      </c>
      <c r="R1115">
        <v>2025</v>
      </c>
      <c r="S1115" t="s">
        <v>40</v>
      </c>
    </row>
    <row r="1116" spans="1:19" x14ac:dyDescent="0.3">
      <c r="A1116" t="s">
        <v>1192</v>
      </c>
      <c r="B1116">
        <v>44763</v>
      </c>
      <c r="C1116" t="s">
        <v>30</v>
      </c>
      <c r="D1116" t="s">
        <v>31</v>
      </c>
      <c r="E1116" t="s">
        <v>22</v>
      </c>
      <c r="F1116" t="s">
        <v>23</v>
      </c>
      <c r="G1116">
        <v>81337.460000000006</v>
      </c>
      <c r="H1116">
        <v>58874.23</v>
      </c>
      <c r="I1116">
        <v>22463.23</v>
      </c>
      <c r="J1116">
        <v>32175.84</v>
      </c>
      <c r="K1116">
        <v>39647.68</v>
      </c>
      <c r="L1116">
        <v>79921.87</v>
      </c>
      <c r="M1116" t="s">
        <v>1281</v>
      </c>
      <c r="N1116">
        <v>-7.1000000000000004E-3</v>
      </c>
      <c r="O1116">
        <f t="shared" si="34"/>
        <v>0.2762</v>
      </c>
      <c r="P1116">
        <f t="shared" si="35"/>
        <v>0.49609999999999999</v>
      </c>
      <c r="Q1116" t="s">
        <v>76</v>
      </c>
      <c r="R1116">
        <v>2022</v>
      </c>
      <c r="S1116" t="s">
        <v>40</v>
      </c>
    </row>
    <row r="1117" spans="1:19" x14ac:dyDescent="0.3">
      <c r="A1117" t="s">
        <v>1193</v>
      </c>
      <c r="B1117">
        <v>45014</v>
      </c>
      <c r="C1117" t="s">
        <v>30</v>
      </c>
      <c r="D1117" t="s">
        <v>69</v>
      </c>
      <c r="E1117" t="s">
        <v>51</v>
      </c>
      <c r="F1117" t="s">
        <v>23</v>
      </c>
      <c r="G1117">
        <v>79264.009999999995</v>
      </c>
      <c r="H1117">
        <v>53698.65</v>
      </c>
      <c r="I1117">
        <v>25565.360000000001</v>
      </c>
      <c r="J1117">
        <v>50537.599999999999</v>
      </c>
      <c r="K1117">
        <v>48908.82</v>
      </c>
      <c r="L1117">
        <v>121618.93</v>
      </c>
      <c r="M1117">
        <v>914</v>
      </c>
      <c r="N1117">
        <v>-0.1236</v>
      </c>
      <c r="O1117">
        <f t="shared" si="34"/>
        <v>0.32250000000000001</v>
      </c>
      <c r="P1117">
        <f t="shared" si="35"/>
        <v>0.40210000000000001</v>
      </c>
      <c r="Q1117" t="s">
        <v>118</v>
      </c>
      <c r="R1117">
        <v>2023</v>
      </c>
      <c r="S1117" t="s">
        <v>40</v>
      </c>
    </row>
    <row r="1118" spans="1:19" x14ac:dyDescent="0.3">
      <c r="A1118" t="s">
        <v>1194</v>
      </c>
      <c r="B1118">
        <v>45894</v>
      </c>
      <c r="C1118" t="s">
        <v>78</v>
      </c>
      <c r="D1118" t="s">
        <v>79</v>
      </c>
      <c r="E1118" t="s">
        <v>32</v>
      </c>
      <c r="F1118" t="s">
        <v>23</v>
      </c>
      <c r="G1118">
        <v>54020.493150000002</v>
      </c>
      <c r="H1118">
        <v>29958.880000000001</v>
      </c>
      <c r="I1118">
        <v>24061.61</v>
      </c>
      <c r="J1118">
        <v>7970.22</v>
      </c>
      <c r="K1118">
        <v>14922.18</v>
      </c>
      <c r="L1118">
        <v>20155.080000000002</v>
      </c>
      <c r="M1118">
        <v>841</v>
      </c>
      <c r="N1118">
        <v>-1.0699999999999999E-2</v>
      </c>
      <c r="O1118">
        <f t="shared" si="34"/>
        <v>0.44540000000000002</v>
      </c>
      <c r="P1118">
        <f t="shared" si="35"/>
        <v>0.74039999999999995</v>
      </c>
      <c r="Q1118" t="s">
        <v>24</v>
      </c>
      <c r="R1118">
        <v>2025</v>
      </c>
      <c r="S1118" t="s">
        <v>82</v>
      </c>
    </row>
    <row r="1119" spans="1:19" x14ac:dyDescent="0.3">
      <c r="A1119" t="s">
        <v>1195</v>
      </c>
      <c r="B1119">
        <v>45928</v>
      </c>
      <c r="C1119" t="s">
        <v>30</v>
      </c>
      <c r="D1119" t="s">
        <v>31</v>
      </c>
      <c r="E1119" t="s">
        <v>38</v>
      </c>
      <c r="F1119" t="s">
        <v>23</v>
      </c>
      <c r="G1119">
        <v>131868.66</v>
      </c>
      <c r="H1119">
        <v>92474.36</v>
      </c>
      <c r="I1119">
        <v>39394.300000000003</v>
      </c>
      <c r="J1119">
        <v>47180.15</v>
      </c>
      <c r="K1119">
        <v>12300.85</v>
      </c>
      <c r="L1119">
        <v>143120.57999999999</v>
      </c>
      <c r="M1119">
        <v>877</v>
      </c>
      <c r="N1119">
        <v>2.1999999999999999E-2</v>
      </c>
      <c r="O1119">
        <f t="shared" si="34"/>
        <v>0.29870000000000002</v>
      </c>
      <c r="P1119">
        <f t="shared" si="35"/>
        <v>8.5900000000000004E-2</v>
      </c>
      <c r="Q1119" t="s">
        <v>24</v>
      </c>
      <c r="R1119">
        <v>2025</v>
      </c>
      <c r="S1119" t="s">
        <v>25</v>
      </c>
    </row>
    <row r="1120" spans="1:19" x14ac:dyDescent="0.3">
      <c r="A1120" t="s">
        <v>1196</v>
      </c>
      <c r="B1120">
        <v>44722</v>
      </c>
      <c r="C1120" t="s">
        <v>20</v>
      </c>
      <c r="D1120" t="s">
        <v>21</v>
      </c>
      <c r="E1120" t="s">
        <v>38</v>
      </c>
      <c r="F1120" t="s">
        <v>23</v>
      </c>
      <c r="G1120">
        <v>42478.3</v>
      </c>
      <c r="H1120">
        <v>23452.07</v>
      </c>
      <c r="I1120">
        <v>19026.23</v>
      </c>
      <c r="J1120">
        <v>41417.760000000002</v>
      </c>
      <c r="K1120">
        <v>24014.03</v>
      </c>
      <c r="L1120">
        <v>111587.43</v>
      </c>
      <c r="M1120">
        <v>1172</v>
      </c>
      <c r="N1120">
        <v>1.46E-2</v>
      </c>
      <c r="O1120">
        <f t="shared" si="34"/>
        <v>0.44790000000000002</v>
      </c>
      <c r="P1120">
        <f t="shared" si="35"/>
        <v>0.2152</v>
      </c>
      <c r="Q1120" t="s">
        <v>58</v>
      </c>
      <c r="R1120">
        <v>2022</v>
      </c>
      <c r="S1120" t="s">
        <v>25</v>
      </c>
    </row>
    <row r="1121" spans="1:19" x14ac:dyDescent="0.3">
      <c r="A1121" t="s">
        <v>1197</v>
      </c>
      <c r="B1121">
        <v>45873</v>
      </c>
      <c r="C1121" t="s">
        <v>42</v>
      </c>
      <c r="D1121" t="s">
        <v>43</v>
      </c>
      <c r="E1121" t="s">
        <v>32</v>
      </c>
      <c r="F1121" t="s">
        <v>23</v>
      </c>
      <c r="G1121">
        <v>77712.684299999994</v>
      </c>
      <c r="H1121">
        <v>65264.11</v>
      </c>
      <c r="I1121">
        <v>12448.58</v>
      </c>
      <c r="J1121">
        <v>105022.74</v>
      </c>
      <c r="K1121">
        <v>8758.85</v>
      </c>
      <c r="L1121">
        <v>154570.32</v>
      </c>
      <c r="M1121">
        <v>698</v>
      </c>
      <c r="N1121">
        <v>-7.1999999999999998E-3</v>
      </c>
      <c r="O1121">
        <f t="shared" si="34"/>
        <v>0.16020000000000001</v>
      </c>
      <c r="P1121">
        <f t="shared" si="35"/>
        <v>5.67E-2</v>
      </c>
      <c r="Q1121" t="s">
        <v>24</v>
      </c>
      <c r="R1121">
        <v>2025</v>
      </c>
      <c r="S1121" t="s">
        <v>25</v>
      </c>
    </row>
    <row r="1122" spans="1:19" x14ac:dyDescent="0.3">
      <c r="A1122" t="s">
        <v>1198</v>
      </c>
      <c r="B1122">
        <v>45545</v>
      </c>
      <c r="C1122" t="s">
        <v>36</v>
      </c>
      <c r="D1122" t="s">
        <v>37</v>
      </c>
      <c r="E1122" t="s">
        <v>38</v>
      </c>
      <c r="F1122" t="s">
        <v>23</v>
      </c>
      <c r="G1122">
        <v>59079.02</v>
      </c>
      <c r="H1122">
        <v>49215.83</v>
      </c>
      <c r="I1122">
        <v>9863.19</v>
      </c>
      <c r="J1122">
        <v>80943.23</v>
      </c>
      <c r="K1122">
        <v>28905.57</v>
      </c>
      <c r="L1122">
        <v>174586.87</v>
      </c>
      <c r="M1122">
        <v>1380</v>
      </c>
      <c r="N1122">
        <v>0.121</v>
      </c>
      <c r="O1122">
        <f t="shared" si="34"/>
        <v>0.16689999999999999</v>
      </c>
      <c r="P1122">
        <f t="shared" si="35"/>
        <v>0.1656</v>
      </c>
      <c r="Q1122" t="s">
        <v>72</v>
      </c>
      <c r="R1122">
        <v>2024</v>
      </c>
      <c r="S1122" t="s">
        <v>25</v>
      </c>
    </row>
    <row r="1123" spans="1:19" x14ac:dyDescent="0.3">
      <c r="A1123" t="s">
        <v>1199</v>
      </c>
      <c r="B1123">
        <v>44682</v>
      </c>
      <c r="C1123" t="s">
        <v>20</v>
      </c>
      <c r="D1123" t="s">
        <v>21</v>
      </c>
      <c r="E1123" t="s">
        <v>22</v>
      </c>
      <c r="F1123" t="s">
        <v>23</v>
      </c>
      <c r="G1123">
        <v>5712.66</v>
      </c>
      <c r="H1123">
        <v>4106.0200000000004</v>
      </c>
      <c r="I1123">
        <v>1606.64</v>
      </c>
      <c r="J1123">
        <v>40080.76</v>
      </c>
      <c r="K1123">
        <v>45397.81</v>
      </c>
      <c r="L1123">
        <v>74121.759999999995</v>
      </c>
      <c r="M1123">
        <v>1158</v>
      </c>
      <c r="N1123">
        <v>5.4999999999999997E-3</v>
      </c>
      <c r="O1123">
        <f t="shared" si="34"/>
        <v>0.28120000000000001</v>
      </c>
      <c r="P1123">
        <f t="shared" si="35"/>
        <v>0.61250000000000004</v>
      </c>
      <c r="Q1123" t="s">
        <v>58</v>
      </c>
      <c r="R1123">
        <v>2022</v>
      </c>
      <c r="S1123" t="s">
        <v>82</v>
      </c>
    </row>
    <row r="1124" spans="1:19" x14ac:dyDescent="0.3">
      <c r="A1124" t="s">
        <v>1200</v>
      </c>
      <c r="B1124">
        <v>45124</v>
      </c>
      <c r="C1124" t="s">
        <v>102</v>
      </c>
      <c r="D1124" t="s">
        <v>103</v>
      </c>
      <c r="E1124" t="s">
        <v>32</v>
      </c>
      <c r="F1124" t="s">
        <v>23</v>
      </c>
      <c r="G1124">
        <v>93690.50665000001</v>
      </c>
      <c r="H1124">
        <v>81732.88</v>
      </c>
      <c r="I1124">
        <v>11957.62</v>
      </c>
      <c r="J1124">
        <v>52136.34</v>
      </c>
      <c r="K1124">
        <v>21359.73</v>
      </c>
      <c r="L1124">
        <v>205261.6</v>
      </c>
      <c r="M1124">
        <v>544</v>
      </c>
      <c r="N1124">
        <v>3.4200000000000001E-2</v>
      </c>
      <c r="O1124">
        <f t="shared" si="34"/>
        <v>0.12759999999999999</v>
      </c>
      <c r="P1124">
        <f t="shared" si="35"/>
        <v>0.1041</v>
      </c>
      <c r="Q1124" t="s">
        <v>56</v>
      </c>
      <c r="R1124">
        <v>2023</v>
      </c>
      <c r="S1124" t="s">
        <v>25</v>
      </c>
    </row>
    <row r="1125" spans="1:19" x14ac:dyDescent="0.3">
      <c r="A1125" t="s">
        <v>1201</v>
      </c>
      <c r="B1125">
        <v>44770</v>
      </c>
      <c r="C1125" t="s">
        <v>1282</v>
      </c>
      <c r="D1125" t="s">
        <v>69</v>
      </c>
      <c r="E1125" t="s">
        <v>32</v>
      </c>
      <c r="F1125" t="s">
        <v>23</v>
      </c>
      <c r="G1125">
        <v>16786.238150000001</v>
      </c>
      <c r="H1125">
        <v>10901.91</v>
      </c>
      <c r="I1125">
        <v>5884.33</v>
      </c>
      <c r="J1125">
        <v>65018.8</v>
      </c>
      <c r="K1125">
        <v>59489.23</v>
      </c>
      <c r="L1125">
        <v>153177.39000000001</v>
      </c>
      <c r="M1125">
        <v>973</v>
      </c>
      <c r="N1125">
        <v>-6.1699999999999998E-2</v>
      </c>
      <c r="O1125">
        <f t="shared" si="34"/>
        <v>0.35049999999999998</v>
      </c>
      <c r="P1125">
        <f t="shared" si="35"/>
        <v>0.38840000000000002</v>
      </c>
      <c r="Q1125" t="s">
        <v>76</v>
      </c>
      <c r="R1125">
        <v>2022</v>
      </c>
      <c r="S1125" t="s">
        <v>40</v>
      </c>
    </row>
    <row r="1126" spans="1:19" x14ac:dyDescent="0.3">
      <c r="A1126" t="s">
        <v>1202</v>
      </c>
      <c r="B1126" s="4">
        <v>45262</v>
      </c>
      <c r="C1126" t="s">
        <v>48</v>
      </c>
      <c r="D1126" t="s">
        <v>49</v>
      </c>
      <c r="E1126" t="s">
        <v>22</v>
      </c>
      <c r="F1126" t="s">
        <v>23</v>
      </c>
      <c r="G1126">
        <v>70722.5</v>
      </c>
      <c r="H1126">
        <v>42834.21</v>
      </c>
      <c r="I1126">
        <v>27888.29</v>
      </c>
      <c r="J1126">
        <v>42734.07</v>
      </c>
      <c r="K1126">
        <v>130498.74</v>
      </c>
      <c r="L1126">
        <v>87922.01</v>
      </c>
      <c r="M1126">
        <v>836</v>
      </c>
      <c r="N1126">
        <v>0.1043</v>
      </c>
      <c r="O1126">
        <f t="shared" si="34"/>
        <v>0.39429999999999998</v>
      </c>
      <c r="P1126">
        <f t="shared" si="35"/>
        <v>1.4843</v>
      </c>
      <c r="Q1126" t="s">
        <v>44</v>
      </c>
      <c r="R1126">
        <v>2023</v>
      </c>
      <c r="S1126" t="s">
        <v>82</v>
      </c>
    </row>
    <row r="1127" spans="1:19" x14ac:dyDescent="0.3">
      <c r="A1127" t="s">
        <v>1203</v>
      </c>
      <c r="B1127">
        <v>45199</v>
      </c>
      <c r="C1127" t="s">
        <v>48</v>
      </c>
      <c r="D1127" t="s">
        <v>49</v>
      </c>
      <c r="E1127" t="s">
        <v>32</v>
      </c>
      <c r="F1127" t="s">
        <v>23</v>
      </c>
      <c r="G1127">
        <v>29811.002450000004</v>
      </c>
      <c r="H1127">
        <v>26928.55</v>
      </c>
      <c r="I1127">
        <v>2882.46</v>
      </c>
      <c r="J1127">
        <v>49753.54</v>
      </c>
      <c r="K1127">
        <v>5870.51</v>
      </c>
      <c r="L1127">
        <v>108542.26</v>
      </c>
      <c r="M1127">
        <v>696</v>
      </c>
      <c r="N1127">
        <v>-4.2599999999999999E-2</v>
      </c>
      <c r="O1127">
        <f t="shared" si="34"/>
        <v>9.6699999999999994E-2</v>
      </c>
      <c r="P1127">
        <f t="shared" si="35"/>
        <v>5.4100000000000002E-2</v>
      </c>
      <c r="Q1127" t="s">
        <v>56</v>
      </c>
      <c r="R1127">
        <v>2023</v>
      </c>
      <c r="S1127" t="s">
        <v>25</v>
      </c>
    </row>
    <row r="1128" spans="1:19" x14ac:dyDescent="0.3">
      <c r="A1128" t="s">
        <v>1204</v>
      </c>
      <c r="B1128">
        <v>44949</v>
      </c>
      <c r="C1128" t="s">
        <v>1282</v>
      </c>
      <c r="D1128" t="s">
        <v>69</v>
      </c>
      <c r="E1128" t="s">
        <v>38</v>
      </c>
      <c r="F1128" t="s">
        <v>23</v>
      </c>
      <c r="G1128">
        <v>804740.76</v>
      </c>
      <c r="H1128">
        <v>39889.74</v>
      </c>
      <c r="I1128">
        <v>764851.02</v>
      </c>
      <c r="J1128">
        <v>37943.01</v>
      </c>
      <c r="K1128">
        <v>215829.76000000001</v>
      </c>
      <c r="L1128">
        <v>88702.98</v>
      </c>
      <c r="M1128">
        <v>1247</v>
      </c>
      <c r="N1128">
        <v>-1.78E-2</v>
      </c>
      <c r="O1128">
        <f t="shared" si="34"/>
        <v>0.95040000000000002</v>
      </c>
      <c r="P1128">
        <f t="shared" si="35"/>
        <v>2.4331999999999998</v>
      </c>
      <c r="Q1128" t="s">
        <v>118</v>
      </c>
      <c r="R1128">
        <v>2023</v>
      </c>
      <c r="S1128" t="s">
        <v>82</v>
      </c>
    </row>
    <row r="1129" spans="1:19" x14ac:dyDescent="0.3">
      <c r="A1129" t="s">
        <v>1205</v>
      </c>
      <c r="B1129">
        <v>45774</v>
      </c>
      <c r="C1129" t="s">
        <v>85</v>
      </c>
      <c r="D1129" t="s">
        <v>86</v>
      </c>
      <c r="E1129" t="s">
        <v>38</v>
      </c>
      <c r="F1129" t="s">
        <v>23</v>
      </c>
      <c r="G1129">
        <v>88295.09</v>
      </c>
      <c r="H1129">
        <v>60267.65</v>
      </c>
      <c r="I1129">
        <v>28027.439999999999</v>
      </c>
      <c r="J1129">
        <v>88336.31</v>
      </c>
      <c r="K1129">
        <v>32226.13</v>
      </c>
      <c r="L1129">
        <v>132476.35</v>
      </c>
      <c r="M1129">
        <v>1545</v>
      </c>
      <c r="N1129">
        <v>5.62E-2</v>
      </c>
      <c r="O1129">
        <f t="shared" si="34"/>
        <v>0.31740000000000002</v>
      </c>
      <c r="P1129">
        <f t="shared" si="35"/>
        <v>0.24329999999999999</v>
      </c>
      <c r="Q1129" t="s">
        <v>34</v>
      </c>
      <c r="R1129">
        <v>2025</v>
      </c>
      <c r="S1129" t="s">
        <v>25</v>
      </c>
    </row>
    <row r="1130" spans="1:19" x14ac:dyDescent="0.3">
      <c r="A1130" t="s">
        <v>1206</v>
      </c>
      <c r="B1130">
        <v>45447</v>
      </c>
      <c r="C1130" t="s">
        <v>20</v>
      </c>
      <c r="D1130" t="s">
        <v>21</v>
      </c>
      <c r="E1130" t="s">
        <v>38</v>
      </c>
      <c r="F1130" t="s">
        <v>23</v>
      </c>
      <c r="G1130">
        <v>30858.59</v>
      </c>
      <c r="H1130">
        <v>25611.88</v>
      </c>
      <c r="I1130">
        <v>5246.71</v>
      </c>
      <c r="J1130">
        <v>14599.09</v>
      </c>
      <c r="K1130">
        <v>8429.49</v>
      </c>
      <c r="L1130">
        <v>64904.83</v>
      </c>
      <c r="M1130">
        <v>1076</v>
      </c>
      <c r="N1130">
        <v>-1.5100000000000001E-2</v>
      </c>
      <c r="O1130">
        <f t="shared" si="34"/>
        <v>0.17</v>
      </c>
      <c r="P1130">
        <f t="shared" si="35"/>
        <v>0.12989999999999999</v>
      </c>
      <c r="Q1130" t="s">
        <v>111</v>
      </c>
      <c r="R1130">
        <v>2024</v>
      </c>
      <c r="S1130" t="s">
        <v>25</v>
      </c>
    </row>
    <row r="1131" spans="1:19" x14ac:dyDescent="0.3">
      <c r="A1131" t="s">
        <v>1207</v>
      </c>
      <c r="B1131">
        <v>45522</v>
      </c>
      <c r="C1131" t="s">
        <v>78</v>
      </c>
      <c r="D1131" t="s">
        <v>79</v>
      </c>
      <c r="E1131" t="s">
        <v>22</v>
      </c>
      <c r="F1131" t="s">
        <v>23</v>
      </c>
      <c r="G1131">
        <v>51242.54</v>
      </c>
      <c r="H1131">
        <v>33342.04</v>
      </c>
      <c r="I1131">
        <v>17900.5</v>
      </c>
      <c r="J1131">
        <v>13684.93</v>
      </c>
      <c r="K1131">
        <v>19533.78</v>
      </c>
      <c r="L1131">
        <v>101073.02</v>
      </c>
      <c r="M1131">
        <v>931</v>
      </c>
      <c r="N1131">
        <v>-1.1000000000000001E-3</v>
      </c>
      <c r="O1131">
        <f t="shared" si="34"/>
        <v>0.3493</v>
      </c>
      <c r="P1131">
        <f t="shared" si="35"/>
        <v>0.1933</v>
      </c>
      <c r="Q1131" t="s">
        <v>72</v>
      </c>
      <c r="R1131">
        <v>2024</v>
      </c>
      <c r="S1131" t="s">
        <v>25</v>
      </c>
    </row>
    <row r="1132" spans="1:19" x14ac:dyDescent="0.3">
      <c r="A1132" t="s">
        <v>1208</v>
      </c>
      <c r="B1132">
        <v>45300</v>
      </c>
      <c r="C1132" t="s">
        <v>102</v>
      </c>
      <c r="D1132" t="s">
        <v>103</v>
      </c>
      <c r="E1132" t="s">
        <v>32</v>
      </c>
      <c r="F1132" t="s">
        <v>23</v>
      </c>
      <c r="G1132">
        <v>100426.56455</v>
      </c>
      <c r="H1132">
        <v>67252.47</v>
      </c>
      <c r="I1132">
        <v>33174.1</v>
      </c>
      <c r="J1132">
        <v>84905.25</v>
      </c>
      <c r="K1132">
        <v>141551.85</v>
      </c>
      <c r="L1132">
        <v>161908.5</v>
      </c>
      <c r="M1132">
        <v>996</v>
      </c>
      <c r="N1132">
        <v>-4.8500000000000001E-2</v>
      </c>
      <c r="O1132">
        <f t="shared" si="34"/>
        <v>0.33029999999999998</v>
      </c>
      <c r="P1132">
        <f t="shared" si="35"/>
        <v>0.87429999999999997</v>
      </c>
      <c r="Q1132" t="s">
        <v>80</v>
      </c>
      <c r="R1132">
        <v>2024</v>
      </c>
      <c r="S1132" t="s">
        <v>82</v>
      </c>
    </row>
    <row r="1133" spans="1:19" x14ac:dyDescent="0.3">
      <c r="A1133" t="s">
        <v>1209</v>
      </c>
      <c r="B1133">
        <v>44901</v>
      </c>
      <c r="C1133" t="s">
        <v>42</v>
      </c>
      <c r="D1133" t="s">
        <v>43</v>
      </c>
      <c r="E1133" t="s">
        <v>51</v>
      </c>
      <c r="F1133" t="s">
        <v>23</v>
      </c>
      <c r="G1133">
        <v>152613.45000000001</v>
      </c>
      <c r="H1133">
        <v>112837.56</v>
      </c>
      <c r="I1133">
        <v>39775.89</v>
      </c>
      <c r="J1133">
        <v>44900.32</v>
      </c>
      <c r="K1133">
        <v>12366.57</v>
      </c>
      <c r="L1133">
        <v>183652.34</v>
      </c>
      <c r="M1133">
        <v>1452</v>
      </c>
      <c r="N1133">
        <v>-8.2799999999999999E-2</v>
      </c>
      <c r="O1133">
        <f t="shared" si="34"/>
        <v>0.2606</v>
      </c>
      <c r="P1133">
        <f t="shared" si="35"/>
        <v>6.7299999999999999E-2</v>
      </c>
      <c r="Q1133" t="s">
        <v>46</v>
      </c>
      <c r="R1133">
        <v>2022</v>
      </c>
      <c r="S1133" t="s">
        <v>25</v>
      </c>
    </row>
    <row r="1134" spans="1:19" x14ac:dyDescent="0.3">
      <c r="A1134" t="s">
        <v>1210</v>
      </c>
      <c r="B1134">
        <v>45512</v>
      </c>
      <c r="C1134" t="s">
        <v>1282</v>
      </c>
      <c r="D1134" t="s">
        <v>69</v>
      </c>
      <c r="E1134" t="s">
        <v>32</v>
      </c>
      <c r="F1134" t="s">
        <v>23</v>
      </c>
      <c r="G1134">
        <v>74665.163750000007</v>
      </c>
      <c r="H1134">
        <v>47986.55</v>
      </c>
      <c r="I1134">
        <v>26678.61</v>
      </c>
      <c r="J1134">
        <v>12920.65</v>
      </c>
      <c r="K1134">
        <v>26818.57</v>
      </c>
      <c r="L1134">
        <v>51937.74</v>
      </c>
      <c r="M1134">
        <v>475</v>
      </c>
      <c r="N1134">
        <v>-4.8000000000000001E-2</v>
      </c>
      <c r="O1134">
        <f t="shared" si="34"/>
        <v>0.35730000000000001</v>
      </c>
      <c r="P1134">
        <f t="shared" si="35"/>
        <v>0.51639999999999997</v>
      </c>
      <c r="Q1134" t="s">
        <v>72</v>
      </c>
      <c r="R1134">
        <v>2024</v>
      </c>
      <c r="S1134" t="s">
        <v>40</v>
      </c>
    </row>
    <row r="1135" spans="1:19" x14ac:dyDescent="0.3">
      <c r="A1135" t="s">
        <v>1211</v>
      </c>
      <c r="B1135">
        <v>45560</v>
      </c>
      <c r="C1135" t="s">
        <v>54</v>
      </c>
      <c r="D1135" t="s">
        <v>55</v>
      </c>
      <c r="E1135" t="s">
        <v>32</v>
      </c>
      <c r="F1135" t="s">
        <v>23</v>
      </c>
      <c r="G1135">
        <v>143529.67734999998</v>
      </c>
      <c r="H1135">
        <v>97088.15</v>
      </c>
      <c r="I1135">
        <v>46441.53</v>
      </c>
      <c r="J1135">
        <v>45865.45</v>
      </c>
      <c r="K1135">
        <v>65999.039999999994</v>
      </c>
      <c r="L1135">
        <v>110173.16</v>
      </c>
      <c r="M1135">
        <v>1078</v>
      </c>
      <c r="N1135">
        <v>-6.7999999999999996E-3</v>
      </c>
      <c r="O1135">
        <f t="shared" si="34"/>
        <v>0.3236</v>
      </c>
      <c r="P1135">
        <f t="shared" si="35"/>
        <v>0.59899999999999998</v>
      </c>
      <c r="Q1135" t="s">
        <v>72</v>
      </c>
      <c r="R1135">
        <v>2024</v>
      </c>
      <c r="S1135" t="s">
        <v>40</v>
      </c>
    </row>
    <row r="1136" spans="1:19" x14ac:dyDescent="0.3">
      <c r="A1136" t="s">
        <v>1212</v>
      </c>
      <c r="B1136">
        <v>44911</v>
      </c>
      <c r="C1136" t="s">
        <v>36</v>
      </c>
      <c r="D1136" t="s">
        <v>37</v>
      </c>
      <c r="E1136" t="s">
        <v>38</v>
      </c>
      <c r="F1136" t="s">
        <v>23</v>
      </c>
      <c r="G1136">
        <v>35247.879999999997</v>
      </c>
      <c r="H1136">
        <v>23701.41</v>
      </c>
      <c r="I1136">
        <v>11546.47</v>
      </c>
      <c r="J1136">
        <v>19482.43</v>
      </c>
      <c r="K1136">
        <v>24381.56</v>
      </c>
      <c r="L1136">
        <v>96462.48</v>
      </c>
      <c r="M1136">
        <v>365</v>
      </c>
      <c r="N1136">
        <v>0.1116</v>
      </c>
      <c r="O1136">
        <f t="shared" si="34"/>
        <v>0.3276</v>
      </c>
      <c r="P1136">
        <f t="shared" si="35"/>
        <v>0.25280000000000002</v>
      </c>
      <c r="Q1136" t="s">
        <v>46</v>
      </c>
      <c r="R1136">
        <v>2022</v>
      </c>
      <c r="S1136" t="s">
        <v>25</v>
      </c>
    </row>
    <row r="1137" spans="1:19" x14ac:dyDescent="0.3">
      <c r="A1137" t="s">
        <v>1213</v>
      </c>
      <c r="B1137">
        <v>44806</v>
      </c>
      <c r="C1137" t="s">
        <v>42</v>
      </c>
      <c r="D1137" t="s">
        <v>43</v>
      </c>
      <c r="E1137" t="s">
        <v>32</v>
      </c>
      <c r="F1137" t="s">
        <v>23</v>
      </c>
      <c r="G1137">
        <v>180453.93505</v>
      </c>
      <c r="H1137">
        <v>102553.68</v>
      </c>
      <c r="I1137">
        <v>77900.259999999995</v>
      </c>
      <c r="J1137">
        <v>41075.040000000001</v>
      </c>
      <c r="K1137">
        <v>39795.46</v>
      </c>
      <c r="L1137">
        <v>161666.31</v>
      </c>
      <c r="M1137">
        <v>1776</v>
      </c>
      <c r="N1137">
        <v>0.1154</v>
      </c>
      <c r="O1137">
        <f t="shared" si="34"/>
        <v>0.43169999999999997</v>
      </c>
      <c r="P1137">
        <f t="shared" si="35"/>
        <v>0.2462</v>
      </c>
      <c r="Q1137" t="s">
        <v>76</v>
      </c>
      <c r="R1137">
        <v>2022</v>
      </c>
      <c r="S1137" t="s">
        <v>25</v>
      </c>
    </row>
    <row r="1138" spans="1:19" x14ac:dyDescent="0.3">
      <c r="A1138" t="s">
        <v>1214</v>
      </c>
      <c r="B1138">
        <v>44854</v>
      </c>
      <c r="C1138" t="s">
        <v>85</v>
      </c>
      <c r="D1138" t="s">
        <v>86</v>
      </c>
      <c r="E1138" t="s">
        <v>38</v>
      </c>
      <c r="F1138" t="s">
        <v>23</v>
      </c>
      <c r="G1138">
        <v>48496.05</v>
      </c>
      <c r="H1138">
        <v>35106.660000000003</v>
      </c>
      <c r="I1138">
        <v>13389.39</v>
      </c>
      <c r="J1138">
        <v>65106.85</v>
      </c>
      <c r="K1138">
        <v>50254.91</v>
      </c>
      <c r="L1138">
        <v>74051.839999999997</v>
      </c>
      <c r="M1138">
        <v>1388</v>
      </c>
      <c r="N1138">
        <v>-9.6299999999999997E-2</v>
      </c>
      <c r="O1138">
        <f t="shared" si="34"/>
        <v>0.27610000000000001</v>
      </c>
      <c r="P1138">
        <f t="shared" si="35"/>
        <v>0.67859999999999998</v>
      </c>
      <c r="Q1138" t="s">
        <v>46</v>
      </c>
      <c r="R1138">
        <v>2022</v>
      </c>
      <c r="S1138" t="s">
        <v>82</v>
      </c>
    </row>
    <row r="1139" spans="1:19" x14ac:dyDescent="0.3">
      <c r="A1139" t="s">
        <v>1215</v>
      </c>
      <c r="B1139">
        <v>45084</v>
      </c>
      <c r="C1139" t="s">
        <v>27</v>
      </c>
      <c r="D1139" t="s">
        <v>28</v>
      </c>
      <c r="E1139" t="s">
        <v>22</v>
      </c>
      <c r="F1139" t="s">
        <v>23</v>
      </c>
      <c r="G1139">
        <v>140903.28</v>
      </c>
      <c r="H1139">
        <v>97438.23</v>
      </c>
      <c r="I1139">
        <v>43465.05</v>
      </c>
      <c r="J1139">
        <v>18602.59</v>
      </c>
      <c r="K1139">
        <v>107320.36</v>
      </c>
      <c r="L1139">
        <v>49326.73</v>
      </c>
      <c r="M1139">
        <v>1204</v>
      </c>
      <c r="N1139">
        <v>9.35E-2</v>
      </c>
      <c r="O1139">
        <f t="shared" si="34"/>
        <v>0.3085</v>
      </c>
      <c r="P1139">
        <f t="shared" si="35"/>
        <v>2.1757</v>
      </c>
      <c r="Q1139" t="s">
        <v>39</v>
      </c>
      <c r="R1139">
        <v>2023</v>
      </c>
      <c r="S1139" t="s">
        <v>82</v>
      </c>
    </row>
    <row r="1140" spans="1:19" x14ac:dyDescent="0.3">
      <c r="A1140" t="s">
        <v>1216</v>
      </c>
      <c r="B1140">
        <v>44930</v>
      </c>
      <c r="C1140" t="s">
        <v>61</v>
      </c>
      <c r="D1140" t="s">
        <v>74</v>
      </c>
      <c r="E1140" t="s">
        <v>38</v>
      </c>
      <c r="F1140" t="s">
        <v>23</v>
      </c>
      <c r="G1140">
        <v>37449.660000000003</v>
      </c>
      <c r="H1140">
        <v>34000.85</v>
      </c>
      <c r="I1140">
        <v>3448.81</v>
      </c>
      <c r="J1140">
        <v>38516.9</v>
      </c>
      <c r="K1140">
        <v>25663.96</v>
      </c>
      <c r="L1140">
        <v>100540.84</v>
      </c>
      <c r="M1140">
        <v>1001</v>
      </c>
      <c r="N1140">
        <v>-6.2600000000000003E-2</v>
      </c>
      <c r="O1140">
        <f t="shared" si="34"/>
        <v>9.2100000000000001E-2</v>
      </c>
      <c r="P1140">
        <f t="shared" si="35"/>
        <v>0.25530000000000003</v>
      </c>
      <c r="Q1140" t="s">
        <v>118</v>
      </c>
      <c r="R1140">
        <v>2023</v>
      </c>
      <c r="S1140" t="s">
        <v>25</v>
      </c>
    </row>
    <row r="1141" spans="1:19" x14ac:dyDescent="0.3">
      <c r="A1141" t="s">
        <v>1217</v>
      </c>
      <c r="B1141">
        <v>45740</v>
      </c>
      <c r="C1141" t="s">
        <v>78</v>
      </c>
      <c r="D1141" t="s">
        <v>79</v>
      </c>
      <c r="E1141" t="s">
        <v>32</v>
      </c>
      <c r="F1141" t="s">
        <v>23</v>
      </c>
      <c r="G1141">
        <v>47439.422449999998</v>
      </c>
      <c r="H1141">
        <v>28906.14</v>
      </c>
      <c r="I1141">
        <v>18533.28</v>
      </c>
      <c r="J1141">
        <v>41946.98</v>
      </c>
      <c r="K1141">
        <v>26002.29</v>
      </c>
      <c r="L1141">
        <v>81307.740000000005</v>
      </c>
      <c r="M1141">
        <v>981</v>
      </c>
      <c r="N1141">
        <v>-3.7100000000000001E-2</v>
      </c>
      <c r="O1141">
        <f t="shared" si="34"/>
        <v>0.39069999999999999</v>
      </c>
      <c r="P1141">
        <f t="shared" si="35"/>
        <v>0.31979999999999997</v>
      </c>
      <c r="Q1141" t="s">
        <v>106</v>
      </c>
      <c r="R1141">
        <v>2025</v>
      </c>
      <c r="S1141" t="s">
        <v>40</v>
      </c>
    </row>
    <row r="1142" spans="1:19" x14ac:dyDescent="0.3">
      <c r="A1142" t="s">
        <v>1218</v>
      </c>
      <c r="B1142">
        <v>45854</v>
      </c>
      <c r="C1142" t="s">
        <v>102</v>
      </c>
      <c r="D1142" t="s">
        <v>103</v>
      </c>
      <c r="E1142" t="s">
        <v>32</v>
      </c>
      <c r="F1142" t="s">
        <v>23</v>
      </c>
      <c r="G1142">
        <v>125972.5336</v>
      </c>
      <c r="H1142">
        <v>99054.56</v>
      </c>
      <c r="I1142">
        <v>26917.98</v>
      </c>
      <c r="J1142">
        <v>48311.16</v>
      </c>
      <c r="K1142">
        <v>11215.3</v>
      </c>
      <c r="L1142">
        <v>64662.01</v>
      </c>
      <c r="M1142">
        <v>695</v>
      </c>
      <c r="N1142">
        <v>0.14510000000000001</v>
      </c>
      <c r="O1142">
        <f t="shared" si="34"/>
        <v>0.2137</v>
      </c>
      <c r="P1142">
        <f t="shared" si="35"/>
        <v>0.1734</v>
      </c>
      <c r="Q1142" t="s">
        <v>24</v>
      </c>
      <c r="R1142">
        <v>2025</v>
      </c>
      <c r="S1142" t="s">
        <v>25</v>
      </c>
    </row>
    <row r="1143" spans="1:19" x14ac:dyDescent="0.3">
      <c r="A1143" t="s">
        <v>1219</v>
      </c>
      <c r="B1143">
        <v>44594</v>
      </c>
      <c r="C1143" t="s">
        <v>20</v>
      </c>
      <c r="D1143" t="s">
        <v>21</v>
      </c>
      <c r="E1143" t="s">
        <v>22</v>
      </c>
      <c r="F1143" t="s">
        <v>23</v>
      </c>
      <c r="G1143">
        <v>64509.13</v>
      </c>
      <c r="H1143">
        <v>46716.31</v>
      </c>
      <c r="I1143">
        <v>17792.82</v>
      </c>
      <c r="J1143">
        <v>9438.19</v>
      </c>
      <c r="K1143">
        <v>68880.350000000006</v>
      </c>
      <c r="L1143">
        <v>53499.839999999997</v>
      </c>
      <c r="M1143">
        <v>2412</v>
      </c>
      <c r="N1143">
        <v>-6.7599999999999993E-2</v>
      </c>
      <c r="O1143">
        <f t="shared" si="34"/>
        <v>0.27579999999999999</v>
      </c>
      <c r="P1143">
        <f t="shared" si="35"/>
        <v>1.2875000000000001</v>
      </c>
      <c r="Q1143" t="s">
        <v>90</v>
      </c>
      <c r="R1143">
        <v>2022</v>
      </c>
      <c r="S1143" t="s">
        <v>82</v>
      </c>
    </row>
    <row r="1144" spans="1:19" x14ac:dyDescent="0.3">
      <c r="A1144" t="s">
        <v>1220</v>
      </c>
      <c r="B1144">
        <v>45351</v>
      </c>
      <c r="C1144" t="s">
        <v>48</v>
      </c>
      <c r="D1144" t="s">
        <v>49</v>
      </c>
      <c r="E1144" t="s">
        <v>51</v>
      </c>
      <c r="F1144" t="s">
        <v>23</v>
      </c>
      <c r="G1144">
        <v>59455.7</v>
      </c>
      <c r="H1144">
        <v>33470.199999999997</v>
      </c>
      <c r="I1144">
        <v>25985.5</v>
      </c>
      <c r="J1144">
        <v>47975.3</v>
      </c>
      <c r="K1144">
        <v>13202.01</v>
      </c>
      <c r="L1144">
        <v>77102.14</v>
      </c>
      <c r="M1144">
        <v>1006</v>
      </c>
      <c r="N1144">
        <v>6.2300000000000001E-2</v>
      </c>
      <c r="O1144">
        <f t="shared" si="34"/>
        <v>0.43709999999999999</v>
      </c>
      <c r="P1144">
        <f t="shared" si="35"/>
        <v>0.17119999999999999</v>
      </c>
      <c r="Q1144" t="s">
        <v>80</v>
      </c>
      <c r="R1144">
        <v>2024</v>
      </c>
      <c r="S1144" t="s">
        <v>25</v>
      </c>
    </row>
    <row r="1145" spans="1:19" x14ac:dyDescent="0.3">
      <c r="A1145" t="s">
        <v>1222</v>
      </c>
      <c r="B1145">
        <v>44582</v>
      </c>
      <c r="C1145" t="s">
        <v>85</v>
      </c>
      <c r="D1145" t="s">
        <v>86</v>
      </c>
      <c r="E1145" t="s">
        <v>22</v>
      </c>
      <c r="F1145" t="s">
        <v>23</v>
      </c>
      <c r="G1145">
        <v>94345.87</v>
      </c>
      <c r="H1145">
        <v>77562.039999999994</v>
      </c>
      <c r="I1145">
        <v>16783.830000000002</v>
      </c>
      <c r="J1145">
        <v>15927.17</v>
      </c>
      <c r="K1145">
        <v>16220.4</v>
      </c>
      <c r="L1145">
        <v>44384.76</v>
      </c>
      <c r="M1145">
        <v>657</v>
      </c>
      <c r="N1145">
        <v>-8.5500000000000007E-2</v>
      </c>
      <c r="O1145">
        <f t="shared" si="34"/>
        <v>0.1779</v>
      </c>
      <c r="P1145">
        <f t="shared" si="35"/>
        <v>0.3654</v>
      </c>
      <c r="Q1145" t="s">
        <v>90</v>
      </c>
      <c r="R1145">
        <v>2022</v>
      </c>
      <c r="S1145" t="s">
        <v>40</v>
      </c>
    </row>
    <row r="1146" spans="1:19" x14ac:dyDescent="0.3">
      <c r="A1146" t="s">
        <v>1223</v>
      </c>
      <c r="B1146">
        <v>45366</v>
      </c>
      <c r="C1146" t="s">
        <v>48</v>
      </c>
      <c r="D1146" t="s">
        <v>49</v>
      </c>
      <c r="E1146" t="s">
        <v>32</v>
      </c>
      <c r="F1146" t="s">
        <v>23</v>
      </c>
      <c r="G1146">
        <v>79940.155849999996</v>
      </c>
      <c r="H1146">
        <v>44820.65</v>
      </c>
      <c r="I1146">
        <v>35119.51</v>
      </c>
      <c r="J1146">
        <v>125397.17</v>
      </c>
      <c r="K1146">
        <v>32406.41</v>
      </c>
      <c r="L1146">
        <v>165097.39000000001</v>
      </c>
      <c r="M1146">
        <v>595</v>
      </c>
      <c r="N1146">
        <v>6.2600000000000003E-2</v>
      </c>
      <c r="O1146">
        <f t="shared" si="34"/>
        <v>0.43930000000000002</v>
      </c>
      <c r="P1146">
        <f t="shared" si="35"/>
        <v>0.1963</v>
      </c>
      <c r="Q1146" t="s">
        <v>80</v>
      </c>
      <c r="R1146">
        <v>2024</v>
      </c>
      <c r="S1146" t="s">
        <v>25</v>
      </c>
    </row>
    <row r="1147" spans="1:19" x14ac:dyDescent="0.3">
      <c r="A1147" t="s">
        <v>1224</v>
      </c>
      <c r="B1147">
        <v>45816</v>
      </c>
      <c r="C1147" t="s">
        <v>78</v>
      </c>
      <c r="D1147" t="s">
        <v>79</v>
      </c>
      <c r="E1147" t="s">
        <v>22</v>
      </c>
      <c r="F1147" t="s">
        <v>23</v>
      </c>
      <c r="G1147">
        <v>103762.38</v>
      </c>
      <c r="H1147">
        <v>94579.86</v>
      </c>
      <c r="I1147">
        <v>9182.52</v>
      </c>
      <c r="J1147">
        <v>108269.7</v>
      </c>
      <c r="K1147">
        <v>14875.28</v>
      </c>
      <c r="L1147">
        <v>149651.37</v>
      </c>
      <c r="M1147">
        <v>694</v>
      </c>
      <c r="N1147">
        <v>2.9000000000000001E-2</v>
      </c>
      <c r="O1147">
        <f t="shared" si="34"/>
        <v>8.8499999999999995E-2</v>
      </c>
      <c r="P1147">
        <f t="shared" si="35"/>
        <v>9.9400000000000002E-2</v>
      </c>
      <c r="Q1147" t="s">
        <v>34</v>
      </c>
      <c r="R1147">
        <v>2025</v>
      </c>
      <c r="S1147" t="s">
        <v>25</v>
      </c>
    </row>
    <row r="1148" spans="1:19" x14ac:dyDescent="0.3">
      <c r="A1148" t="s">
        <v>1225</v>
      </c>
      <c r="B1148">
        <v>45053</v>
      </c>
      <c r="C1148" t="s">
        <v>102</v>
      </c>
      <c r="D1148" t="s">
        <v>103</v>
      </c>
      <c r="E1148" t="s">
        <v>32</v>
      </c>
      <c r="F1148" t="s">
        <v>23</v>
      </c>
      <c r="G1148">
        <v>57877.998149999999</v>
      </c>
      <c r="H1148">
        <v>41577.769999999997</v>
      </c>
      <c r="I1148">
        <v>16300.23</v>
      </c>
      <c r="J1148">
        <v>20803.71</v>
      </c>
      <c r="K1148">
        <v>14053.79</v>
      </c>
      <c r="L1148">
        <v>59260.639999999999</v>
      </c>
      <c r="M1148">
        <v>1711</v>
      </c>
      <c r="N1148">
        <v>2.4400000000000002E-2</v>
      </c>
      <c r="O1148">
        <f t="shared" si="34"/>
        <v>0.28160000000000002</v>
      </c>
      <c r="P1148">
        <f t="shared" si="35"/>
        <v>0.23719999999999999</v>
      </c>
      <c r="Q1148" t="s">
        <v>39</v>
      </c>
      <c r="R1148">
        <v>2023</v>
      </c>
      <c r="S1148" t="s">
        <v>25</v>
      </c>
    </row>
    <row r="1149" spans="1:19" x14ac:dyDescent="0.3">
      <c r="A1149" t="s">
        <v>1226</v>
      </c>
      <c r="B1149">
        <v>44728</v>
      </c>
      <c r="C1149" t="s">
        <v>30</v>
      </c>
      <c r="D1149" t="s">
        <v>31</v>
      </c>
      <c r="E1149" t="s">
        <v>22</v>
      </c>
      <c r="F1149" t="s">
        <v>23</v>
      </c>
      <c r="G1149">
        <v>158933.22</v>
      </c>
      <c r="H1149">
        <v>113631.59</v>
      </c>
      <c r="I1149">
        <v>45301.63</v>
      </c>
      <c r="J1149">
        <v>81696.91</v>
      </c>
      <c r="K1149">
        <v>59941.38</v>
      </c>
      <c r="L1149">
        <v>124185.13</v>
      </c>
      <c r="M1149">
        <v>633</v>
      </c>
      <c r="N1149">
        <v>9.4100000000000003E-2</v>
      </c>
      <c r="O1149">
        <f t="shared" si="34"/>
        <v>0.28499999999999998</v>
      </c>
      <c r="P1149">
        <f t="shared" si="35"/>
        <v>0.48270000000000002</v>
      </c>
      <c r="Q1149" t="s">
        <v>58</v>
      </c>
      <c r="R1149">
        <v>2022</v>
      </c>
      <c r="S1149" t="s">
        <v>40</v>
      </c>
    </row>
    <row r="1150" spans="1:19" x14ac:dyDescent="0.3">
      <c r="A1150" t="s">
        <v>1227</v>
      </c>
      <c r="B1150">
        <v>44689</v>
      </c>
      <c r="C1150" t="s">
        <v>48</v>
      </c>
      <c r="D1150" t="s">
        <v>49</v>
      </c>
      <c r="E1150" t="s">
        <v>38</v>
      </c>
      <c r="F1150" t="s">
        <v>23</v>
      </c>
      <c r="G1150">
        <v>19103.560000000001</v>
      </c>
      <c r="H1150">
        <v>16609.060000000001</v>
      </c>
      <c r="I1150">
        <v>2494.5</v>
      </c>
      <c r="J1150">
        <v>66547.56</v>
      </c>
      <c r="K1150">
        <v>73807.240000000005</v>
      </c>
      <c r="L1150">
        <v>185152.33</v>
      </c>
      <c r="M1150">
        <v>721</v>
      </c>
      <c r="N1150">
        <v>-3.3599999999999998E-2</v>
      </c>
      <c r="O1150">
        <f t="shared" si="34"/>
        <v>0.13059999999999999</v>
      </c>
      <c r="P1150">
        <f t="shared" si="35"/>
        <v>0.39860000000000001</v>
      </c>
      <c r="Q1150" t="s">
        <v>58</v>
      </c>
      <c r="R1150">
        <v>2022</v>
      </c>
      <c r="S1150" t="s">
        <v>40</v>
      </c>
    </row>
    <row r="1151" spans="1:19" x14ac:dyDescent="0.3">
      <c r="A1151" t="s">
        <v>1228</v>
      </c>
      <c r="B1151">
        <v>45144</v>
      </c>
      <c r="C1151" t="s">
        <v>30</v>
      </c>
      <c r="D1151" t="s">
        <v>31</v>
      </c>
      <c r="E1151" t="s">
        <v>22</v>
      </c>
      <c r="F1151" t="s">
        <v>23</v>
      </c>
      <c r="G1151">
        <v>59753.63</v>
      </c>
      <c r="H1151">
        <v>41127.75</v>
      </c>
      <c r="I1151">
        <v>18625.88</v>
      </c>
      <c r="J1151">
        <v>46199.63</v>
      </c>
      <c r="K1151">
        <v>35902.120000000003</v>
      </c>
      <c r="L1151">
        <v>178735.3</v>
      </c>
      <c r="M1151">
        <v>631</v>
      </c>
      <c r="N1151">
        <v>6.1699999999999998E-2</v>
      </c>
      <c r="O1151">
        <f t="shared" si="34"/>
        <v>0.31169999999999998</v>
      </c>
      <c r="P1151">
        <f t="shared" si="35"/>
        <v>0.2009</v>
      </c>
      <c r="Q1151" t="s">
        <v>56</v>
      </c>
      <c r="R1151">
        <v>2023</v>
      </c>
      <c r="S1151" t="s">
        <v>25</v>
      </c>
    </row>
    <row r="1152" spans="1:19" x14ac:dyDescent="0.3">
      <c r="A1152" t="s">
        <v>1229</v>
      </c>
      <c r="B1152">
        <v>45563</v>
      </c>
      <c r="C1152" t="s">
        <v>36</v>
      </c>
      <c r="D1152" t="s">
        <v>37</v>
      </c>
      <c r="E1152" t="s">
        <v>32</v>
      </c>
      <c r="F1152" t="s">
        <v>23</v>
      </c>
      <c r="G1152">
        <v>202816.9186</v>
      </c>
      <c r="H1152">
        <v>165741.5</v>
      </c>
      <c r="I1152">
        <v>37075.42</v>
      </c>
      <c r="J1152">
        <v>39369.97</v>
      </c>
      <c r="K1152">
        <v>13264.86</v>
      </c>
      <c r="L1152">
        <v>128307.5</v>
      </c>
      <c r="M1152">
        <v>883</v>
      </c>
      <c r="N1152">
        <v>-7.4800000000000005E-2</v>
      </c>
      <c r="O1152">
        <f t="shared" si="34"/>
        <v>0.18279999999999999</v>
      </c>
      <c r="P1152">
        <f t="shared" si="35"/>
        <v>0.10340000000000001</v>
      </c>
      <c r="Q1152" t="s">
        <v>72</v>
      </c>
      <c r="R1152">
        <v>2024</v>
      </c>
      <c r="S1152" t="s">
        <v>25</v>
      </c>
    </row>
    <row r="1153" spans="1:19" x14ac:dyDescent="0.3">
      <c r="A1153" t="s">
        <v>1230</v>
      </c>
      <c r="B1153">
        <v>44635</v>
      </c>
      <c r="C1153" t="s">
        <v>54</v>
      </c>
      <c r="D1153" t="s">
        <v>55</v>
      </c>
      <c r="E1153" t="s">
        <v>22</v>
      </c>
      <c r="F1153" t="s">
        <v>23</v>
      </c>
      <c r="G1153">
        <v>107707.69</v>
      </c>
      <c r="H1153">
        <v>88840.25</v>
      </c>
      <c r="I1153">
        <v>18867.439999999999</v>
      </c>
      <c r="J1153">
        <v>21470.77</v>
      </c>
      <c r="K1153">
        <v>16072.68</v>
      </c>
      <c r="L1153">
        <v>79842.95</v>
      </c>
      <c r="M1153">
        <v>468</v>
      </c>
      <c r="N1153">
        <v>0.13750000000000001</v>
      </c>
      <c r="O1153">
        <f t="shared" si="34"/>
        <v>0.17519999999999999</v>
      </c>
      <c r="P1153">
        <f t="shared" si="35"/>
        <v>0.20130000000000001</v>
      </c>
      <c r="Q1153" t="s">
        <v>90</v>
      </c>
      <c r="R1153">
        <v>2022</v>
      </c>
      <c r="S1153" t="s">
        <v>25</v>
      </c>
    </row>
    <row r="1154" spans="1:19" x14ac:dyDescent="0.3">
      <c r="A1154" t="s">
        <v>1231</v>
      </c>
      <c r="B1154">
        <v>44976</v>
      </c>
      <c r="C1154" t="s">
        <v>20</v>
      </c>
      <c r="D1154" t="s">
        <v>21</v>
      </c>
      <c r="E1154" t="s">
        <v>22</v>
      </c>
      <c r="F1154" t="s">
        <v>23</v>
      </c>
      <c r="G1154">
        <v>42129.46</v>
      </c>
      <c r="H1154">
        <v>36222.800000000003</v>
      </c>
      <c r="I1154">
        <v>5906.66</v>
      </c>
      <c r="J1154">
        <v>34054.93</v>
      </c>
      <c r="K1154">
        <v>10765.02</v>
      </c>
      <c r="L1154">
        <v>114575.94</v>
      </c>
      <c r="M1154">
        <v>1964</v>
      </c>
      <c r="N1154">
        <v>1.41E-2</v>
      </c>
      <c r="O1154">
        <f t="shared" si="34"/>
        <v>0.14019999999999999</v>
      </c>
      <c r="P1154">
        <f t="shared" si="35"/>
        <v>9.4E-2</v>
      </c>
      <c r="Q1154" t="s">
        <v>118</v>
      </c>
      <c r="R1154">
        <v>2023</v>
      </c>
      <c r="S1154" t="s">
        <v>25</v>
      </c>
    </row>
    <row r="1155" spans="1:19" x14ac:dyDescent="0.3">
      <c r="A1155" t="s">
        <v>1232</v>
      </c>
      <c r="B1155">
        <v>45907</v>
      </c>
      <c r="C1155" t="s">
        <v>61</v>
      </c>
      <c r="D1155" t="s">
        <v>74</v>
      </c>
      <c r="E1155" t="s">
        <v>22</v>
      </c>
      <c r="F1155" t="s">
        <v>23</v>
      </c>
      <c r="G1155">
        <v>52479.199999999997</v>
      </c>
      <c r="H1155">
        <v>39729.78</v>
      </c>
      <c r="I1155">
        <v>12749.42</v>
      </c>
      <c r="J1155">
        <v>13002.03</v>
      </c>
      <c r="K1155">
        <v>28455.1</v>
      </c>
      <c r="L1155">
        <v>74144.75</v>
      </c>
      <c r="M1155">
        <v>946</v>
      </c>
      <c r="N1155">
        <v>6.4600000000000005E-2</v>
      </c>
      <c r="O1155">
        <f t="shared" ref="O1155:O1201" si="36">(ROUND(I1155/G1155,4))</f>
        <v>0.2429</v>
      </c>
      <c r="P1155">
        <f t="shared" ref="P1155:P1201" si="37">ROUND(K1155/L1155,4)</f>
        <v>0.38379999999999997</v>
      </c>
      <c r="Q1155" t="s">
        <v>24</v>
      </c>
      <c r="R1155">
        <v>2025</v>
      </c>
      <c r="S1155" t="s">
        <v>40</v>
      </c>
    </row>
    <row r="1156" spans="1:19" x14ac:dyDescent="0.3">
      <c r="A1156" t="s">
        <v>1233</v>
      </c>
      <c r="B1156">
        <v>45270</v>
      </c>
      <c r="C1156" t="s">
        <v>102</v>
      </c>
      <c r="D1156" t="s">
        <v>103</v>
      </c>
      <c r="E1156" t="s">
        <v>51</v>
      </c>
      <c r="F1156" t="s">
        <v>23</v>
      </c>
      <c r="G1156" t="s">
        <v>1281</v>
      </c>
      <c r="H1156">
        <v>94151.09</v>
      </c>
      <c r="I1156" t="s">
        <v>1281</v>
      </c>
      <c r="J1156">
        <v>75687.570000000007</v>
      </c>
      <c r="K1156">
        <v>9029.56</v>
      </c>
      <c r="L1156">
        <v>133251.1</v>
      </c>
      <c r="M1156">
        <v>792</v>
      </c>
      <c r="N1156">
        <v>4.2500000000000003E-2</v>
      </c>
      <c r="O1156" t="s">
        <v>1281</v>
      </c>
      <c r="P1156">
        <f t="shared" si="37"/>
        <v>6.7799999999999999E-2</v>
      </c>
      <c r="Q1156" t="s">
        <v>44</v>
      </c>
      <c r="R1156">
        <v>2023</v>
      </c>
      <c r="S1156" t="s">
        <v>25</v>
      </c>
    </row>
    <row r="1157" spans="1:19" x14ac:dyDescent="0.3">
      <c r="A1157" t="s">
        <v>1234</v>
      </c>
      <c r="B1157">
        <v>45528</v>
      </c>
      <c r="C1157" t="s">
        <v>102</v>
      </c>
      <c r="D1157" t="s">
        <v>103</v>
      </c>
      <c r="E1157" t="s">
        <v>38</v>
      </c>
      <c r="F1157" t="s">
        <v>23</v>
      </c>
      <c r="G1157">
        <v>54907.96</v>
      </c>
      <c r="H1157">
        <v>30774.01</v>
      </c>
      <c r="I1157">
        <v>24133.95</v>
      </c>
      <c r="J1157">
        <v>15040.24</v>
      </c>
      <c r="K1157">
        <v>22829.97</v>
      </c>
      <c r="L1157">
        <v>65507.07</v>
      </c>
      <c r="M1157">
        <v>964</v>
      </c>
      <c r="N1157">
        <v>-2.3800000000000002E-2</v>
      </c>
      <c r="O1157">
        <f t="shared" si="36"/>
        <v>0.4395</v>
      </c>
      <c r="P1157">
        <f t="shared" si="37"/>
        <v>0.34849999999999998</v>
      </c>
      <c r="Q1157" t="s">
        <v>72</v>
      </c>
      <c r="R1157">
        <v>2024</v>
      </c>
      <c r="S1157" t="s">
        <v>40</v>
      </c>
    </row>
    <row r="1158" spans="1:19" x14ac:dyDescent="0.3">
      <c r="A1158" t="s">
        <v>1235</v>
      </c>
      <c r="B1158" s="4">
        <v>45215</v>
      </c>
      <c r="C1158" t="s">
        <v>48</v>
      </c>
      <c r="D1158" t="s">
        <v>49</v>
      </c>
      <c r="E1158" t="s">
        <v>22</v>
      </c>
      <c r="F1158" t="s">
        <v>23</v>
      </c>
      <c r="G1158">
        <v>60428.15</v>
      </c>
      <c r="H1158">
        <v>40510.699999999997</v>
      </c>
      <c r="I1158">
        <v>19917.45</v>
      </c>
      <c r="J1158">
        <v>42979.85</v>
      </c>
      <c r="K1158">
        <v>35851.26</v>
      </c>
      <c r="L1158">
        <v>70430.77</v>
      </c>
      <c r="M1158">
        <v>2062</v>
      </c>
      <c r="N1158">
        <v>-8.8099999999999998E-2</v>
      </c>
      <c r="O1158">
        <f t="shared" si="36"/>
        <v>0.3296</v>
      </c>
      <c r="P1158">
        <f t="shared" si="37"/>
        <v>0.50900000000000001</v>
      </c>
      <c r="Q1158" t="s">
        <v>44</v>
      </c>
      <c r="R1158">
        <v>2023</v>
      </c>
      <c r="S1158" t="s">
        <v>40</v>
      </c>
    </row>
    <row r="1159" spans="1:19" x14ac:dyDescent="0.3">
      <c r="A1159" t="s">
        <v>1236</v>
      </c>
      <c r="B1159">
        <v>45085</v>
      </c>
      <c r="C1159" t="s">
        <v>36</v>
      </c>
      <c r="D1159" t="s">
        <v>37</v>
      </c>
      <c r="E1159" t="s">
        <v>38</v>
      </c>
      <c r="F1159" t="s">
        <v>23</v>
      </c>
      <c r="G1159">
        <v>500244.24</v>
      </c>
      <c r="H1159">
        <v>25420.22</v>
      </c>
      <c r="I1159">
        <v>474824.02</v>
      </c>
      <c r="J1159">
        <v>15279.93</v>
      </c>
      <c r="K1159">
        <v>279913.68</v>
      </c>
      <c r="L1159">
        <v>165366.53</v>
      </c>
      <c r="M1159">
        <v>1521</v>
      </c>
      <c r="N1159">
        <v>4.1000000000000002E-2</v>
      </c>
      <c r="O1159">
        <f t="shared" si="36"/>
        <v>0.94920000000000004</v>
      </c>
      <c r="P1159">
        <f t="shared" si="37"/>
        <v>1.6927000000000001</v>
      </c>
      <c r="Q1159" t="s">
        <v>39</v>
      </c>
      <c r="R1159">
        <v>2023</v>
      </c>
      <c r="S1159" t="s">
        <v>82</v>
      </c>
    </row>
    <row r="1160" spans="1:19" x14ac:dyDescent="0.3">
      <c r="A1160" t="s">
        <v>1237</v>
      </c>
      <c r="B1160">
        <v>45059</v>
      </c>
      <c r="C1160" t="s">
        <v>85</v>
      </c>
      <c r="D1160" t="s">
        <v>86</v>
      </c>
      <c r="E1160" t="s">
        <v>32</v>
      </c>
      <c r="F1160" t="s">
        <v>23</v>
      </c>
      <c r="G1160">
        <v>126699.55135000001</v>
      </c>
      <c r="H1160">
        <v>98473.76</v>
      </c>
      <c r="I1160">
        <v>28225.8</v>
      </c>
      <c r="J1160">
        <v>21102</v>
      </c>
      <c r="K1160">
        <v>21645.37</v>
      </c>
      <c r="L1160">
        <v>73243.06</v>
      </c>
      <c r="M1160">
        <v>1028</v>
      </c>
      <c r="N1160">
        <v>-5.7000000000000002E-2</v>
      </c>
      <c r="O1160">
        <f t="shared" si="36"/>
        <v>0.2228</v>
      </c>
      <c r="P1160">
        <f t="shared" si="37"/>
        <v>0.29549999999999998</v>
      </c>
      <c r="Q1160" t="s">
        <v>39</v>
      </c>
      <c r="R1160">
        <v>2023</v>
      </c>
      <c r="S1160" t="s">
        <v>25</v>
      </c>
    </row>
    <row r="1161" spans="1:19" x14ac:dyDescent="0.3">
      <c r="A1161" t="s">
        <v>1238</v>
      </c>
      <c r="B1161">
        <v>44582</v>
      </c>
      <c r="C1161" t="s">
        <v>20</v>
      </c>
      <c r="D1161" t="s">
        <v>21</v>
      </c>
      <c r="E1161" t="s">
        <v>38</v>
      </c>
      <c r="F1161" t="s">
        <v>23</v>
      </c>
      <c r="G1161">
        <v>202301.97</v>
      </c>
      <c r="H1161">
        <v>163290.98000000001</v>
      </c>
      <c r="I1161">
        <v>39010.99</v>
      </c>
      <c r="J1161">
        <v>17457.3</v>
      </c>
      <c r="K1161">
        <v>111847.81</v>
      </c>
      <c r="L1161">
        <v>54190.68</v>
      </c>
      <c r="M1161">
        <v>1089</v>
      </c>
      <c r="N1161">
        <v>1.14E-2</v>
      </c>
      <c r="O1161">
        <f t="shared" si="36"/>
        <v>0.1928</v>
      </c>
      <c r="P1161">
        <f t="shared" si="37"/>
        <v>2.0640000000000001</v>
      </c>
      <c r="Q1161" t="s">
        <v>90</v>
      </c>
      <c r="R1161">
        <v>2022</v>
      </c>
      <c r="S1161" t="s">
        <v>82</v>
      </c>
    </row>
    <row r="1162" spans="1:19" x14ac:dyDescent="0.3">
      <c r="A1162" t="s">
        <v>1239</v>
      </c>
      <c r="B1162">
        <v>45336</v>
      </c>
      <c r="C1162" t="s">
        <v>85</v>
      </c>
      <c r="D1162" t="s">
        <v>86</v>
      </c>
      <c r="E1162" t="s">
        <v>22</v>
      </c>
      <c r="F1162" t="s">
        <v>23</v>
      </c>
      <c r="G1162">
        <v>105439.43</v>
      </c>
      <c r="H1162">
        <v>90130.16</v>
      </c>
      <c r="I1162">
        <v>15309.27</v>
      </c>
      <c r="J1162">
        <v>30478.86</v>
      </c>
      <c r="K1162">
        <v>137241.54</v>
      </c>
      <c r="L1162">
        <v>81177.84</v>
      </c>
      <c r="M1162">
        <v>1990</v>
      </c>
      <c r="N1162">
        <v>-0.13689999999999999</v>
      </c>
      <c r="O1162">
        <f t="shared" si="36"/>
        <v>0.1452</v>
      </c>
      <c r="P1162">
        <f t="shared" si="37"/>
        <v>1.6906000000000001</v>
      </c>
      <c r="Q1162" t="s">
        <v>80</v>
      </c>
      <c r="R1162">
        <v>2024</v>
      </c>
      <c r="S1162" t="s">
        <v>82</v>
      </c>
    </row>
    <row r="1163" spans="1:19" x14ac:dyDescent="0.3">
      <c r="A1163" t="s">
        <v>1240</v>
      </c>
      <c r="B1163">
        <v>45174</v>
      </c>
      <c r="C1163" t="s">
        <v>102</v>
      </c>
      <c r="D1163" t="s">
        <v>103</v>
      </c>
      <c r="E1163" t="s">
        <v>32</v>
      </c>
      <c r="F1163" t="s">
        <v>23</v>
      </c>
      <c r="G1163">
        <v>56589.804450000003</v>
      </c>
      <c r="H1163">
        <v>43535.99</v>
      </c>
      <c r="I1163">
        <v>13053.81</v>
      </c>
      <c r="J1163">
        <v>52207.4</v>
      </c>
      <c r="K1163">
        <v>115017.36</v>
      </c>
      <c r="L1163">
        <v>112188.12</v>
      </c>
      <c r="M1163">
        <v>617</v>
      </c>
      <c r="N1163">
        <v>2.7400000000000001E-2</v>
      </c>
      <c r="O1163">
        <f t="shared" si="36"/>
        <v>0.23069999999999999</v>
      </c>
      <c r="P1163">
        <f t="shared" si="37"/>
        <v>1.0251999999999999</v>
      </c>
      <c r="Q1163" t="s">
        <v>56</v>
      </c>
      <c r="R1163">
        <v>2023</v>
      </c>
      <c r="S1163" t="s">
        <v>82</v>
      </c>
    </row>
    <row r="1164" spans="1:19" x14ac:dyDescent="0.3">
      <c r="A1164" t="s">
        <v>1241</v>
      </c>
      <c r="B1164">
        <v>45878</v>
      </c>
      <c r="C1164" t="s">
        <v>42</v>
      </c>
      <c r="D1164" t="s">
        <v>43</v>
      </c>
      <c r="E1164" t="s">
        <v>38</v>
      </c>
      <c r="F1164" t="s">
        <v>23</v>
      </c>
      <c r="G1164">
        <v>71674.16</v>
      </c>
      <c r="H1164">
        <v>44733.17</v>
      </c>
      <c r="I1164">
        <v>26940.99</v>
      </c>
      <c r="J1164">
        <v>35752.57</v>
      </c>
      <c r="K1164">
        <v>112509.01</v>
      </c>
      <c r="L1164">
        <v>57545.34</v>
      </c>
      <c r="M1164">
        <v>658</v>
      </c>
      <c r="N1164">
        <v>-6.1199999999999997E-2</v>
      </c>
      <c r="O1164">
        <f t="shared" si="36"/>
        <v>0.37590000000000001</v>
      </c>
      <c r="P1164">
        <f t="shared" si="37"/>
        <v>1.9551000000000001</v>
      </c>
      <c r="Q1164" t="s">
        <v>24</v>
      </c>
      <c r="R1164">
        <v>2025</v>
      </c>
      <c r="S1164" t="s">
        <v>82</v>
      </c>
    </row>
    <row r="1165" spans="1:19" x14ac:dyDescent="0.3">
      <c r="A1165" t="s">
        <v>1242</v>
      </c>
      <c r="B1165">
        <v>45757</v>
      </c>
      <c r="C1165" t="s">
        <v>36</v>
      </c>
      <c r="D1165" t="s">
        <v>37</v>
      </c>
      <c r="E1165" t="s">
        <v>51</v>
      </c>
      <c r="F1165" t="s">
        <v>23</v>
      </c>
      <c r="G1165">
        <v>41806.42</v>
      </c>
      <c r="H1165">
        <v>35262.589999999997</v>
      </c>
      <c r="I1165">
        <v>6543.83</v>
      </c>
      <c r="J1165">
        <v>24056.639999999999</v>
      </c>
      <c r="K1165">
        <v>13594.34</v>
      </c>
      <c r="L1165">
        <v>94380.94</v>
      </c>
      <c r="M1165">
        <v>535</v>
      </c>
      <c r="N1165">
        <v>0.152</v>
      </c>
      <c r="O1165">
        <f t="shared" si="36"/>
        <v>0.1565</v>
      </c>
      <c r="P1165">
        <f t="shared" si="37"/>
        <v>0.14399999999999999</v>
      </c>
      <c r="Q1165" t="s">
        <v>34</v>
      </c>
      <c r="R1165">
        <v>2025</v>
      </c>
      <c r="S1165" t="s">
        <v>25</v>
      </c>
    </row>
    <row r="1166" spans="1:19" x14ac:dyDescent="0.3">
      <c r="A1166" t="s">
        <v>1243</v>
      </c>
      <c r="B1166">
        <v>45396</v>
      </c>
      <c r="C1166" t="s">
        <v>42</v>
      </c>
      <c r="D1166" t="s">
        <v>43</v>
      </c>
      <c r="E1166" t="s">
        <v>22</v>
      </c>
      <c r="F1166" t="s">
        <v>23</v>
      </c>
      <c r="G1166">
        <v>80632.38</v>
      </c>
      <c r="H1166">
        <v>58024.480000000003</v>
      </c>
      <c r="I1166">
        <v>22607.9</v>
      </c>
      <c r="J1166">
        <v>34304.54</v>
      </c>
      <c r="K1166">
        <v>7447.99</v>
      </c>
      <c r="L1166">
        <v>100889.92</v>
      </c>
      <c r="M1166">
        <v>990</v>
      </c>
      <c r="N1166">
        <v>0.1197</v>
      </c>
      <c r="O1166">
        <f t="shared" si="36"/>
        <v>0.28039999999999998</v>
      </c>
      <c r="P1166">
        <f t="shared" si="37"/>
        <v>7.3800000000000004E-2</v>
      </c>
      <c r="Q1166" t="s">
        <v>111</v>
      </c>
      <c r="R1166">
        <v>2024</v>
      </c>
      <c r="S1166" t="s">
        <v>25</v>
      </c>
    </row>
    <row r="1167" spans="1:19" x14ac:dyDescent="0.3">
      <c r="A1167" t="s">
        <v>1244</v>
      </c>
      <c r="B1167">
        <v>45382</v>
      </c>
      <c r="C1167" t="s">
        <v>27</v>
      </c>
      <c r="D1167" t="s">
        <v>28</v>
      </c>
      <c r="E1167" t="s">
        <v>51</v>
      </c>
      <c r="F1167" t="s">
        <v>23</v>
      </c>
      <c r="G1167">
        <v>427131.44</v>
      </c>
      <c r="H1167">
        <v>312664.09000000003</v>
      </c>
      <c r="I1167">
        <v>114467.35</v>
      </c>
      <c r="J1167">
        <v>11080.27</v>
      </c>
      <c r="K1167">
        <v>43238.29</v>
      </c>
      <c r="L1167">
        <v>142933.51999999999</v>
      </c>
      <c r="M1167">
        <v>766</v>
      </c>
      <c r="N1167">
        <v>-5.4199999999999998E-2</v>
      </c>
      <c r="O1167">
        <f t="shared" si="36"/>
        <v>0.26800000000000002</v>
      </c>
      <c r="P1167">
        <f t="shared" si="37"/>
        <v>0.30249999999999999</v>
      </c>
      <c r="Q1167" t="s">
        <v>80</v>
      </c>
      <c r="R1167">
        <v>2024</v>
      </c>
      <c r="S1167" t="s">
        <v>40</v>
      </c>
    </row>
    <row r="1168" spans="1:19" x14ac:dyDescent="0.3">
      <c r="A1168" t="s">
        <v>1245</v>
      </c>
      <c r="B1168">
        <v>45784</v>
      </c>
      <c r="C1168" t="s">
        <v>85</v>
      </c>
      <c r="D1168" t="s">
        <v>86</v>
      </c>
      <c r="E1168" t="s">
        <v>38</v>
      </c>
      <c r="F1168" t="s">
        <v>23</v>
      </c>
      <c r="G1168">
        <v>50191.95</v>
      </c>
      <c r="H1168">
        <v>31644.48</v>
      </c>
      <c r="I1168">
        <v>18547.47</v>
      </c>
      <c r="J1168">
        <v>159611.72</v>
      </c>
      <c r="K1168">
        <v>33742.199999999997</v>
      </c>
      <c r="L1168">
        <v>215073.96</v>
      </c>
      <c r="M1168">
        <v>294</v>
      </c>
      <c r="N1168">
        <v>4.7600000000000003E-2</v>
      </c>
      <c r="O1168">
        <f t="shared" si="36"/>
        <v>0.3695</v>
      </c>
      <c r="P1168">
        <f t="shared" si="37"/>
        <v>0.15690000000000001</v>
      </c>
      <c r="Q1168" t="s">
        <v>34</v>
      </c>
      <c r="R1168">
        <v>2025</v>
      </c>
      <c r="S1168" t="s">
        <v>25</v>
      </c>
    </row>
    <row r="1169" spans="1:19" x14ac:dyDescent="0.3">
      <c r="A1169" t="s">
        <v>1246</v>
      </c>
      <c r="B1169">
        <v>44697</v>
      </c>
      <c r="C1169" t="s">
        <v>102</v>
      </c>
      <c r="D1169" t="s">
        <v>103</v>
      </c>
      <c r="E1169" t="s">
        <v>22</v>
      </c>
      <c r="F1169" t="s">
        <v>23</v>
      </c>
      <c r="G1169">
        <v>37413.279999999999</v>
      </c>
      <c r="H1169">
        <v>28674.53</v>
      </c>
      <c r="I1169">
        <v>8738.75</v>
      </c>
      <c r="J1169">
        <v>22943.98</v>
      </c>
      <c r="K1169">
        <v>72687.7</v>
      </c>
      <c r="L1169">
        <v>146404.07999999999</v>
      </c>
      <c r="M1169">
        <v>785</v>
      </c>
      <c r="N1169">
        <v>7.5999999999999998E-2</v>
      </c>
      <c r="O1169">
        <f t="shared" si="36"/>
        <v>0.2336</v>
      </c>
      <c r="P1169">
        <f t="shared" si="37"/>
        <v>0.4965</v>
      </c>
      <c r="Q1169" t="s">
        <v>58</v>
      </c>
      <c r="R1169">
        <v>2022</v>
      </c>
      <c r="S1169" t="s">
        <v>40</v>
      </c>
    </row>
    <row r="1170" spans="1:19" x14ac:dyDescent="0.3">
      <c r="A1170" t="s">
        <v>1247</v>
      </c>
      <c r="B1170">
        <v>45884</v>
      </c>
      <c r="C1170" t="s">
        <v>61</v>
      </c>
      <c r="D1170" t="s">
        <v>74</v>
      </c>
      <c r="E1170" t="s">
        <v>51</v>
      </c>
      <c r="F1170" t="s">
        <v>23</v>
      </c>
      <c r="G1170">
        <v>268294.7</v>
      </c>
      <c r="H1170">
        <v>213705.58</v>
      </c>
      <c r="I1170">
        <v>54589.120000000003</v>
      </c>
      <c r="J1170">
        <v>15708.13</v>
      </c>
      <c r="K1170">
        <v>8642.89</v>
      </c>
      <c r="L1170">
        <v>86535.18</v>
      </c>
      <c r="M1170">
        <v>1250</v>
      </c>
      <c r="N1170">
        <v>5.6399999999999999E-2</v>
      </c>
      <c r="O1170">
        <f t="shared" si="36"/>
        <v>0.20349999999999999</v>
      </c>
      <c r="P1170">
        <f t="shared" si="37"/>
        <v>9.9900000000000003E-2</v>
      </c>
      <c r="Q1170" t="s">
        <v>24</v>
      </c>
      <c r="R1170">
        <v>2025</v>
      </c>
      <c r="S1170" t="s">
        <v>25</v>
      </c>
    </row>
    <row r="1171" spans="1:19" x14ac:dyDescent="0.3">
      <c r="A1171" t="s">
        <v>1248</v>
      </c>
      <c r="B1171">
        <v>45274</v>
      </c>
      <c r="C1171" t="s">
        <v>78</v>
      </c>
      <c r="D1171" t="s">
        <v>79</v>
      </c>
      <c r="E1171" t="s">
        <v>22</v>
      </c>
      <c r="F1171" t="s">
        <v>23</v>
      </c>
      <c r="G1171">
        <v>31885.13</v>
      </c>
      <c r="H1171">
        <v>28787.58</v>
      </c>
      <c r="I1171">
        <v>3097.55</v>
      </c>
      <c r="J1171">
        <v>15394.54</v>
      </c>
      <c r="K1171">
        <v>45011.81</v>
      </c>
      <c r="L1171">
        <v>156283.47</v>
      </c>
      <c r="M1171">
        <v>506</v>
      </c>
      <c r="N1171">
        <v>1.5100000000000001E-2</v>
      </c>
      <c r="O1171">
        <f t="shared" si="36"/>
        <v>9.7100000000000006E-2</v>
      </c>
      <c r="P1171">
        <f t="shared" si="37"/>
        <v>0.28799999999999998</v>
      </c>
      <c r="Q1171" t="s">
        <v>44</v>
      </c>
      <c r="R1171">
        <v>2023</v>
      </c>
      <c r="S1171" t="s">
        <v>25</v>
      </c>
    </row>
    <row r="1172" spans="1:19" x14ac:dyDescent="0.3">
      <c r="A1172" t="s">
        <v>1249</v>
      </c>
      <c r="B1172">
        <v>45196</v>
      </c>
      <c r="C1172" t="s">
        <v>85</v>
      </c>
      <c r="D1172" t="s">
        <v>86</v>
      </c>
      <c r="E1172" t="s">
        <v>32</v>
      </c>
      <c r="F1172" t="s">
        <v>23</v>
      </c>
      <c r="G1172">
        <v>82896.534400000004</v>
      </c>
      <c r="H1172">
        <v>72400.11</v>
      </c>
      <c r="I1172">
        <v>10496.42</v>
      </c>
      <c r="J1172">
        <v>18938.28</v>
      </c>
      <c r="K1172">
        <v>23569.8</v>
      </c>
      <c r="L1172">
        <v>123719.45</v>
      </c>
      <c r="M1172">
        <v>1014</v>
      </c>
      <c r="N1172">
        <v>8.7300000000000003E-2</v>
      </c>
      <c r="O1172">
        <f t="shared" si="36"/>
        <v>0.12659999999999999</v>
      </c>
      <c r="P1172">
        <f t="shared" si="37"/>
        <v>0.1905</v>
      </c>
      <c r="Q1172" t="s">
        <v>56</v>
      </c>
      <c r="R1172">
        <v>2023</v>
      </c>
      <c r="S1172" t="s">
        <v>25</v>
      </c>
    </row>
    <row r="1173" spans="1:19" x14ac:dyDescent="0.3">
      <c r="A1173" t="s">
        <v>1250</v>
      </c>
      <c r="B1173">
        <v>45163</v>
      </c>
      <c r="C1173" t="s">
        <v>102</v>
      </c>
      <c r="D1173" t="s">
        <v>103</v>
      </c>
      <c r="E1173" t="s">
        <v>22</v>
      </c>
      <c r="F1173" t="s">
        <v>23</v>
      </c>
      <c r="G1173">
        <v>88399.91</v>
      </c>
      <c r="H1173">
        <v>66699.199999999997</v>
      </c>
      <c r="I1173">
        <v>21700.71</v>
      </c>
      <c r="J1173">
        <v>38172.769999999997</v>
      </c>
      <c r="K1173">
        <v>3810.38</v>
      </c>
      <c r="L1173">
        <v>97873.72</v>
      </c>
      <c r="M1173">
        <v>693</v>
      </c>
      <c r="N1173">
        <v>2.0899999999999998E-2</v>
      </c>
      <c r="O1173">
        <f t="shared" si="36"/>
        <v>0.2455</v>
      </c>
      <c r="P1173">
        <f t="shared" si="37"/>
        <v>3.8899999999999997E-2</v>
      </c>
      <c r="Q1173" t="s">
        <v>56</v>
      </c>
      <c r="R1173">
        <v>2023</v>
      </c>
      <c r="S1173" t="s">
        <v>25</v>
      </c>
    </row>
    <row r="1174" spans="1:19" x14ac:dyDescent="0.3">
      <c r="A1174" t="s">
        <v>1251</v>
      </c>
      <c r="B1174">
        <v>44614</v>
      </c>
      <c r="C1174" t="s">
        <v>85</v>
      </c>
      <c r="D1174" t="s">
        <v>86</v>
      </c>
      <c r="E1174" t="s">
        <v>22</v>
      </c>
      <c r="F1174" t="s">
        <v>23</v>
      </c>
      <c r="G1174">
        <v>68116.19</v>
      </c>
      <c r="H1174">
        <v>46495.839999999997</v>
      </c>
      <c r="I1174">
        <v>21620.35</v>
      </c>
      <c r="J1174">
        <v>52606.47</v>
      </c>
      <c r="K1174">
        <v>55116.24</v>
      </c>
      <c r="L1174">
        <v>60273.47</v>
      </c>
      <c r="M1174">
        <v>1532</v>
      </c>
      <c r="N1174">
        <v>4.9099999999999998E-2</v>
      </c>
      <c r="O1174">
        <f t="shared" si="36"/>
        <v>0.31740000000000002</v>
      </c>
      <c r="P1174">
        <f t="shared" si="37"/>
        <v>0.91439999999999999</v>
      </c>
      <c r="Q1174" t="s">
        <v>90</v>
      </c>
      <c r="R1174">
        <v>2022</v>
      </c>
      <c r="S1174" t="s">
        <v>82</v>
      </c>
    </row>
    <row r="1175" spans="1:19" x14ac:dyDescent="0.3">
      <c r="A1175" t="s">
        <v>1252</v>
      </c>
      <c r="B1175">
        <v>45704</v>
      </c>
      <c r="C1175" t="s">
        <v>78</v>
      </c>
      <c r="D1175" t="s">
        <v>79</v>
      </c>
      <c r="E1175" t="s">
        <v>22</v>
      </c>
      <c r="F1175" t="s">
        <v>23</v>
      </c>
      <c r="G1175">
        <v>19150.55</v>
      </c>
      <c r="H1175">
        <v>15194.84</v>
      </c>
      <c r="I1175">
        <v>3955.71</v>
      </c>
      <c r="J1175">
        <v>44411.51</v>
      </c>
      <c r="K1175">
        <v>38870.69</v>
      </c>
      <c r="L1175">
        <v>262785.46000000002</v>
      </c>
      <c r="M1175">
        <v>572</v>
      </c>
      <c r="N1175">
        <v>-6.4000000000000001E-2</v>
      </c>
      <c r="O1175">
        <f t="shared" si="36"/>
        <v>0.20660000000000001</v>
      </c>
      <c r="P1175">
        <f t="shared" si="37"/>
        <v>0.1479</v>
      </c>
      <c r="Q1175" t="s">
        <v>106</v>
      </c>
      <c r="R1175">
        <v>2025</v>
      </c>
      <c r="S1175" t="s">
        <v>25</v>
      </c>
    </row>
    <row r="1176" spans="1:19" x14ac:dyDescent="0.3">
      <c r="A1176" t="s">
        <v>1253</v>
      </c>
      <c r="B1176">
        <v>45687</v>
      </c>
      <c r="C1176" t="s">
        <v>36</v>
      </c>
      <c r="D1176" t="s">
        <v>37</v>
      </c>
      <c r="E1176" t="s">
        <v>38</v>
      </c>
      <c r="F1176" t="s">
        <v>23</v>
      </c>
      <c r="G1176">
        <v>62060.02</v>
      </c>
      <c r="H1176">
        <v>53179.95</v>
      </c>
      <c r="I1176">
        <v>8880.07</v>
      </c>
      <c r="J1176">
        <v>28763</v>
      </c>
      <c r="K1176">
        <v>45935.56</v>
      </c>
      <c r="L1176">
        <v>249858.67</v>
      </c>
      <c r="M1176">
        <v>1080</v>
      </c>
      <c r="N1176">
        <v>-8.2600000000000007E-2</v>
      </c>
      <c r="O1176">
        <f t="shared" si="36"/>
        <v>0.1431</v>
      </c>
      <c r="P1176">
        <f t="shared" si="37"/>
        <v>0.18379999999999999</v>
      </c>
      <c r="Q1176" t="s">
        <v>106</v>
      </c>
      <c r="R1176">
        <v>2025</v>
      </c>
      <c r="S1176" t="s">
        <v>25</v>
      </c>
    </row>
    <row r="1177" spans="1:19" x14ac:dyDescent="0.3">
      <c r="A1177" t="s">
        <v>1254</v>
      </c>
      <c r="B1177">
        <v>45094</v>
      </c>
      <c r="C1177" t="s">
        <v>85</v>
      </c>
      <c r="D1177" t="s">
        <v>86</v>
      </c>
      <c r="E1177" t="s">
        <v>22</v>
      </c>
      <c r="F1177" t="s">
        <v>23</v>
      </c>
      <c r="G1177">
        <v>51013.599999999999</v>
      </c>
      <c r="H1177">
        <v>30333.14</v>
      </c>
      <c r="I1177">
        <v>20680.46</v>
      </c>
      <c r="J1177">
        <v>8984.09</v>
      </c>
      <c r="K1177">
        <v>35836.589999999997</v>
      </c>
      <c r="L1177">
        <v>47075.5</v>
      </c>
      <c r="M1177">
        <v>1533</v>
      </c>
      <c r="N1177">
        <v>0.19439999999999999</v>
      </c>
      <c r="O1177">
        <f t="shared" si="36"/>
        <v>0.40539999999999998</v>
      </c>
      <c r="P1177">
        <f t="shared" si="37"/>
        <v>0.76129999999999998</v>
      </c>
      <c r="Q1177" t="s">
        <v>39</v>
      </c>
      <c r="R1177">
        <v>2023</v>
      </c>
      <c r="S1177" t="s">
        <v>82</v>
      </c>
    </row>
    <row r="1178" spans="1:19" x14ac:dyDescent="0.3">
      <c r="A1178" t="s">
        <v>1255</v>
      </c>
      <c r="B1178">
        <v>45878</v>
      </c>
      <c r="C1178" t="s">
        <v>27</v>
      </c>
      <c r="D1178" t="s">
        <v>28</v>
      </c>
      <c r="E1178" t="s">
        <v>38</v>
      </c>
      <c r="F1178" t="s">
        <v>23</v>
      </c>
      <c r="G1178">
        <v>55621.79</v>
      </c>
      <c r="H1178">
        <v>45627.08</v>
      </c>
      <c r="I1178">
        <v>9994.7099999999991</v>
      </c>
      <c r="J1178">
        <v>11518.57</v>
      </c>
      <c r="K1178">
        <v>9265.3799999999992</v>
      </c>
      <c r="L1178">
        <v>107658.88</v>
      </c>
      <c r="M1178">
        <v>1286</v>
      </c>
      <c r="N1178">
        <v>1.0500000000000001E-2</v>
      </c>
      <c r="O1178">
        <f t="shared" si="36"/>
        <v>0.1797</v>
      </c>
      <c r="P1178">
        <f t="shared" si="37"/>
        <v>8.6099999999999996E-2</v>
      </c>
      <c r="Q1178" t="s">
        <v>24</v>
      </c>
      <c r="R1178">
        <v>2025</v>
      </c>
      <c r="S1178" t="s">
        <v>25</v>
      </c>
    </row>
    <row r="1179" spans="1:19" x14ac:dyDescent="0.3">
      <c r="A1179" t="s">
        <v>1256</v>
      </c>
      <c r="B1179">
        <v>45297</v>
      </c>
      <c r="C1179" t="s">
        <v>36</v>
      </c>
      <c r="D1179" t="s">
        <v>37</v>
      </c>
      <c r="E1179" t="s">
        <v>22</v>
      </c>
      <c r="F1179" t="s">
        <v>23</v>
      </c>
      <c r="G1179">
        <v>59480.88</v>
      </c>
      <c r="H1179">
        <v>33488.300000000003</v>
      </c>
      <c r="I1179">
        <v>25992.58</v>
      </c>
      <c r="J1179">
        <v>36536.870000000003</v>
      </c>
      <c r="K1179">
        <v>41045.18</v>
      </c>
      <c r="L1179">
        <v>70183.679999999993</v>
      </c>
      <c r="M1179">
        <v>917</v>
      </c>
      <c r="N1179">
        <v>-9.1399999999999995E-2</v>
      </c>
      <c r="O1179">
        <f t="shared" si="36"/>
        <v>0.437</v>
      </c>
      <c r="P1179">
        <f t="shared" si="37"/>
        <v>0.58479999999999999</v>
      </c>
      <c r="Q1179" t="s">
        <v>80</v>
      </c>
      <c r="R1179">
        <v>2024</v>
      </c>
      <c r="S1179" t="s">
        <v>40</v>
      </c>
    </row>
    <row r="1180" spans="1:19" x14ac:dyDescent="0.3">
      <c r="A1180" t="s">
        <v>1257</v>
      </c>
      <c r="B1180">
        <v>45967</v>
      </c>
      <c r="C1180" t="s">
        <v>85</v>
      </c>
      <c r="D1180" t="s">
        <v>86</v>
      </c>
      <c r="E1180" t="s">
        <v>32</v>
      </c>
      <c r="F1180" t="s">
        <v>23</v>
      </c>
      <c r="G1180">
        <v>130774.98420000001</v>
      </c>
      <c r="H1180">
        <v>117645.69</v>
      </c>
      <c r="I1180">
        <v>13129.29</v>
      </c>
      <c r="J1180">
        <v>31314.639999999999</v>
      </c>
      <c r="K1180">
        <v>30454.5</v>
      </c>
      <c r="L1180">
        <v>90476.71</v>
      </c>
      <c r="M1180">
        <v>625</v>
      </c>
      <c r="N1180">
        <v>1.26E-2</v>
      </c>
      <c r="O1180">
        <f t="shared" si="36"/>
        <v>0.1004</v>
      </c>
      <c r="P1180">
        <f t="shared" si="37"/>
        <v>0.33660000000000001</v>
      </c>
      <c r="Q1180" t="s">
        <v>66</v>
      </c>
      <c r="R1180">
        <v>2025</v>
      </c>
      <c r="S1180" t="s">
        <v>40</v>
      </c>
    </row>
    <row r="1181" spans="1:19" x14ac:dyDescent="0.3">
      <c r="A1181" t="s">
        <v>1258</v>
      </c>
      <c r="B1181">
        <v>44818</v>
      </c>
      <c r="C1181" t="s">
        <v>30</v>
      </c>
      <c r="D1181" t="s">
        <v>31</v>
      </c>
      <c r="E1181" t="s">
        <v>51</v>
      </c>
      <c r="F1181" t="s">
        <v>23</v>
      </c>
      <c r="G1181">
        <v>81118.73</v>
      </c>
      <c r="H1181">
        <v>70655.95</v>
      </c>
      <c r="I1181">
        <v>10462.780000000001</v>
      </c>
      <c r="J1181">
        <v>42394.76</v>
      </c>
      <c r="K1181">
        <v>19124.400000000001</v>
      </c>
      <c r="L1181">
        <v>96922.31</v>
      </c>
      <c r="M1181">
        <v>839</v>
      </c>
      <c r="N1181">
        <v>4.7899999999999998E-2</v>
      </c>
      <c r="O1181">
        <f t="shared" si="36"/>
        <v>0.129</v>
      </c>
      <c r="P1181">
        <f t="shared" si="37"/>
        <v>0.1973</v>
      </c>
      <c r="Q1181" t="s">
        <v>76</v>
      </c>
      <c r="R1181">
        <v>2022</v>
      </c>
      <c r="S1181" t="s">
        <v>25</v>
      </c>
    </row>
    <row r="1182" spans="1:19" x14ac:dyDescent="0.3">
      <c r="A1182" t="s">
        <v>1259</v>
      </c>
      <c r="B1182">
        <v>44839</v>
      </c>
      <c r="C1182" t="s">
        <v>61</v>
      </c>
      <c r="D1182" t="s">
        <v>74</v>
      </c>
      <c r="E1182" t="s">
        <v>38</v>
      </c>
      <c r="F1182" t="s">
        <v>23</v>
      </c>
      <c r="G1182">
        <v>57609.07</v>
      </c>
      <c r="H1182">
        <v>43739.65</v>
      </c>
      <c r="I1182">
        <v>13869.42</v>
      </c>
      <c r="J1182">
        <v>25002.06</v>
      </c>
      <c r="K1182">
        <v>78426.350000000006</v>
      </c>
      <c r="L1182">
        <v>131431.87</v>
      </c>
      <c r="M1182">
        <v>1409</v>
      </c>
      <c r="N1182">
        <v>0.04</v>
      </c>
      <c r="O1182">
        <f t="shared" si="36"/>
        <v>0.24079999999999999</v>
      </c>
      <c r="P1182">
        <f t="shared" si="37"/>
        <v>0.59670000000000001</v>
      </c>
      <c r="Q1182" t="s">
        <v>46</v>
      </c>
      <c r="R1182">
        <v>2022</v>
      </c>
      <c r="S1182" t="s">
        <v>40</v>
      </c>
    </row>
    <row r="1183" spans="1:19" x14ac:dyDescent="0.3">
      <c r="A1183" t="s">
        <v>1260</v>
      </c>
      <c r="B1183">
        <v>44753</v>
      </c>
      <c r="C1183" t="s">
        <v>85</v>
      </c>
      <c r="D1183" t="s">
        <v>86</v>
      </c>
      <c r="E1183" t="s">
        <v>32</v>
      </c>
      <c r="F1183" t="s">
        <v>23</v>
      </c>
      <c r="G1183">
        <v>197195.60980000001</v>
      </c>
      <c r="H1183">
        <v>162925.87</v>
      </c>
      <c r="I1183">
        <v>34269.74</v>
      </c>
      <c r="J1183">
        <v>45418.7</v>
      </c>
      <c r="K1183">
        <v>155982.93</v>
      </c>
      <c r="L1183">
        <v>182643.32</v>
      </c>
      <c r="M1183">
        <v>749</v>
      </c>
      <c r="N1183">
        <v>-0.1051</v>
      </c>
      <c r="O1183">
        <f t="shared" si="36"/>
        <v>0.17380000000000001</v>
      </c>
      <c r="P1183">
        <f t="shared" si="37"/>
        <v>0.85399999999999998</v>
      </c>
      <c r="Q1183" t="s">
        <v>76</v>
      </c>
      <c r="R1183">
        <v>2022</v>
      </c>
      <c r="S1183" t="s">
        <v>82</v>
      </c>
    </row>
    <row r="1184" spans="1:19" x14ac:dyDescent="0.3">
      <c r="A1184" t="s">
        <v>1261</v>
      </c>
      <c r="B1184">
        <v>45128</v>
      </c>
      <c r="C1184" t="s">
        <v>1282</v>
      </c>
      <c r="D1184" t="s">
        <v>69</v>
      </c>
      <c r="E1184" t="s">
        <v>38</v>
      </c>
      <c r="F1184" t="s">
        <v>23</v>
      </c>
      <c r="G1184">
        <v>38212.93</v>
      </c>
      <c r="H1184" t="s">
        <v>1281</v>
      </c>
      <c r="I1184" t="s">
        <v>1281</v>
      </c>
      <c r="J1184">
        <v>12401.98</v>
      </c>
      <c r="K1184">
        <v>37847.67</v>
      </c>
      <c r="L1184">
        <v>278296.49</v>
      </c>
      <c r="M1184">
        <v>2260</v>
      </c>
      <c r="N1184">
        <v>-5.3900000000000003E-2</v>
      </c>
      <c r="O1184" t="s">
        <v>1281</v>
      </c>
      <c r="P1184">
        <f t="shared" si="37"/>
        <v>0.13600000000000001</v>
      </c>
      <c r="Q1184" t="s">
        <v>56</v>
      </c>
      <c r="R1184">
        <v>2023</v>
      </c>
      <c r="S1184" t="s">
        <v>25</v>
      </c>
    </row>
    <row r="1185" spans="1:19" x14ac:dyDescent="0.3">
      <c r="A1185" t="s">
        <v>1262</v>
      </c>
      <c r="B1185">
        <v>45404</v>
      </c>
      <c r="C1185" t="s">
        <v>48</v>
      </c>
      <c r="D1185" t="s">
        <v>49</v>
      </c>
      <c r="E1185" t="s">
        <v>32</v>
      </c>
      <c r="F1185" t="s">
        <v>23</v>
      </c>
      <c r="G1185">
        <v>110905.10075000001</v>
      </c>
      <c r="H1185">
        <v>95451.7</v>
      </c>
      <c r="I1185">
        <v>15453.4</v>
      </c>
      <c r="J1185">
        <v>41339.160000000003</v>
      </c>
      <c r="K1185">
        <v>139456.04</v>
      </c>
      <c r="L1185">
        <v>74578.66</v>
      </c>
      <c r="M1185">
        <v>999</v>
      </c>
      <c r="N1185">
        <v>-8.5500000000000007E-2</v>
      </c>
      <c r="O1185">
        <f t="shared" si="36"/>
        <v>0.13930000000000001</v>
      </c>
      <c r="P1185">
        <f t="shared" si="37"/>
        <v>1.8698999999999999</v>
      </c>
      <c r="Q1185" t="s">
        <v>111</v>
      </c>
      <c r="R1185">
        <v>2024</v>
      </c>
      <c r="S1185" t="s">
        <v>82</v>
      </c>
    </row>
    <row r="1186" spans="1:19" x14ac:dyDescent="0.3">
      <c r="A1186" t="s">
        <v>1263</v>
      </c>
      <c r="B1186">
        <v>45611</v>
      </c>
      <c r="C1186" t="s">
        <v>61</v>
      </c>
      <c r="D1186" t="s">
        <v>74</v>
      </c>
      <c r="E1186" t="s">
        <v>22</v>
      </c>
      <c r="F1186" t="s">
        <v>23</v>
      </c>
      <c r="G1186">
        <v>79048.789999999994</v>
      </c>
      <c r="H1186" t="s">
        <v>1281</v>
      </c>
      <c r="I1186" t="s">
        <v>1281</v>
      </c>
      <c r="J1186">
        <v>56694.32</v>
      </c>
      <c r="K1186">
        <v>20336.68</v>
      </c>
      <c r="L1186">
        <v>85475.62</v>
      </c>
      <c r="M1186">
        <v>612</v>
      </c>
      <c r="N1186">
        <v>0.1236</v>
      </c>
      <c r="O1186" t="s">
        <v>1281</v>
      </c>
      <c r="P1186">
        <f t="shared" si="37"/>
        <v>0.2379</v>
      </c>
      <c r="Q1186" t="s">
        <v>52</v>
      </c>
      <c r="R1186">
        <v>2024</v>
      </c>
      <c r="S1186" t="s">
        <v>25</v>
      </c>
    </row>
    <row r="1187" spans="1:19" x14ac:dyDescent="0.3">
      <c r="A1187" t="s">
        <v>1264</v>
      </c>
      <c r="B1187">
        <v>45377</v>
      </c>
      <c r="C1187" t="s">
        <v>54</v>
      </c>
      <c r="D1187" t="s">
        <v>55</v>
      </c>
      <c r="E1187" t="s">
        <v>22</v>
      </c>
      <c r="F1187" t="s">
        <v>23</v>
      </c>
      <c r="G1187">
        <v>60852.24</v>
      </c>
      <c r="H1187">
        <v>49397.47</v>
      </c>
      <c r="I1187">
        <v>11454.77</v>
      </c>
      <c r="J1187">
        <v>27141.69</v>
      </c>
      <c r="K1187">
        <v>23426.959999999999</v>
      </c>
      <c r="L1187">
        <v>92387.26</v>
      </c>
      <c r="M1187">
        <v>954</v>
      </c>
      <c r="N1187">
        <v>-0.1696</v>
      </c>
      <c r="O1187">
        <f t="shared" si="36"/>
        <v>0.18820000000000001</v>
      </c>
      <c r="P1187">
        <f t="shared" si="37"/>
        <v>0.25359999999999999</v>
      </c>
      <c r="Q1187" t="s">
        <v>80</v>
      </c>
      <c r="R1187">
        <v>2024</v>
      </c>
      <c r="S1187" t="s">
        <v>25</v>
      </c>
    </row>
    <row r="1188" spans="1:19" x14ac:dyDescent="0.3">
      <c r="A1188" t="s">
        <v>1265</v>
      </c>
      <c r="B1188">
        <v>45826</v>
      </c>
      <c r="C1188" t="s">
        <v>27</v>
      </c>
      <c r="D1188" t="s">
        <v>28</v>
      </c>
      <c r="E1188" t="s">
        <v>32</v>
      </c>
      <c r="F1188" t="s">
        <v>23</v>
      </c>
      <c r="G1188">
        <v>94267.025599999994</v>
      </c>
      <c r="H1188">
        <v>85000.92</v>
      </c>
      <c r="I1188">
        <v>9266.11</v>
      </c>
      <c r="J1188">
        <v>14994.9</v>
      </c>
      <c r="K1188">
        <v>77364.44</v>
      </c>
      <c r="L1188">
        <v>111461.16</v>
      </c>
      <c r="M1188">
        <v>1400</v>
      </c>
      <c r="N1188">
        <v>4.36E-2</v>
      </c>
      <c r="O1188">
        <f t="shared" si="36"/>
        <v>9.8299999999999998E-2</v>
      </c>
      <c r="P1188">
        <f t="shared" si="37"/>
        <v>0.69410000000000005</v>
      </c>
      <c r="Q1188" t="s">
        <v>34</v>
      </c>
      <c r="R1188">
        <v>2025</v>
      </c>
      <c r="S1188" t="s">
        <v>82</v>
      </c>
    </row>
    <row r="1189" spans="1:19" x14ac:dyDescent="0.3">
      <c r="A1189" t="s">
        <v>1266</v>
      </c>
      <c r="B1189">
        <v>44811</v>
      </c>
      <c r="C1189" t="s">
        <v>42</v>
      </c>
      <c r="D1189" t="s">
        <v>43</v>
      </c>
      <c r="E1189" t="s">
        <v>32</v>
      </c>
      <c r="F1189" t="s">
        <v>23</v>
      </c>
      <c r="G1189">
        <v>80414.380499999999</v>
      </c>
      <c r="H1189">
        <v>65110.65</v>
      </c>
      <c r="I1189">
        <v>15303.73</v>
      </c>
      <c r="J1189">
        <v>15312.19</v>
      </c>
      <c r="K1189">
        <v>36149.97</v>
      </c>
      <c r="L1189">
        <v>80507.78</v>
      </c>
      <c r="M1189">
        <v>620</v>
      </c>
      <c r="N1189">
        <v>0.1318</v>
      </c>
      <c r="O1189">
        <f t="shared" si="36"/>
        <v>0.1903</v>
      </c>
      <c r="P1189">
        <f t="shared" si="37"/>
        <v>0.44900000000000001</v>
      </c>
      <c r="Q1189" t="s">
        <v>76</v>
      </c>
      <c r="R1189">
        <v>2022</v>
      </c>
      <c r="S1189" t="s">
        <v>40</v>
      </c>
    </row>
    <row r="1190" spans="1:19" x14ac:dyDescent="0.3">
      <c r="A1190" t="s">
        <v>1267</v>
      </c>
      <c r="B1190">
        <v>45605</v>
      </c>
      <c r="C1190" t="s">
        <v>36</v>
      </c>
      <c r="D1190" t="s">
        <v>37</v>
      </c>
      <c r="E1190" t="s">
        <v>38</v>
      </c>
      <c r="F1190" t="s">
        <v>23</v>
      </c>
      <c r="G1190">
        <v>54557.96</v>
      </c>
      <c r="H1190">
        <v>34141.49</v>
      </c>
      <c r="I1190">
        <v>20416.47</v>
      </c>
      <c r="J1190">
        <v>8093.41</v>
      </c>
      <c r="K1190">
        <v>12492.49</v>
      </c>
      <c r="L1190">
        <v>45238.33</v>
      </c>
      <c r="M1190">
        <v>1252</v>
      </c>
      <c r="N1190">
        <v>8.1699999999999995E-2</v>
      </c>
      <c r="O1190">
        <f t="shared" si="36"/>
        <v>0.37419999999999998</v>
      </c>
      <c r="P1190">
        <f t="shared" si="37"/>
        <v>0.27610000000000001</v>
      </c>
      <c r="Q1190" t="s">
        <v>52</v>
      </c>
      <c r="R1190">
        <v>2024</v>
      </c>
      <c r="S1190" t="s">
        <v>25</v>
      </c>
    </row>
    <row r="1191" spans="1:19" x14ac:dyDescent="0.3">
      <c r="A1191" t="s">
        <v>1268</v>
      </c>
      <c r="B1191">
        <v>45175</v>
      </c>
      <c r="C1191" t="s">
        <v>61</v>
      </c>
      <c r="D1191" t="s">
        <v>74</v>
      </c>
      <c r="E1191" t="s">
        <v>22</v>
      </c>
      <c r="F1191" t="s">
        <v>23</v>
      </c>
      <c r="G1191">
        <v>52493.45</v>
      </c>
      <c r="H1191">
        <v>39080.51</v>
      </c>
      <c r="I1191">
        <v>13412.94</v>
      </c>
      <c r="J1191">
        <v>21575.05</v>
      </c>
      <c r="K1191">
        <v>24172.639999999999</v>
      </c>
      <c r="L1191">
        <v>52978.44</v>
      </c>
      <c r="M1191">
        <v>1227</v>
      </c>
      <c r="N1191">
        <v>0.20300000000000001</v>
      </c>
      <c r="O1191">
        <f t="shared" si="36"/>
        <v>0.2555</v>
      </c>
      <c r="P1191">
        <f t="shared" si="37"/>
        <v>0.45629999999999998</v>
      </c>
      <c r="Q1191" t="s">
        <v>56</v>
      </c>
      <c r="R1191">
        <v>2023</v>
      </c>
      <c r="S1191" t="s">
        <v>40</v>
      </c>
    </row>
    <row r="1192" spans="1:19" x14ac:dyDescent="0.3">
      <c r="A1192" t="s">
        <v>1269</v>
      </c>
      <c r="B1192">
        <v>45241</v>
      </c>
      <c r="C1192" t="s">
        <v>78</v>
      </c>
      <c r="D1192" t="s">
        <v>79</v>
      </c>
      <c r="E1192" t="s">
        <v>38</v>
      </c>
      <c r="F1192" t="s">
        <v>23</v>
      </c>
      <c r="G1192">
        <v>98303.56</v>
      </c>
      <c r="H1192">
        <v>59406.3</v>
      </c>
      <c r="I1192">
        <v>38897.26</v>
      </c>
      <c r="J1192">
        <v>37653.339999999997</v>
      </c>
      <c r="K1192">
        <v>42168.91</v>
      </c>
      <c r="L1192">
        <v>110562.85</v>
      </c>
      <c r="M1192">
        <v>323</v>
      </c>
      <c r="N1192">
        <v>1.1900000000000001E-2</v>
      </c>
      <c r="O1192">
        <f t="shared" si="36"/>
        <v>0.3957</v>
      </c>
      <c r="P1192">
        <f t="shared" si="37"/>
        <v>0.38140000000000002</v>
      </c>
      <c r="Q1192" t="s">
        <v>44</v>
      </c>
      <c r="R1192">
        <v>2023</v>
      </c>
      <c r="S1192" t="s">
        <v>40</v>
      </c>
    </row>
    <row r="1193" spans="1:19" x14ac:dyDescent="0.3">
      <c r="A1193" t="s">
        <v>1270</v>
      </c>
      <c r="B1193">
        <v>45731</v>
      </c>
      <c r="C1193" t="s">
        <v>42</v>
      </c>
      <c r="D1193" t="s">
        <v>43</v>
      </c>
      <c r="E1193" t="s">
        <v>38</v>
      </c>
      <c r="F1193" t="s">
        <v>23</v>
      </c>
      <c r="G1193">
        <v>115799.43</v>
      </c>
      <c r="H1193">
        <v>100012.56</v>
      </c>
      <c r="I1193">
        <v>15786.87</v>
      </c>
      <c r="J1193">
        <v>29050.81</v>
      </c>
      <c r="K1193">
        <v>67372.98</v>
      </c>
      <c r="L1193">
        <v>43288.54</v>
      </c>
      <c r="M1193">
        <v>1406</v>
      </c>
      <c r="N1193">
        <v>9.8400000000000001E-2</v>
      </c>
      <c r="O1193">
        <f t="shared" si="36"/>
        <v>0.1363</v>
      </c>
      <c r="P1193">
        <f t="shared" si="37"/>
        <v>1.5564</v>
      </c>
      <c r="Q1193" t="s">
        <v>106</v>
      </c>
      <c r="R1193">
        <v>2025</v>
      </c>
      <c r="S1193" t="s">
        <v>82</v>
      </c>
    </row>
    <row r="1194" spans="1:19" x14ac:dyDescent="0.3">
      <c r="A1194" t="s">
        <v>1271</v>
      </c>
      <c r="B1194">
        <v>45969</v>
      </c>
      <c r="C1194" t="s">
        <v>20</v>
      </c>
      <c r="D1194" t="s">
        <v>21</v>
      </c>
      <c r="E1194" t="s">
        <v>38</v>
      </c>
      <c r="F1194" t="s">
        <v>23</v>
      </c>
      <c r="G1194">
        <v>62983.54</v>
      </c>
      <c r="H1194">
        <v>45652.76</v>
      </c>
      <c r="I1194">
        <v>17330.78</v>
      </c>
      <c r="J1194">
        <v>10968.74</v>
      </c>
      <c r="K1194">
        <v>36003.949999999997</v>
      </c>
      <c r="L1194">
        <v>65381.81</v>
      </c>
      <c r="M1194">
        <v>1062</v>
      </c>
      <c r="N1194">
        <v>0.15060000000000001</v>
      </c>
      <c r="O1194">
        <f t="shared" si="36"/>
        <v>0.2752</v>
      </c>
      <c r="P1194">
        <f t="shared" si="37"/>
        <v>0.55069999999999997</v>
      </c>
      <c r="Q1194" t="s">
        <v>66</v>
      </c>
      <c r="R1194">
        <v>2025</v>
      </c>
      <c r="S1194" t="s">
        <v>40</v>
      </c>
    </row>
    <row r="1195" spans="1:19" x14ac:dyDescent="0.3">
      <c r="A1195" t="s">
        <v>1272</v>
      </c>
      <c r="B1195">
        <v>45450</v>
      </c>
      <c r="C1195" t="s">
        <v>1282</v>
      </c>
      <c r="D1195" t="s">
        <v>69</v>
      </c>
      <c r="E1195" t="s">
        <v>51</v>
      </c>
      <c r="F1195" t="s">
        <v>23</v>
      </c>
      <c r="G1195">
        <v>191061.94</v>
      </c>
      <c r="H1195">
        <v>170444.63</v>
      </c>
      <c r="I1195">
        <v>20617.310000000001</v>
      </c>
      <c r="J1195">
        <v>15289.28</v>
      </c>
      <c r="K1195">
        <v>16990.05</v>
      </c>
      <c r="L1195">
        <v>133845.09</v>
      </c>
      <c r="M1195">
        <v>623</v>
      </c>
      <c r="N1195">
        <v>4.0000000000000002E-4</v>
      </c>
      <c r="O1195">
        <f t="shared" si="36"/>
        <v>0.1079</v>
      </c>
      <c r="P1195">
        <f t="shared" si="37"/>
        <v>0.12690000000000001</v>
      </c>
      <c r="Q1195" t="s">
        <v>111</v>
      </c>
      <c r="R1195">
        <v>2024</v>
      </c>
      <c r="S1195" t="s">
        <v>25</v>
      </c>
    </row>
    <row r="1196" spans="1:19" x14ac:dyDescent="0.3">
      <c r="A1196" t="s">
        <v>1273</v>
      </c>
      <c r="B1196">
        <v>44795</v>
      </c>
      <c r="C1196" t="s">
        <v>85</v>
      </c>
      <c r="D1196" t="s">
        <v>86</v>
      </c>
      <c r="E1196" t="s">
        <v>38</v>
      </c>
      <c r="F1196" t="s">
        <v>23</v>
      </c>
      <c r="G1196">
        <v>24069.279999999999</v>
      </c>
      <c r="H1196">
        <v>18962.490000000002</v>
      </c>
      <c r="I1196">
        <v>5106.79</v>
      </c>
      <c r="J1196">
        <v>38302.29</v>
      </c>
      <c r="K1196">
        <v>11606.1</v>
      </c>
      <c r="L1196">
        <v>171283.81</v>
      </c>
      <c r="M1196">
        <v>642</v>
      </c>
      <c r="N1196">
        <v>5.8900000000000001E-2</v>
      </c>
      <c r="O1196">
        <f t="shared" si="36"/>
        <v>0.2122</v>
      </c>
      <c r="P1196">
        <f t="shared" si="37"/>
        <v>6.7799999999999999E-2</v>
      </c>
      <c r="Q1196" t="s">
        <v>76</v>
      </c>
      <c r="R1196">
        <v>2022</v>
      </c>
      <c r="S1196" t="s">
        <v>25</v>
      </c>
    </row>
    <row r="1197" spans="1:19" x14ac:dyDescent="0.3">
      <c r="A1197" t="s">
        <v>1274</v>
      </c>
      <c r="B1197">
        <v>45950</v>
      </c>
      <c r="C1197" t="s">
        <v>48</v>
      </c>
      <c r="D1197" t="s">
        <v>49</v>
      </c>
      <c r="E1197" t="s">
        <v>38</v>
      </c>
      <c r="F1197" t="s">
        <v>23</v>
      </c>
      <c r="G1197">
        <v>130357.48</v>
      </c>
      <c r="H1197">
        <v>74518.259999999995</v>
      </c>
      <c r="I1197">
        <v>55839.22</v>
      </c>
      <c r="J1197">
        <v>34768.639999999999</v>
      </c>
      <c r="K1197">
        <v>83773.31</v>
      </c>
      <c r="L1197">
        <v>309304.32000000001</v>
      </c>
      <c r="M1197">
        <v>1401</v>
      </c>
      <c r="N1197">
        <v>4.5699999999999998E-2</v>
      </c>
      <c r="O1197">
        <f t="shared" si="36"/>
        <v>0.4284</v>
      </c>
      <c r="P1197">
        <f t="shared" si="37"/>
        <v>0.27079999999999999</v>
      </c>
      <c r="Q1197" t="s">
        <v>66</v>
      </c>
      <c r="R1197">
        <v>2025</v>
      </c>
      <c r="S1197" t="s">
        <v>25</v>
      </c>
    </row>
    <row r="1198" spans="1:19" x14ac:dyDescent="0.3">
      <c r="A1198" t="s">
        <v>1275</v>
      </c>
      <c r="B1198">
        <v>45742</v>
      </c>
      <c r="C1198" t="s">
        <v>102</v>
      </c>
      <c r="D1198" t="s">
        <v>103</v>
      </c>
      <c r="E1198" t="s">
        <v>22</v>
      </c>
      <c r="F1198" t="s">
        <v>23</v>
      </c>
      <c r="G1198">
        <v>130450.4</v>
      </c>
      <c r="H1198">
        <v>91981.1</v>
      </c>
      <c r="I1198">
        <v>38469.300000000003</v>
      </c>
      <c r="J1198">
        <v>57927.88</v>
      </c>
      <c r="K1198">
        <v>21646.87</v>
      </c>
      <c r="L1198">
        <v>72658.759999999995</v>
      </c>
      <c r="M1198">
        <v>872</v>
      </c>
      <c r="N1198">
        <v>4.1000000000000003E-3</v>
      </c>
      <c r="O1198">
        <f t="shared" si="36"/>
        <v>0.2949</v>
      </c>
      <c r="P1198">
        <f t="shared" si="37"/>
        <v>0.2979</v>
      </c>
      <c r="Q1198" t="s">
        <v>106</v>
      </c>
      <c r="R1198">
        <v>2025</v>
      </c>
      <c r="S1198" t="s">
        <v>25</v>
      </c>
    </row>
    <row r="1199" spans="1:19" x14ac:dyDescent="0.3">
      <c r="A1199" t="s">
        <v>1276</v>
      </c>
      <c r="B1199">
        <v>45762</v>
      </c>
      <c r="C1199" t="s">
        <v>27</v>
      </c>
      <c r="D1199" t="s">
        <v>28</v>
      </c>
      <c r="E1199" t="s">
        <v>22</v>
      </c>
      <c r="F1199" t="s">
        <v>23</v>
      </c>
      <c r="G1199">
        <v>48610.02</v>
      </c>
      <c r="H1199">
        <v>36966.120000000003</v>
      </c>
      <c r="I1199">
        <v>11643.9</v>
      </c>
      <c r="J1199">
        <v>28562.12</v>
      </c>
      <c r="K1199">
        <v>67778.350000000006</v>
      </c>
      <c r="L1199">
        <v>97796.05</v>
      </c>
      <c r="M1199">
        <v>899</v>
      </c>
      <c r="N1199">
        <v>2.3300000000000001E-2</v>
      </c>
      <c r="O1199">
        <f t="shared" si="36"/>
        <v>0.23949999999999999</v>
      </c>
      <c r="P1199">
        <f t="shared" si="37"/>
        <v>0.69310000000000005</v>
      </c>
      <c r="Q1199" t="s">
        <v>34</v>
      </c>
      <c r="R1199">
        <v>2025</v>
      </c>
      <c r="S1199" t="s">
        <v>82</v>
      </c>
    </row>
    <row r="1200" spans="1:19" x14ac:dyDescent="0.3">
      <c r="A1200" t="s">
        <v>1277</v>
      </c>
      <c r="B1200">
        <v>45282</v>
      </c>
      <c r="C1200" t="s">
        <v>30</v>
      </c>
      <c r="D1200" t="s">
        <v>31</v>
      </c>
      <c r="E1200" t="s">
        <v>22</v>
      </c>
      <c r="F1200" t="s">
        <v>23</v>
      </c>
      <c r="G1200">
        <v>73300.94</v>
      </c>
      <c r="H1200">
        <v>55381.93</v>
      </c>
      <c r="I1200">
        <v>17919.009999999998</v>
      </c>
      <c r="J1200">
        <v>28673.69</v>
      </c>
      <c r="K1200">
        <v>27304.1</v>
      </c>
      <c r="L1200">
        <v>188927.82</v>
      </c>
      <c r="M1200">
        <v>990</v>
      </c>
      <c r="N1200">
        <v>6.3200000000000006E-2</v>
      </c>
      <c r="O1200">
        <f t="shared" si="36"/>
        <v>0.2445</v>
      </c>
      <c r="P1200">
        <f t="shared" si="37"/>
        <v>0.14449999999999999</v>
      </c>
      <c r="Q1200" t="s">
        <v>44</v>
      </c>
      <c r="R1200">
        <v>2023</v>
      </c>
      <c r="S1200" t="s">
        <v>25</v>
      </c>
    </row>
    <row r="1201" spans="1:19" x14ac:dyDescent="0.3">
      <c r="A1201" t="s">
        <v>1278</v>
      </c>
      <c r="B1201">
        <v>45925</v>
      </c>
      <c r="C1201" t="s">
        <v>54</v>
      </c>
      <c r="D1201" t="s">
        <v>55</v>
      </c>
      <c r="E1201" t="s">
        <v>38</v>
      </c>
      <c r="F1201" t="s">
        <v>23</v>
      </c>
      <c r="G1201">
        <v>39324.97</v>
      </c>
      <c r="H1201">
        <v>24389.84</v>
      </c>
      <c r="I1201">
        <v>14935.13</v>
      </c>
      <c r="J1201">
        <v>46856.31</v>
      </c>
      <c r="K1201">
        <v>5756.09</v>
      </c>
      <c r="L1201">
        <v>91641.68</v>
      </c>
      <c r="M1201">
        <v>1378</v>
      </c>
      <c r="N1201">
        <v>4.4699999999999997E-2</v>
      </c>
      <c r="O1201">
        <f t="shared" si="36"/>
        <v>0.37980000000000003</v>
      </c>
      <c r="P1201">
        <f t="shared" si="37"/>
        <v>6.2799999999999995E-2</v>
      </c>
      <c r="Q1201" t="s">
        <v>24</v>
      </c>
      <c r="R1201">
        <v>2025</v>
      </c>
      <c r="S1201" t="s">
        <v>25</v>
      </c>
    </row>
  </sheetData>
  <conditionalFormatting sqref="P2:P1201">
    <cfRule type="expression" dxfId="34" priority="1">
      <formula>(#REF!&lt;&gt;$P$2)</formula>
    </cfRule>
  </conditionalFormatting>
  <pageMargins left="0.7" right="0.7" top="0.75" bottom="0.75" header="0.3" footer="0.3"/>
  <pageSetup orientation="portrait" r:id="rId1"/>
  <ignoredErrors>
    <ignoredError sqref="O247 O223 O282:O1156" calculatedColumn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3D0F5-74CA-4524-BD58-A43B92B95B92}">
  <dimension ref="A1:B2"/>
  <sheetViews>
    <sheetView workbookViewId="0">
      <selection activeCell="A3" sqref="A3"/>
    </sheetView>
  </sheetViews>
  <sheetFormatPr defaultRowHeight="14.4" x14ac:dyDescent="0.3"/>
  <sheetData>
    <row r="1" spans="1:2" x14ac:dyDescent="0.3">
      <c r="A1" t="s">
        <v>23</v>
      </c>
      <c r="B1" t="s">
        <v>33</v>
      </c>
    </row>
    <row r="2" spans="1:2" x14ac:dyDescent="0.3">
      <c r="A2">
        <v>1.145</v>
      </c>
      <c r="B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B45BF-107C-4E54-AF81-CDC4443AB7BE}">
  <dimension ref="A1:K25"/>
  <sheetViews>
    <sheetView tabSelected="1" workbookViewId="0">
      <selection activeCell="F20" sqref="F20"/>
    </sheetView>
  </sheetViews>
  <sheetFormatPr defaultRowHeight="14.4" x14ac:dyDescent="0.3"/>
  <cols>
    <col min="1" max="1" width="29.6640625" bestFit="1" customWidth="1"/>
    <col min="2" max="2" width="32" bestFit="1" customWidth="1"/>
    <col min="3" max="3" width="17.44140625" bestFit="1" customWidth="1"/>
    <col min="4" max="4" width="15.77734375" bestFit="1" customWidth="1"/>
    <col min="5" max="5" width="5.109375" bestFit="1" customWidth="1"/>
    <col min="6" max="6" width="4.77734375" bestFit="1" customWidth="1"/>
    <col min="7" max="7" width="11" bestFit="1" customWidth="1"/>
    <col min="8" max="8" width="9.6640625" bestFit="1" customWidth="1"/>
    <col min="9" max="10" width="11.5546875" bestFit="1" customWidth="1"/>
    <col min="11" max="11" width="13.33203125" bestFit="1" customWidth="1"/>
  </cols>
  <sheetData>
    <row r="1" spans="1:11" x14ac:dyDescent="0.3">
      <c r="A1" t="s">
        <v>1279</v>
      </c>
    </row>
    <row r="2" spans="1:11" x14ac:dyDescent="0.3">
      <c r="A2" t="s">
        <v>1283</v>
      </c>
    </row>
    <row r="3" spans="1:11" x14ac:dyDescent="0.3">
      <c r="A3" t="s">
        <v>1289</v>
      </c>
    </row>
    <row r="4" spans="1:11" x14ac:dyDescent="0.3">
      <c r="A4" t="s">
        <v>1290</v>
      </c>
    </row>
    <row r="6" spans="1:11" x14ac:dyDescent="0.3">
      <c r="A6" t="s">
        <v>1280</v>
      </c>
    </row>
    <row r="7" spans="1:11" x14ac:dyDescent="0.3">
      <c r="A7" t="s">
        <v>3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</row>
    <row r="8" spans="1:11" x14ac:dyDescent="0.3">
      <c r="A8">
        <v>12</v>
      </c>
      <c r="B8">
        <v>20</v>
      </c>
      <c r="C8">
        <v>19</v>
      </c>
      <c r="D8">
        <v>38</v>
      </c>
      <c r="E8">
        <v>19</v>
      </c>
      <c r="F8">
        <v>0</v>
      </c>
      <c r="G8">
        <v>0</v>
      </c>
      <c r="H8">
        <v>18</v>
      </c>
      <c r="I8">
        <v>0</v>
      </c>
      <c r="J8">
        <v>38</v>
      </c>
      <c r="K8">
        <v>0</v>
      </c>
    </row>
    <row r="10" spans="1:11" x14ac:dyDescent="0.3">
      <c r="A10" t="s">
        <v>1284</v>
      </c>
      <c r="B10" t="s">
        <v>1285</v>
      </c>
    </row>
    <row r="11" spans="1:11" x14ac:dyDescent="0.3">
      <c r="A11" t="str" cm="1">
        <f t="array" ref="A11:A21">_xlfn.TOCOL(A7:K7,1,FALSE)</f>
        <v>Industry</v>
      </c>
      <c r="B11" t="s">
        <v>1286</v>
      </c>
    </row>
    <row r="12" spans="1:11" x14ac:dyDescent="0.3">
      <c r="A12" t="str">
        <v>Revenue</v>
      </c>
      <c r="B12" t="s">
        <v>1293</v>
      </c>
    </row>
    <row r="13" spans="1:11" x14ac:dyDescent="0.3">
      <c r="A13" t="str">
        <v>Operating_Expenses</v>
      </c>
      <c r="B13" t="s">
        <v>1293</v>
      </c>
    </row>
    <row r="14" spans="1:11" x14ac:dyDescent="0.3">
      <c r="A14" t="str">
        <v>Operating_Income</v>
      </c>
      <c r="B14" t="s">
        <v>1293</v>
      </c>
    </row>
    <row r="15" spans="1:11" x14ac:dyDescent="0.3">
      <c r="A15" t="str">
        <v>Cash</v>
      </c>
      <c r="B15" t="s">
        <v>1293</v>
      </c>
    </row>
    <row r="16" spans="1:11" x14ac:dyDescent="0.3">
      <c r="A16" t="str">
        <v>Debt</v>
      </c>
      <c r="B16" t="s">
        <v>1293</v>
      </c>
    </row>
    <row r="17" spans="1:2" x14ac:dyDescent="0.3">
      <c r="A17" t="str">
        <v>Total_Assets</v>
      </c>
      <c r="B17" t="s">
        <v>1293</v>
      </c>
    </row>
    <row r="18" spans="1:2" x14ac:dyDescent="0.3">
      <c r="A18" t="str">
        <v>Employees</v>
      </c>
    </row>
    <row r="19" spans="1:2" x14ac:dyDescent="0.3">
      <c r="A19" t="str">
        <v>Stock_Return</v>
      </c>
    </row>
    <row r="20" spans="1:2" x14ac:dyDescent="0.3">
      <c r="A20" t="str">
        <v>Profit_Margin</v>
      </c>
      <c r="B20" t="s">
        <v>1287</v>
      </c>
    </row>
    <row r="21" spans="1:2" x14ac:dyDescent="0.3">
      <c r="A21" t="str">
        <v>Debt_to_Assets</v>
      </c>
      <c r="B21" t="s">
        <v>1287</v>
      </c>
    </row>
    <row r="22" spans="1:2" x14ac:dyDescent="0.3">
      <c r="A22" t="s">
        <v>2</v>
      </c>
      <c r="B22" t="s">
        <v>1288</v>
      </c>
    </row>
    <row r="23" spans="1:2" x14ac:dyDescent="0.3">
      <c r="A23" t="s">
        <v>4</v>
      </c>
      <c r="B23" t="s">
        <v>1288</v>
      </c>
    </row>
    <row r="24" spans="1:2" x14ac:dyDescent="0.3">
      <c r="A24" t="s">
        <v>0</v>
      </c>
      <c r="B24" t="s">
        <v>1291</v>
      </c>
    </row>
    <row r="25" spans="1:2" x14ac:dyDescent="0.3">
      <c r="A25" t="s">
        <v>5</v>
      </c>
      <c r="B25" t="s">
        <v>1292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CE3D-2579-4467-A0F9-2FF323F1AEBD}">
  <dimension ref="B2:P24"/>
  <sheetViews>
    <sheetView workbookViewId="0">
      <selection activeCell="G10" sqref="G10"/>
    </sheetView>
  </sheetViews>
  <sheetFormatPr defaultRowHeight="14.4" x14ac:dyDescent="0.3"/>
  <cols>
    <col min="2" max="2" width="18.44140625" bestFit="1" customWidth="1"/>
    <col min="3" max="3" width="20.88671875" bestFit="1" customWidth="1"/>
    <col min="4" max="4" width="7.109375" bestFit="1" customWidth="1"/>
    <col min="5" max="5" width="18.44140625" bestFit="1" customWidth="1"/>
    <col min="6" max="6" width="19" bestFit="1" customWidth="1"/>
    <col min="8" max="8" width="18.44140625" bestFit="1" customWidth="1"/>
    <col min="9" max="9" width="15.109375" bestFit="1" customWidth="1"/>
    <col min="10" max="10" width="7.109375" bestFit="1" customWidth="1"/>
    <col min="11" max="11" width="18.44140625" bestFit="1" customWidth="1"/>
    <col min="12" max="12" width="15.5546875" bestFit="1" customWidth="1"/>
    <col min="13" max="14" width="8.109375" bestFit="1" customWidth="1"/>
    <col min="15" max="15" width="7.77734375" bestFit="1" customWidth="1"/>
    <col min="16" max="16" width="10.5546875" bestFit="1" customWidth="1"/>
    <col min="17" max="17" width="21.5546875" bestFit="1" customWidth="1"/>
    <col min="18" max="18" width="25.109375" bestFit="1" customWidth="1"/>
  </cols>
  <sheetData>
    <row r="2" spans="2:16" x14ac:dyDescent="0.3">
      <c r="B2" s="9" t="s">
        <v>1295</v>
      </c>
      <c r="C2" s="9" t="s">
        <v>1296</v>
      </c>
      <c r="H2" s="5" t="s">
        <v>1298</v>
      </c>
      <c r="I2" s="9" t="s">
        <v>4</v>
      </c>
    </row>
    <row r="3" spans="2:16" x14ac:dyDescent="0.3">
      <c r="B3" s="5" t="s">
        <v>4</v>
      </c>
      <c r="C3" t="s">
        <v>82</v>
      </c>
      <c r="D3" t="s">
        <v>25</v>
      </c>
      <c r="E3" t="s">
        <v>40</v>
      </c>
      <c r="F3" t="s">
        <v>1294</v>
      </c>
      <c r="H3" s="5" t="s">
        <v>1296</v>
      </c>
      <c r="I3" t="s">
        <v>82</v>
      </c>
      <c r="J3" t="s">
        <v>25</v>
      </c>
      <c r="K3" t="s">
        <v>40</v>
      </c>
      <c r="L3" t="s">
        <v>1294</v>
      </c>
    </row>
    <row r="4" spans="2:16" x14ac:dyDescent="0.3">
      <c r="B4" s="6" t="s">
        <v>22</v>
      </c>
      <c r="C4" s="7">
        <v>5.7500000000000002E-2</v>
      </c>
      <c r="D4" s="7">
        <v>0.17833333333333334</v>
      </c>
      <c r="E4" s="7">
        <v>7.6666666666666661E-2</v>
      </c>
      <c r="F4" s="7">
        <v>0.3125</v>
      </c>
      <c r="H4" s="6" t="s">
        <v>22</v>
      </c>
      <c r="I4" s="7">
        <v>0.184</v>
      </c>
      <c r="J4" s="7">
        <v>0.57066666666666666</v>
      </c>
      <c r="K4" s="7">
        <v>0.24533333333333332</v>
      </c>
      <c r="L4" s="7">
        <v>1</v>
      </c>
    </row>
    <row r="5" spans="2:16" x14ac:dyDescent="0.3">
      <c r="B5" s="6" t="s">
        <v>32</v>
      </c>
      <c r="C5" s="7">
        <v>4.8333333333333332E-2</v>
      </c>
      <c r="D5" s="7">
        <v>0.13750000000000001</v>
      </c>
      <c r="E5" s="7">
        <v>4.9166666666666664E-2</v>
      </c>
      <c r="F5" s="7">
        <v>0.23499999999999999</v>
      </c>
      <c r="H5" s="6" t="s">
        <v>32</v>
      </c>
      <c r="I5" s="7">
        <v>0.20567375886524822</v>
      </c>
      <c r="J5" s="7">
        <v>0.58510638297872342</v>
      </c>
      <c r="K5" s="7">
        <v>0.20921985815602837</v>
      </c>
      <c r="L5" s="7">
        <v>1</v>
      </c>
    </row>
    <row r="6" spans="2:16" x14ac:dyDescent="0.3">
      <c r="B6" s="6" t="s">
        <v>51</v>
      </c>
      <c r="C6" s="7">
        <v>1.4999999999999999E-2</v>
      </c>
      <c r="D6" s="7">
        <v>5.7500000000000002E-2</v>
      </c>
      <c r="E6" s="7">
        <v>3.1666666666666669E-2</v>
      </c>
      <c r="F6" s="7">
        <v>0.10416666666666667</v>
      </c>
      <c r="H6" s="6" t="s">
        <v>51</v>
      </c>
      <c r="I6" s="7">
        <v>0.14399999999999999</v>
      </c>
      <c r="J6" s="7">
        <v>0.55200000000000005</v>
      </c>
      <c r="K6" s="7">
        <v>0.30399999999999999</v>
      </c>
      <c r="L6" s="7">
        <v>1</v>
      </c>
    </row>
    <row r="7" spans="2:16" x14ac:dyDescent="0.3">
      <c r="B7" s="6" t="s">
        <v>38</v>
      </c>
      <c r="C7" s="7">
        <v>6.6666666666666666E-2</v>
      </c>
      <c r="D7" s="7">
        <v>0.19833333333333333</v>
      </c>
      <c r="E7" s="7">
        <v>8.3333333333333329E-2</v>
      </c>
      <c r="F7" s="7">
        <v>0.34833333333333333</v>
      </c>
      <c r="H7" s="6" t="s">
        <v>38</v>
      </c>
      <c r="I7" s="7">
        <v>0.19138755980861244</v>
      </c>
      <c r="J7" s="7">
        <v>0.56937799043062198</v>
      </c>
      <c r="K7" s="7">
        <v>0.23923444976076555</v>
      </c>
      <c r="L7" s="7">
        <v>1</v>
      </c>
    </row>
    <row r="8" spans="2:16" x14ac:dyDescent="0.3">
      <c r="B8" s="6" t="s">
        <v>1294</v>
      </c>
      <c r="C8" s="7">
        <v>0.1875</v>
      </c>
      <c r="D8" s="7">
        <v>0.57166666666666666</v>
      </c>
      <c r="E8" s="7">
        <v>0.24083333333333334</v>
      </c>
      <c r="F8" s="7">
        <v>1</v>
      </c>
      <c r="H8" s="6" t="s">
        <v>1294</v>
      </c>
      <c r="I8" s="7">
        <v>0.1875</v>
      </c>
      <c r="J8" s="7">
        <v>0.57166666666666666</v>
      </c>
      <c r="K8" s="7">
        <v>0.24083333333333334</v>
      </c>
      <c r="L8" s="7">
        <v>1</v>
      </c>
    </row>
    <row r="10" spans="2:16" x14ac:dyDescent="0.3">
      <c r="B10" s="9" t="s">
        <v>2</v>
      </c>
      <c r="C10" t="s">
        <v>1297</v>
      </c>
      <c r="E10" s="9" t="s">
        <v>2</v>
      </c>
      <c r="F10" t="s">
        <v>1299</v>
      </c>
      <c r="H10" s="9" t="s">
        <v>2</v>
      </c>
      <c r="I10" s="10" t="s">
        <v>1300</v>
      </c>
      <c r="K10" s="5" t="s">
        <v>1301</v>
      </c>
      <c r="L10" s="9" t="s">
        <v>17</v>
      </c>
    </row>
    <row r="11" spans="2:16" x14ac:dyDescent="0.3">
      <c r="B11" s="6" t="s">
        <v>78</v>
      </c>
      <c r="C11" s="7">
        <v>0.30095053763440854</v>
      </c>
      <c r="E11" s="6" t="s">
        <v>48</v>
      </c>
      <c r="F11" s="7">
        <v>0.12296458807934001</v>
      </c>
      <c r="H11" s="6" t="s">
        <v>48</v>
      </c>
      <c r="I11" s="8">
        <v>14384299.406200003</v>
      </c>
      <c r="K11" s="5" t="s">
        <v>2</v>
      </c>
      <c r="L11">
        <v>2022</v>
      </c>
      <c r="M11">
        <v>2023</v>
      </c>
      <c r="N11">
        <v>2024</v>
      </c>
      <c r="O11">
        <v>2025</v>
      </c>
      <c r="P11" t="s">
        <v>1294</v>
      </c>
    </row>
    <row r="12" spans="2:16" x14ac:dyDescent="0.3">
      <c r="B12" s="6" t="s">
        <v>1282</v>
      </c>
      <c r="C12" s="7">
        <v>0.28122359550561793</v>
      </c>
      <c r="E12" s="6" t="s">
        <v>1282</v>
      </c>
      <c r="F12" s="7">
        <v>7.7523766246387446E-2</v>
      </c>
      <c r="H12" s="6" t="s">
        <v>85</v>
      </c>
      <c r="I12" s="8">
        <v>11179288.383199994</v>
      </c>
      <c r="K12" s="6" t="s">
        <v>48</v>
      </c>
      <c r="L12" s="7"/>
      <c r="M12" s="7">
        <v>0.50643571423849787</v>
      </c>
      <c r="N12" s="7">
        <v>-0.50295338278819446</v>
      </c>
      <c r="O12" s="7">
        <v>0.9964616708776447</v>
      </c>
      <c r="P12" s="7"/>
    </row>
    <row r="13" spans="2:16" x14ac:dyDescent="0.3">
      <c r="B13" s="6" t="s">
        <v>85</v>
      </c>
      <c r="C13" s="7">
        <v>0.27996140350877186</v>
      </c>
      <c r="E13" s="6" t="s">
        <v>30</v>
      </c>
      <c r="F13" s="7">
        <v>8.2533131319245417E-2</v>
      </c>
      <c r="H13" s="6" t="s">
        <v>42</v>
      </c>
      <c r="I13" s="8">
        <v>11164441.787399998</v>
      </c>
      <c r="K13" s="6" t="s">
        <v>1282</v>
      </c>
      <c r="L13" s="7"/>
      <c r="M13" s="7">
        <v>0.35270350029281772</v>
      </c>
      <c r="N13" s="7">
        <v>-0.25579998305790785</v>
      </c>
      <c r="O13" s="7">
        <v>0.1333861828566171</v>
      </c>
      <c r="P13" s="7"/>
    </row>
    <row r="14" spans="2:16" x14ac:dyDescent="0.3">
      <c r="B14" s="6" t="s">
        <v>20</v>
      </c>
      <c r="C14" s="7">
        <v>0.27294505494505494</v>
      </c>
      <c r="E14" s="6" t="s">
        <v>42</v>
      </c>
      <c r="F14" s="7">
        <v>9.5439544656007777E-2</v>
      </c>
      <c r="H14" s="6" t="s">
        <v>30</v>
      </c>
      <c r="I14" s="8">
        <v>9654659.8526499998</v>
      </c>
      <c r="K14" s="6" t="s">
        <v>30</v>
      </c>
      <c r="L14" s="7"/>
      <c r="M14" s="7">
        <v>-0.36092741151981927</v>
      </c>
      <c r="N14" s="7">
        <v>0.37939245301568325</v>
      </c>
      <c r="O14" s="7">
        <v>0.36325129199205242</v>
      </c>
      <c r="P14" s="7"/>
    </row>
    <row r="15" spans="2:16" x14ac:dyDescent="0.3">
      <c r="B15" s="6" t="s">
        <v>30</v>
      </c>
      <c r="C15" s="7">
        <v>0.27004301075268822</v>
      </c>
      <c r="E15" s="6" t="s">
        <v>27</v>
      </c>
      <c r="F15" s="7">
        <v>7.1579989883819847E-2</v>
      </c>
      <c r="H15" s="6" t="s">
        <v>102</v>
      </c>
      <c r="I15" s="8">
        <v>9591139.0749500021</v>
      </c>
      <c r="K15" s="6" t="s">
        <v>42</v>
      </c>
      <c r="L15" s="7"/>
      <c r="M15" s="7">
        <v>0.32464827776754152</v>
      </c>
      <c r="N15" s="7">
        <v>-0.28175161604023891</v>
      </c>
      <c r="O15" s="7">
        <v>-6.8865104372661329E-2</v>
      </c>
      <c r="P15" s="7"/>
    </row>
    <row r="16" spans="2:16" x14ac:dyDescent="0.3">
      <c r="B16" s="6" t="s">
        <v>27</v>
      </c>
      <c r="C16" s="7">
        <v>0.26775730337078651</v>
      </c>
      <c r="E16" s="6" t="s">
        <v>85</v>
      </c>
      <c r="F16" s="7">
        <v>9.5566461197813077E-2</v>
      </c>
      <c r="H16" s="6" t="s">
        <v>61</v>
      </c>
      <c r="I16" s="8">
        <v>9565951.8521499988</v>
      </c>
      <c r="K16" s="6" t="s">
        <v>27</v>
      </c>
      <c r="L16" s="7"/>
      <c r="M16" s="7">
        <v>-0.65291918321710718</v>
      </c>
      <c r="N16" s="7">
        <v>2.6394716833690115</v>
      </c>
      <c r="O16" s="7">
        <v>-0.62666331628905769</v>
      </c>
      <c r="P16" s="7"/>
    </row>
    <row r="17" spans="2:16" x14ac:dyDescent="0.3">
      <c r="B17" s="6" t="s">
        <v>61</v>
      </c>
      <c r="C17" s="7">
        <v>0.26540566037735847</v>
      </c>
      <c r="E17" s="6" t="s">
        <v>20</v>
      </c>
      <c r="F17" s="7">
        <v>8.1654064544466873E-2</v>
      </c>
      <c r="H17" s="6" t="s">
        <v>20</v>
      </c>
      <c r="I17" s="8">
        <v>9551827.3227000069</v>
      </c>
      <c r="K17" s="6" t="s">
        <v>85</v>
      </c>
      <c r="L17" s="7"/>
      <c r="M17" s="7">
        <v>0.11221137239067187</v>
      </c>
      <c r="N17" s="7">
        <v>0.39759428237056538</v>
      </c>
      <c r="O17" s="7">
        <v>-0.4542395255569468</v>
      </c>
      <c r="P17" s="7"/>
    </row>
    <row r="18" spans="2:16" x14ac:dyDescent="0.3">
      <c r="B18" s="6" t="s">
        <v>36</v>
      </c>
      <c r="C18" s="7">
        <v>0.26301860465116278</v>
      </c>
      <c r="E18" s="6" t="s">
        <v>102</v>
      </c>
      <c r="F18" s="7">
        <v>8.1990122164347479E-2</v>
      </c>
      <c r="H18" s="6" t="s">
        <v>1282</v>
      </c>
      <c r="I18" s="8">
        <v>9068668.3231499996</v>
      </c>
      <c r="K18" s="6" t="s">
        <v>20</v>
      </c>
      <c r="L18" s="7"/>
      <c r="M18" s="7">
        <v>-0.26989498356168817</v>
      </c>
      <c r="N18" s="7">
        <v>-0.25407793770871423</v>
      </c>
      <c r="O18" s="7">
        <v>0.29696129090645945</v>
      </c>
      <c r="P18" s="7"/>
    </row>
    <row r="19" spans="2:16" x14ac:dyDescent="0.3">
      <c r="B19" s="6" t="s">
        <v>42</v>
      </c>
      <c r="C19" s="7">
        <v>0.2613226415094338</v>
      </c>
      <c r="E19" s="6" t="s">
        <v>78</v>
      </c>
      <c r="F19" s="7">
        <v>6.9611805944976013E-2</v>
      </c>
      <c r="H19" s="6" t="s">
        <v>54</v>
      </c>
      <c r="I19" s="8">
        <v>8758852.8280999996</v>
      </c>
      <c r="K19" s="6" t="s">
        <v>102</v>
      </c>
      <c r="L19" s="7"/>
      <c r="M19" s="7">
        <v>0.70025297353683069</v>
      </c>
      <c r="N19" s="7">
        <v>-0.28480705238014087</v>
      </c>
      <c r="O19" s="7">
        <v>0.14408303522691113</v>
      </c>
      <c r="P19" s="7"/>
    </row>
    <row r="20" spans="2:16" x14ac:dyDescent="0.3">
      <c r="B20" s="6" t="s">
        <v>102</v>
      </c>
      <c r="C20" s="7">
        <v>0.25836477272727265</v>
      </c>
      <c r="E20" s="6" t="s">
        <v>61</v>
      </c>
      <c r="F20" s="7">
        <v>8.1774808481768685E-2</v>
      </c>
      <c r="H20" s="6" t="s">
        <v>27</v>
      </c>
      <c r="I20" s="8">
        <v>8373370.1065000016</v>
      </c>
      <c r="K20" s="6" t="s">
        <v>78</v>
      </c>
      <c r="L20" s="7"/>
      <c r="M20" s="7">
        <v>-0.32440822295472072</v>
      </c>
      <c r="N20" s="7">
        <v>0.60924322131781528</v>
      </c>
      <c r="O20" s="7">
        <v>-1.7707508858744482E-2</v>
      </c>
      <c r="P20" s="7"/>
    </row>
    <row r="21" spans="2:16" x14ac:dyDescent="0.3">
      <c r="B21" s="6" t="s">
        <v>48</v>
      </c>
      <c r="C21" s="7">
        <v>0.257179104477612</v>
      </c>
      <c r="E21" s="6" t="s">
        <v>54</v>
      </c>
      <c r="F21" s="7">
        <v>7.4875299772379014E-2</v>
      </c>
      <c r="H21" s="6" t="s">
        <v>78</v>
      </c>
      <c r="I21" s="8">
        <v>8143133.5196499992</v>
      </c>
      <c r="K21" s="6" t="s">
        <v>61</v>
      </c>
      <c r="L21" s="7"/>
      <c r="M21" s="7">
        <v>-0.36830332715939607</v>
      </c>
      <c r="N21" s="7">
        <v>-0.13296479118610677</v>
      </c>
      <c r="O21" s="7">
        <v>0.45465898958769463</v>
      </c>
      <c r="P21" s="7"/>
    </row>
    <row r="22" spans="2:16" x14ac:dyDescent="0.3">
      <c r="B22" s="6" t="s">
        <v>54</v>
      </c>
      <c r="C22" s="7">
        <v>0.24682469135802468</v>
      </c>
      <c r="E22" s="6" t="s">
        <v>36</v>
      </c>
      <c r="F22" s="7">
        <v>6.4486417709448338E-2</v>
      </c>
      <c r="H22" s="6" t="s">
        <v>36</v>
      </c>
      <c r="I22" s="8">
        <v>7543569.6931499997</v>
      </c>
      <c r="K22" s="6" t="s">
        <v>54</v>
      </c>
      <c r="L22" s="7"/>
      <c r="M22" s="7">
        <v>-0.29247757639595179</v>
      </c>
      <c r="N22" s="7">
        <v>5.606386840876295E-2</v>
      </c>
      <c r="O22" s="7">
        <v>-0.14075366298596748</v>
      </c>
      <c r="P22" s="7"/>
    </row>
    <row r="23" spans="2:16" x14ac:dyDescent="0.3">
      <c r="E23" s="6" t="s">
        <v>1294</v>
      </c>
      <c r="F23" s="7">
        <v>1</v>
      </c>
      <c r="H23" s="6" t="s">
        <v>1294</v>
      </c>
      <c r="I23" s="8">
        <v>116979202.1498</v>
      </c>
      <c r="K23" s="6" t="s">
        <v>36</v>
      </c>
      <c r="L23" s="7"/>
      <c r="M23" s="7">
        <v>1.8953364937324841</v>
      </c>
      <c r="N23" s="7">
        <v>-0.12020468188360295</v>
      </c>
      <c r="O23" s="7">
        <v>-0.11271373774739968</v>
      </c>
      <c r="P23" s="7"/>
    </row>
    <row r="24" spans="2:16" x14ac:dyDescent="0.3">
      <c r="K24" s="6" t="s">
        <v>1294</v>
      </c>
      <c r="L24" s="7"/>
      <c r="M24" s="7">
        <v>8.7137732639551587E-4</v>
      </c>
      <c r="N24" s="7">
        <v>-2.8187712293558979E-2</v>
      </c>
      <c r="O24" s="7">
        <v>1.1606983676328604E-2</v>
      </c>
      <c r="P24" s="7"/>
    </row>
  </sheetData>
  <pageMargins left="0.7" right="0.7" top="0.75" bottom="0.75" header="0.3" footer="0.3"/>
  <pageSetup orientation="portrait"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22A4D9-7CFA-4F10-AED4-C0634BA688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financial_analysis_raw</vt:lpstr>
      <vt:lpstr>financial_analysis_cleaned</vt:lpstr>
      <vt:lpstr>Conversion Table</vt:lpstr>
      <vt:lpstr>Data_Quality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gilross</dc:creator>
  <cp:lastModifiedBy>smurf14188@gmail.com</cp:lastModifiedBy>
  <dcterms:created xsi:type="dcterms:W3CDTF">2026-09-20T03:31:22Z</dcterms:created>
  <dcterms:modified xsi:type="dcterms:W3CDTF">2026-09-24T08:44:26Z</dcterms:modified>
</cp:coreProperties>
</file>